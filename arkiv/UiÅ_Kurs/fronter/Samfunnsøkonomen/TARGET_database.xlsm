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5.xml" ContentType="application/vnd.ms-office.activeX+xml"/>
  <Override PartName="/xl/activeX/activeX24.bin" ContentType="application/vnd.ms-office.activeX"/>
  <Override PartName="/xl/activeX/activeX26.xml" ContentType="application/vnd.ms-office.activeX+xml"/>
  <Override PartName="/xl/activeX/activeX27.xml" ContentType="application/vnd.ms-office.activeX+xml"/>
  <Override PartName="/xl/activeX/activeX25.bin" ContentType="application/vnd.ms-office.activeX"/>
  <Override PartName="/xl/activeX/activeX28.xml" ContentType="application/vnd.ms-office.activeX+xml"/>
  <Override PartName="/xl/activeX/activeX26.bin" ContentType="application/vnd.ms-office.activeX"/>
  <Override PartName="/xl/activeX/activeX29.xml" ContentType="application/vnd.ms-office.activeX+xml"/>
  <Override PartName="/xl/activeX/activeX27.bin" ContentType="application/vnd.ms-office.activeX"/>
  <Override PartName="/xl/activeX/activeX30.xml" ContentType="application/vnd.ms-office.activeX+xml"/>
  <Override PartName="/xl/activeX/activeX28.bin" ContentType="application/vnd.ms-office.activeX"/>
  <Override PartName="/xl/activeX/activeX31.xml" ContentType="application/vnd.ms-office.activeX+xml"/>
  <Override PartName="/xl/activeX/activeX29.bin" ContentType="application/vnd.ms-office.activeX"/>
  <Override PartName="/xl/activeX/activeX32.xml" ContentType="application/vnd.ms-office.activeX+xml"/>
  <Override PartName="/xl/activeX/activeX30.bin" ContentType="application/vnd.ms-office.activeX"/>
  <Override PartName="/xl/activeX/activeX33.xml" ContentType="application/vnd.ms-office.activeX+xml"/>
  <Override PartName="/xl/activeX/activeX31.bin" ContentType="application/vnd.ms-office.activeX"/>
  <Override PartName="/xl/activeX/activeX34.xml" ContentType="application/vnd.ms-office.activeX+xml"/>
  <Override PartName="/xl/activeX/activeX32.bin" ContentType="application/vnd.ms-office.activeX"/>
  <Override PartName="/xl/activeX/activeX35.xml" ContentType="application/vnd.ms-office.activeX+xml"/>
  <Override PartName="/xl/activeX/activeX3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5" yWindow="360" windowWidth="13260" windowHeight="4275" tabRatio="601" activeTab="1"/>
  </bookViews>
  <sheets>
    <sheet name="REQUEST_TABLE" sheetId="6" r:id="rId1"/>
    <sheet name="Dataserier" sheetId="49" r:id="rId2"/>
    <sheet name="Sheet1" sheetId="52" r:id="rId3"/>
    <sheet name="Sheet2" sheetId="53" r:id="rId4"/>
    <sheet name="Target" sheetId="51" r:id="rId5"/>
    <sheet name="GjeldogRenter" sheetId="50" r:id="rId6"/>
    <sheet name="Balanser" sheetId="10" r:id="rId7"/>
    <sheet name="Extra" sheetId="54" r:id="rId8"/>
  </sheets>
  <functionGroups builtInGroupCount="17"/>
  <definedNames>
    <definedName name="LastOpenedWorkSheet">REQUEST_TABLE!$AA$1496</definedName>
    <definedName name="LastRefreshed">REQUEST_TABLE!$M$4</definedName>
    <definedName name="StartPosition">REQUEST_TABLE!$B$6</definedName>
    <definedName name="textToday">REQUEST_TABLE!$G$3</definedName>
    <definedName name="VALID_FORMATS">REQUEST_TABLE!$AE$7:$AF$12</definedName>
  </definedNames>
  <calcPr calcId="144525"/>
</workbook>
</file>

<file path=xl/calcChain.xml><?xml version="1.0" encoding="utf-8"?>
<calcChain xmlns="http://schemas.openxmlformats.org/spreadsheetml/2006/main">
  <c r="AZ117" i="49" l="1"/>
  <c r="AT126" i="49"/>
  <c r="AT125" i="49"/>
  <c r="AT124" i="49"/>
  <c r="AT123" i="49"/>
  <c r="AT122" i="49"/>
  <c r="AT121" i="49"/>
  <c r="AT120" i="49"/>
  <c r="AT119" i="49"/>
  <c r="AQ126" i="49"/>
  <c r="AQ125" i="49"/>
  <c r="AQ124" i="49"/>
  <c r="AQ123" i="49"/>
  <c r="AQ122" i="49"/>
  <c r="AQ121" i="49"/>
  <c r="AQ120" i="49"/>
  <c r="AN126" i="49"/>
  <c r="AN125" i="49"/>
  <c r="AN124" i="49"/>
  <c r="AN123" i="49"/>
  <c r="AN122" i="49"/>
  <c r="AN121" i="49"/>
  <c r="AN120" i="49"/>
  <c r="AH126" i="49"/>
  <c r="AI126" i="49" s="1"/>
  <c r="AH125" i="49"/>
  <c r="AI125" i="49" s="1"/>
  <c r="AH124" i="49"/>
  <c r="AI124" i="49" s="1"/>
  <c r="AH123" i="49"/>
  <c r="AI123" i="49" s="1"/>
  <c r="AH122" i="49"/>
  <c r="AI122" i="49" s="1"/>
  <c r="AH121" i="49"/>
  <c r="AI121" i="49" s="1"/>
  <c r="AH120" i="49"/>
  <c r="AI120" i="49" s="1"/>
  <c r="AH130" i="49"/>
  <c r="AN130" i="49"/>
  <c r="AK130" i="49"/>
  <c r="AC126" i="49"/>
  <c r="AC125" i="49"/>
  <c r="AC124" i="49"/>
  <c r="AC123" i="49"/>
  <c r="AC122" i="49"/>
  <c r="AC121" i="49"/>
  <c r="AC120" i="49"/>
  <c r="Y126" i="49"/>
  <c r="Y125" i="49"/>
  <c r="Y124" i="49"/>
  <c r="Y123" i="49"/>
  <c r="Y122" i="49"/>
  <c r="Y121" i="49"/>
  <c r="Y120" i="49"/>
  <c r="U126" i="49"/>
  <c r="U125" i="49"/>
  <c r="U124" i="49"/>
  <c r="U123" i="49"/>
  <c r="U122" i="49"/>
  <c r="U121" i="49"/>
  <c r="U120" i="49"/>
  <c r="Q126" i="49"/>
  <c r="Q125" i="49"/>
  <c r="Q124" i="49"/>
  <c r="Q123" i="49"/>
  <c r="Q122" i="49"/>
  <c r="Q121" i="49"/>
  <c r="Q120" i="49"/>
  <c r="M126" i="49"/>
  <c r="M125" i="49"/>
  <c r="M124" i="49"/>
  <c r="M123" i="49"/>
  <c r="M122" i="49"/>
  <c r="M121" i="49"/>
  <c r="M120" i="49"/>
  <c r="H126" i="49"/>
  <c r="H125" i="49"/>
  <c r="H124" i="49"/>
  <c r="H123" i="49"/>
  <c r="H122" i="49"/>
  <c r="H121" i="49"/>
  <c r="H120" i="49"/>
  <c r="D126" i="49"/>
  <c r="D125" i="49"/>
  <c r="D124" i="49"/>
  <c r="D123" i="49"/>
  <c r="D122" i="49"/>
  <c r="D121" i="49"/>
  <c r="D120" i="49"/>
  <c r="D119" i="49"/>
  <c r="D118" i="49"/>
  <c r="D117" i="49"/>
  <c r="D116" i="49"/>
  <c r="D115" i="49"/>
  <c r="D114" i="49"/>
  <c r="D113" i="49"/>
  <c r="D112" i="49"/>
  <c r="D111" i="49"/>
  <c r="D110" i="49"/>
  <c r="D109" i="49"/>
  <c r="D108" i="49"/>
  <c r="D107" i="49"/>
  <c r="D106" i="49"/>
  <c r="D105" i="49"/>
  <c r="D104" i="49"/>
  <c r="D103" i="49"/>
  <c r="D102" i="49"/>
  <c r="D101" i="49"/>
  <c r="D100" i="49"/>
  <c r="D99" i="49"/>
  <c r="D98" i="49"/>
  <c r="D97" i="49"/>
  <c r="D96" i="49"/>
  <c r="D95" i="49"/>
  <c r="D94" i="49"/>
  <c r="D93" i="49"/>
  <c r="D92" i="49"/>
  <c r="D91" i="49"/>
  <c r="D90" i="49"/>
  <c r="D89" i="49"/>
  <c r="D88" i="49"/>
  <c r="D87" i="49"/>
  <c r="D86" i="49"/>
  <c r="D85" i="49"/>
  <c r="D84" i="49"/>
  <c r="D83" i="49"/>
  <c r="D82" i="49"/>
  <c r="D81" i="49"/>
  <c r="D80" i="49"/>
  <c r="D79" i="49"/>
  <c r="D78" i="49"/>
  <c r="D77" i="49"/>
  <c r="D76" i="49"/>
  <c r="D75" i="49"/>
  <c r="D74" i="49"/>
  <c r="D73" i="49"/>
  <c r="D72" i="49"/>
  <c r="D71" i="49"/>
  <c r="D70" i="49"/>
  <c r="D69" i="49"/>
  <c r="D68" i="49"/>
  <c r="D67" i="49"/>
  <c r="D66" i="49"/>
  <c r="D65" i="49"/>
  <c r="D64" i="49"/>
  <c r="D63" i="49"/>
  <c r="D62" i="49"/>
  <c r="D61" i="49"/>
  <c r="D60" i="49"/>
  <c r="D59" i="49"/>
  <c r="D58" i="49"/>
  <c r="D57" i="49"/>
  <c r="D56" i="49"/>
  <c r="D55" i="49"/>
  <c r="D54" i="49"/>
  <c r="D53" i="49"/>
  <c r="D52" i="49"/>
  <c r="D51" i="49"/>
  <c r="D50" i="49"/>
  <c r="D49" i="49"/>
  <c r="D48" i="49"/>
  <c r="D47" i="49"/>
  <c r="D46" i="49"/>
  <c r="D45" i="49"/>
  <c r="D44" i="49"/>
  <c r="D43" i="49"/>
  <c r="D42" i="49"/>
  <c r="D41" i="49"/>
  <c r="D40" i="49"/>
  <c r="D39" i="49"/>
  <c r="D38" i="49"/>
  <c r="D37" i="49"/>
  <c r="D36" i="49"/>
  <c r="D35" i="49"/>
  <c r="D34" i="49"/>
  <c r="D33" i="49"/>
  <c r="D32" i="49"/>
  <c r="D31" i="49"/>
  <c r="D30" i="49"/>
  <c r="D29" i="49"/>
  <c r="D28" i="49"/>
  <c r="D27" i="49"/>
  <c r="D26" i="49"/>
  <c r="D25" i="49"/>
  <c r="D24" i="49"/>
  <c r="D23" i="49"/>
  <c r="D22" i="49"/>
  <c r="D21" i="49"/>
  <c r="D20" i="49"/>
  <c r="D19" i="49"/>
  <c r="D18" i="49"/>
  <c r="D17" i="49"/>
  <c r="D16" i="49"/>
  <c r="D15" i="49"/>
  <c r="D14" i="49"/>
  <c r="D13" i="49"/>
  <c r="D12" i="49"/>
  <c r="D11" i="49"/>
  <c r="D10" i="49"/>
  <c r="D9" i="49"/>
  <c r="D8" i="49"/>
  <c r="D7" i="49"/>
  <c r="D6" i="49"/>
  <c r="D5" i="49"/>
  <c r="D4" i="49"/>
  <c r="D3" i="49"/>
  <c r="D2" i="49"/>
  <c r="D1" i="49"/>
  <c r="AC123" i="51" l="1"/>
  <c r="AB123" i="51"/>
  <c r="AC122" i="51"/>
  <c r="AD122" i="51" s="1"/>
  <c r="AB122" i="51"/>
  <c r="AC121" i="51"/>
  <c r="AD121" i="51" s="1"/>
  <c r="AB121" i="51"/>
  <c r="Z120" i="51"/>
  <c r="T120" i="51"/>
  <c r="P120" i="51"/>
  <c r="Z119" i="51"/>
  <c r="T119" i="51"/>
  <c r="P119" i="51"/>
  <c r="Z118" i="51"/>
  <c r="T118" i="51"/>
  <c r="P118" i="51"/>
  <c r="AD123" i="51" l="1"/>
  <c r="AT118" i="49"/>
  <c r="AT117" i="49"/>
  <c r="AT116" i="49"/>
  <c r="AT115" i="49"/>
  <c r="AT114" i="49"/>
  <c r="AT113" i="49"/>
  <c r="AT112" i="49"/>
  <c r="AT111" i="49"/>
  <c r="AT110" i="49"/>
  <c r="AT109" i="49"/>
  <c r="AT108" i="49"/>
  <c r="AT107" i="49"/>
  <c r="AT106" i="49"/>
  <c r="AT105" i="49"/>
  <c r="AT104" i="49"/>
  <c r="AT103" i="49"/>
  <c r="AT102" i="49"/>
  <c r="AT101" i="49"/>
  <c r="AT100" i="49"/>
  <c r="AT99" i="49"/>
  <c r="AT98" i="49"/>
  <c r="AT97" i="49"/>
  <c r="AT96" i="49"/>
  <c r="AT95" i="49"/>
  <c r="AT94" i="49"/>
  <c r="AT93" i="49"/>
  <c r="AT92" i="49"/>
  <c r="AT91" i="49"/>
  <c r="AT90" i="49"/>
  <c r="AT89" i="49"/>
  <c r="AT88" i="49"/>
  <c r="AT87" i="49"/>
  <c r="AT86" i="49"/>
  <c r="AT85" i="49"/>
  <c r="AT84" i="49"/>
  <c r="AT83" i="49"/>
  <c r="AT82" i="49"/>
  <c r="AT81" i="49"/>
  <c r="AT80" i="49"/>
  <c r="AT79" i="49"/>
  <c r="AT78" i="49"/>
  <c r="AT77" i="49"/>
  <c r="AT76" i="49"/>
  <c r="AT75" i="49"/>
  <c r="AT74" i="49"/>
  <c r="AT73" i="49"/>
  <c r="AT72" i="49"/>
  <c r="AT71" i="49"/>
  <c r="AT70" i="49"/>
  <c r="AT69" i="49"/>
  <c r="AT68" i="49"/>
  <c r="AT67" i="49"/>
  <c r="AT66" i="49"/>
  <c r="AT65" i="49"/>
  <c r="AT64" i="49"/>
  <c r="AT63" i="49"/>
  <c r="AT62" i="49"/>
  <c r="AT61" i="49"/>
  <c r="AT60" i="49"/>
  <c r="AT59" i="49"/>
  <c r="AT58" i="49"/>
  <c r="AT57" i="49"/>
  <c r="AT56" i="49"/>
  <c r="AT55" i="49"/>
  <c r="AT54" i="49"/>
  <c r="AT53" i="49"/>
  <c r="AT52" i="49"/>
  <c r="AT51" i="49"/>
  <c r="AT50" i="49"/>
  <c r="AT49" i="49"/>
  <c r="AT48" i="49"/>
  <c r="AT47" i="49"/>
  <c r="AT46" i="49"/>
  <c r="AT45" i="49"/>
  <c r="AT44" i="49"/>
  <c r="AT43" i="49"/>
  <c r="AT42" i="49"/>
  <c r="AT41" i="49"/>
  <c r="AT40" i="49"/>
  <c r="AT39" i="49"/>
  <c r="AT38" i="49"/>
  <c r="AT37" i="49"/>
  <c r="AT36" i="49"/>
  <c r="AT35" i="49"/>
  <c r="AT34" i="49"/>
  <c r="AT33" i="49"/>
  <c r="AT32" i="49"/>
  <c r="AT31" i="49"/>
  <c r="AT30" i="49"/>
  <c r="AT29" i="49"/>
  <c r="AT28" i="49"/>
  <c r="AT27" i="49"/>
  <c r="AT26" i="49"/>
  <c r="AT25" i="49"/>
  <c r="AT24" i="49"/>
  <c r="AT23" i="49"/>
  <c r="AT22" i="49"/>
  <c r="AT21" i="49"/>
  <c r="AT20" i="49"/>
  <c r="AT19" i="49"/>
  <c r="AT18" i="49"/>
  <c r="AT17" i="49"/>
  <c r="AT16" i="49"/>
  <c r="AT15" i="49"/>
  <c r="AT14" i="49"/>
  <c r="AT13" i="49"/>
  <c r="AT12" i="49"/>
  <c r="AT11" i="49"/>
  <c r="AT10" i="49"/>
  <c r="AT9" i="49"/>
  <c r="AT8" i="49"/>
  <c r="AT7" i="49"/>
  <c r="AT6" i="49"/>
  <c r="AT5" i="49"/>
  <c r="AT4" i="49"/>
  <c r="AT3" i="49"/>
  <c r="AT2" i="49"/>
  <c r="AT1" i="49"/>
  <c r="AN119" i="49"/>
  <c r="AN118" i="49"/>
  <c r="AN117" i="49"/>
  <c r="AN116" i="49"/>
  <c r="AN115" i="49"/>
  <c r="AN114" i="49"/>
  <c r="AN113" i="49"/>
  <c r="AN112" i="49"/>
  <c r="AN111" i="49"/>
  <c r="AN110" i="49"/>
  <c r="AN109" i="49"/>
  <c r="AN108" i="49"/>
  <c r="AN107" i="49"/>
  <c r="AN106" i="49"/>
  <c r="AN105" i="49"/>
  <c r="AN104" i="49"/>
  <c r="AN103" i="49"/>
  <c r="AN102" i="49"/>
  <c r="AN101" i="49"/>
  <c r="AN100" i="49"/>
  <c r="AN99" i="49"/>
  <c r="AN98" i="49"/>
  <c r="AN97" i="49"/>
  <c r="AN96" i="49"/>
  <c r="AN95" i="49"/>
  <c r="AN94" i="49"/>
  <c r="AN93" i="49"/>
  <c r="AN92" i="49"/>
  <c r="AN91" i="49"/>
  <c r="AN90" i="49"/>
  <c r="AN89" i="49"/>
  <c r="AN88" i="49"/>
  <c r="AN87" i="49"/>
  <c r="AN86" i="49"/>
  <c r="AN85" i="49"/>
  <c r="AN84" i="49"/>
  <c r="AN83" i="49"/>
  <c r="AN82" i="49"/>
  <c r="AN81" i="49"/>
  <c r="AN80" i="49"/>
  <c r="AN79" i="49"/>
  <c r="AN78" i="49"/>
  <c r="AN77" i="49"/>
  <c r="AN76" i="49"/>
  <c r="AN75" i="49"/>
  <c r="AN74" i="49"/>
  <c r="AN73" i="49"/>
  <c r="AN72" i="49"/>
  <c r="AN71" i="49"/>
  <c r="AN70" i="49"/>
  <c r="AN69" i="49"/>
  <c r="AN68" i="49"/>
  <c r="AN67" i="49"/>
  <c r="AN66" i="49"/>
  <c r="AN65" i="49"/>
  <c r="AN64" i="49"/>
  <c r="AN63" i="49"/>
  <c r="AN62" i="49"/>
  <c r="AN61" i="49"/>
  <c r="AN60" i="49"/>
  <c r="AN59" i="49"/>
  <c r="AN58" i="49"/>
  <c r="AN57" i="49"/>
  <c r="AN56" i="49"/>
  <c r="AN55" i="49"/>
  <c r="AN54" i="49"/>
  <c r="AN53" i="49"/>
  <c r="AN52" i="49"/>
  <c r="AN51" i="49"/>
  <c r="AN50" i="49"/>
  <c r="AN49" i="49"/>
  <c r="AN48" i="49"/>
  <c r="AN47" i="49"/>
  <c r="AN46" i="49"/>
  <c r="AN45" i="49"/>
  <c r="AN44" i="49"/>
  <c r="AN43" i="49"/>
  <c r="AN42" i="49"/>
  <c r="AN41" i="49"/>
  <c r="AN40" i="49"/>
  <c r="AN39" i="49"/>
  <c r="AN38" i="49"/>
  <c r="AN37" i="49"/>
  <c r="AN36" i="49"/>
  <c r="AN35" i="49"/>
  <c r="AN34" i="49"/>
  <c r="AN33" i="49"/>
  <c r="AN32" i="49"/>
  <c r="AN31" i="49"/>
  <c r="AN30" i="49"/>
  <c r="AN29" i="49"/>
  <c r="AN28" i="49"/>
  <c r="AN27" i="49"/>
  <c r="AN26" i="49"/>
  <c r="AN25" i="49"/>
  <c r="AN24" i="49"/>
  <c r="AN23" i="49"/>
  <c r="AN22" i="49"/>
  <c r="AN21" i="49"/>
  <c r="AN20" i="49"/>
  <c r="AN19" i="49"/>
  <c r="AN18" i="49"/>
  <c r="AN17" i="49"/>
  <c r="AN16" i="49"/>
  <c r="AN15" i="49"/>
  <c r="AN14" i="49"/>
  <c r="AN13" i="49"/>
  <c r="AN12" i="49"/>
  <c r="AN11" i="49"/>
  <c r="AN10" i="49"/>
  <c r="AN9" i="49"/>
  <c r="AN8" i="49"/>
  <c r="AN7" i="49"/>
  <c r="AN6" i="49"/>
  <c r="AN5" i="49"/>
  <c r="AN4" i="49"/>
  <c r="AN3" i="49"/>
  <c r="AN2" i="49"/>
  <c r="AQ119" i="49"/>
  <c r="AQ118" i="49"/>
  <c r="AQ117" i="49"/>
  <c r="AQ116" i="49"/>
  <c r="AQ115" i="49"/>
  <c r="AQ114" i="49"/>
  <c r="AQ113" i="49"/>
  <c r="AQ112" i="49"/>
  <c r="AQ111" i="49"/>
  <c r="AQ110" i="49"/>
  <c r="AQ109" i="49"/>
  <c r="AQ108" i="49"/>
  <c r="AQ107" i="49"/>
  <c r="AQ106" i="49"/>
  <c r="AQ105" i="49"/>
  <c r="AQ104" i="49"/>
  <c r="AQ103" i="49"/>
  <c r="AQ102" i="49"/>
  <c r="AQ101" i="49"/>
  <c r="AQ100" i="49"/>
  <c r="AQ99" i="49"/>
  <c r="AQ98" i="49"/>
  <c r="AQ97" i="49"/>
  <c r="AQ96" i="49"/>
  <c r="AQ95" i="49"/>
  <c r="AQ94" i="49"/>
  <c r="AQ93" i="49"/>
  <c r="AQ92" i="49"/>
  <c r="AQ91" i="49"/>
  <c r="AQ90" i="49"/>
  <c r="AQ89" i="49"/>
  <c r="AQ88" i="49"/>
  <c r="AQ87" i="49"/>
  <c r="AQ86" i="49"/>
  <c r="AQ85" i="49"/>
  <c r="AQ84" i="49"/>
  <c r="AQ83" i="49"/>
  <c r="AQ82" i="49"/>
  <c r="AQ81" i="49"/>
  <c r="AQ80" i="49"/>
  <c r="AQ79" i="49"/>
  <c r="AQ78" i="49"/>
  <c r="AQ77" i="49"/>
  <c r="AQ76" i="49"/>
  <c r="AQ75" i="49"/>
  <c r="AQ74" i="49"/>
  <c r="AQ73" i="49"/>
  <c r="AQ72" i="49"/>
  <c r="AQ71" i="49"/>
  <c r="AQ70" i="49"/>
  <c r="AQ69" i="49"/>
  <c r="AQ68" i="49"/>
  <c r="AQ67" i="49"/>
  <c r="AQ66" i="49"/>
  <c r="AQ65" i="49"/>
  <c r="AQ64" i="49"/>
  <c r="AQ63" i="49"/>
  <c r="AQ62" i="49"/>
  <c r="AQ61" i="49"/>
  <c r="AQ60" i="49"/>
  <c r="AQ59" i="49"/>
  <c r="AQ58" i="49"/>
  <c r="AQ57" i="49"/>
  <c r="AQ56" i="49"/>
  <c r="AQ55" i="49"/>
  <c r="AQ54" i="49"/>
  <c r="AQ53" i="49"/>
  <c r="AQ52" i="49"/>
  <c r="AQ51" i="49"/>
  <c r="AQ50" i="49"/>
  <c r="AQ49" i="49"/>
  <c r="AQ48" i="49"/>
  <c r="AQ47" i="49"/>
  <c r="AQ46" i="49"/>
  <c r="AQ45" i="49"/>
  <c r="AQ44" i="49"/>
  <c r="AQ43" i="49"/>
  <c r="AQ42" i="49"/>
  <c r="AQ41" i="49"/>
  <c r="AQ40" i="49"/>
  <c r="AQ39" i="49"/>
  <c r="AQ38" i="49"/>
  <c r="AQ37" i="49"/>
  <c r="AQ36" i="49"/>
  <c r="AQ35" i="49"/>
  <c r="AQ34" i="49"/>
  <c r="AQ33" i="49"/>
  <c r="AQ32" i="49"/>
  <c r="AQ31" i="49"/>
  <c r="AQ30" i="49"/>
  <c r="AQ29" i="49"/>
  <c r="AQ28" i="49"/>
  <c r="AQ27" i="49"/>
  <c r="AQ26" i="49"/>
  <c r="AQ25" i="49"/>
  <c r="AQ24" i="49"/>
  <c r="AQ23" i="49"/>
  <c r="AQ22" i="49"/>
  <c r="AQ21" i="49"/>
  <c r="AQ20" i="49"/>
  <c r="AQ19" i="49"/>
  <c r="AQ18" i="49"/>
  <c r="AQ17" i="49"/>
  <c r="AQ16" i="49"/>
  <c r="AQ15" i="49"/>
  <c r="AQ14" i="49"/>
  <c r="AQ13" i="49"/>
  <c r="AQ12" i="49"/>
  <c r="AQ11" i="49"/>
  <c r="AQ10" i="49"/>
  <c r="AQ9" i="49"/>
  <c r="AQ8" i="49"/>
  <c r="AQ7" i="49"/>
  <c r="AQ6" i="49"/>
  <c r="AQ5" i="49"/>
  <c r="AQ4" i="49"/>
  <c r="AQ3" i="49"/>
  <c r="AQ2" i="49"/>
  <c r="AQ1" i="49"/>
  <c r="AN1" i="49"/>
  <c r="H217" i="50" l="1"/>
  <c r="H216" i="50"/>
  <c r="H215" i="50"/>
  <c r="H214" i="50"/>
  <c r="H213" i="50"/>
  <c r="H212" i="50"/>
  <c r="H211" i="50"/>
  <c r="H210" i="50"/>
  <c r="H209" i="50"/>
  <c r="H208" i="50"/>
  <c r="H207" i="50"/>
  <c r="H206" i="50"/>
  <c r="H205" i="50"/>
  <c r="H204" i="50"/>
  <c r="H203" i="50"/>
  <c r="H202" i="50"/>
  <c r="H201" i="50"/>
  <c r="H200" i="50"/>
  <c r="H199" i="50"/>
  <c r="H198" i="50"/>
  <c r="H197" i="50"/>
  <c r="H196" i="50"/>
  <c r="H195" i="50"/>
  <c r="H194" i="50"/>
  <c r="H193" i="50"/>
  <c r="H192" i="50"/>
  <c r="H191" i="50"/>
  <c r="H190" i="50"/>
  <c r="H189" i="50"/>
  <c r="H188" i="50"/>
  <c r="H187" i="50"/>
  <c r="H186" i="50"/>
  <c r="H185" i="50"/>
  <c r="H184" i="50"/>
  <c r="H183" i="50"/>
  <c r="H182" i="50"/>
  <c r="H181" i="50"/>
  <c r="H180" i="50"/>
  <c r="H179" i="50"/>
  <c r="H178" i="50"/>
  <c r="H177" i="50"/>
  <c r="H176" i="50"/>
  <c r="H175" i="50"/>
  <c r="H174" i="50"/>
  <c r="H173" i="50"/>
  <c r="H172" i="50"/>
  <c r="H171" i="50"/>
  <c r="H170" i="50"/>
  <c r="H169" i="50"/>
  <c r="H168" i="50"/>
  <c r="H167" i="50"/>
  <c r="H166" i="50"/>
  <c r="H165" i="50"/>
  <c r="H164" i="50"/>
  <c r="H163" i="50"/>
  <c r="H162" i="50"/>
  <c r="H161" i="50"/>
  <c r="H160" i="50"/>
  <c r="H159" i="50"/>
  <c r="H158" i="50"/>
  <c r="H157" i="50"/>
  <c r="H156" i="50"/>
  <c r="H155" i="50"/>
  <c r="H154" i="50"/>
  <c r="H153" i="50"/>
  <c r="H152" i="50"/>
  <c r="H151" i="50"/>
  <c r="H150" i="50"/>
  <c r="H149" i="50"/>
  <c r="H148" i="50"/>
  <c r="H147" i="50"/>
  <c r="H146" i="50"/>
  <c r="H145" i="50"/>
  <c r="H144" i="50"/>
  <c r="H143" i="50"/>
  <c r="H142" i="50"/>
  <c r="H141" i="50"/>
  <c r="H140" i="50"/>
  <c r="H139" i="50"/>
  <c r="H138" i="50"/>
  <c r="H137" i="50"/>
  <c r="H136" i="50"/>
  <c r="H135" i="50"/>
  <c r="H134" i="50"/>
  <c r="H133" i="50"/>
  <c r="H132" i="50"/>
  <c r="H131" i="50"/>
  <c r="H130" i="50"/>
  <c r="H129" i="50"/>
  <c r="H128" i="50"/>
  <c r="H127" i="50"/>
  <c r="H126" i="50"/>
  <c r="H125" i="50"/>
  <c r="H124" i="50"/>
  <c r="H123" i="50"/>
  <c r="H122" i="50"/>
  <c r="H121" i="50"/>
  <c r="H120" i="50"/>
  <c r="H119" i="50"/>
  <c r="H118" i="50"/>
  <c r="H117" i="50"/>
  <c r="H116" i="50"/>
  <c r="H115" i="50"/>
  <c r="H114" i="50"/>
  <c r="H113" i="50"/>
  <c r="H112" i="50"/>
  <c r="H111" i="50"/>
  <c r="H110" i="50"/>
  <c r="H109" i="50"/>
  <c r="H108" i="50"/>
  <c r="H107" i="50"/>
  <c r="H106" i="50"/>
  <c r="H105" i="50"/>
  <c r="H104" i="50"/>
  <c r="H103" i="50"/>
  <c r="H102" i="50"/>
  <c r="H101" i="50"/>
  <c r="H100" i="50"/>
  <c r="H99" i="50"/>
  <c r="H98" i="50"/>
  <c r="H97" i="50"/>
  <c r="H96" i="50"/>
  <c r="H95" i="50"/>
  <c r="H94" i="50"/>
  <c r="H93" i="50"/>
  <c r="H92" i="50"/>
  <c r="H91" i="50"/>
  <c r="H90" i="50"/>
  <c r="H89" i="50"/>
  <c r="H88" i="50"/>
  <c r="H87" i="50"/>
  <c r="H86" i="50"/>
  <c r="H85" i="50"/>
  <c r="H84" i="50"/>
  <c r="H83" i="50"/>
  <c r="H82" i="50"/>
  <c r="H81" i="50"/>
  <c r="H80" i="50"/>
  <c r="H79" i="50"/>
  <c r="H78" i="50"/>
  <c r="H77" i="50"/>
  <c r="H76" i="50"/>
  <c r="H75" i="50"/>
  <c r="H74" i="50"/>
  <c r="H73" i="50"/>
  <c r="H72" i="50"/>
  <c r="H71" i="50"/>
  <c r="H70" i="50"/>
  <c r="H69" i="50"/>
  <c r="H68" i="50"/>
  <c r="H67" i="50"/>
  <c r="H66" i="50"/>
  <c r="H65" i="50"/>
  <c r="H64" i="50"/>
  <c r="H63" i="50"/>
  <c r="H62" i="50"/>
  <c r="H61" i="50"/>
  <c r="H60" i="50"/>
  <c r="H59" i="50"/>
  <c r="H58" i="50"/>
  <c r="H57" i="50"/>
  <c r="H56" i="50"/>
  <c r="H55" i="50"/>
  <c r="H54" i="50"/>
  <c r="H53" i="50"/>
  <c r="H52" i="50"/>
  <c r="H51" i="50"/>
  <c r="H50" i="50"/>
  <c r="H49" i="50"/>
  <c r="H48" i="50"/>
  <c r="H47" i="50"/>
  <c r="H46" i="50"/>
  <c r="H45" i="50"/>
  <c r="H44" i="50"/>
  <c r="H43" i="50"/>
  <c r="H42" i="50"/>
  <c r="H41" i="50"/>
  <c r="H40" i="50"/>
  <c r="H39" i="50"/>
  <c r="H38" i="50"/>
  <c r="H37" i="50"/>
  <c r="H36" i="50"/>
  <c r="H35" i="50"/>
  <c r="H34" i="50"/>
  <c r="H33" i="50"/>
  <c r="H32" i="50"/>
  <c r="H31" i="50"/>
  <c r="H30" i="50"/>
  <c r="H29" i="50"/>
  <c r="H28" i="50"/>
  <c r="H27" i="50"/>
  <c r="H26" i="50"/>
  <c r="H25" i="50"/>
  <c r="H24" i="50"/>
  <c r="H23" i="50"/>
  <c r="H22" i="50"/>
  <c r="H21" i="50"/>
  <c r="H20" i="50"/>
  <c r="H19" i="50"/>
  <c r="H18" i="50"/>
  <c r="H17" i="50"/>
  <c r="H16" i="50"/>
  <c r="H15" i="50"/>
  <c r="H14" i="50"/>
  <c r="H13" i="50"/>
  <c r="H12" i="50"/>
  <c r="H11" i="50"/>
  <c r="H10" i="50"/>
  <c r="H9" i="50"/>
  <c r="H8" i="50"/>
  <c r="H7" i="50"/>
  <c r="H6" i="50"/>
  <c r="H5" i="50"/>
  <c r="H4" i="50"/>
  <c r="H3" i="50"/>
  <c r="H2" i="50" l="1"/>
  <c r="AW117" i="49" l="1"/>
  <c r="AW116" i="49"/>
  <c r="AW115" i="49"/>
  <c r="AW114" i="49"/>
  <c r="AW113" i="49"/>
  <c r="AW112" i="49"/>
  <c r="AW111" i="49"/>
  <c r="AW110" i="49"/>
  <c r="AW109" i="49"/>
  <c r="AW108" i="49"/>
  <c r="AW107" i="49"/>
  <c r="AW106" i="49"/>
  <c r="AW105" i="49"/>
  <c r="AW104" i="49"/>
  <c r="AW103" i="49"/>
  <c r="AW102" i="49"/>
  <c r="AW101" i="49"/>
  <c r="AW100" i="49"/>
  <c r="AW99" i="49"/>
  <c r="AW98" i="49"/>
  <c r="AW97" i="49"/>
  <c r="AW96" i="49"/>
  <c r="AW95" i="49"/>
  <c r="AW94" i="49"/>
  <c r="AW93" i="49"/>
  <c r="AW92" i="49"/>
  <c r="AW91" i="49"/>
  <c r="AW90" i="49"/>
  <c r="AW89" i="49"/>
  <c r="AW88" i="49"/>
  <c r="AW87" i="49"/>
  <c r="AW86" i="49"/>
  <c r="AW85" i="49"/>
  <c r="AW84" i="49"/>
  <c r="AW83" i="49"/>
  <c r="AW82" i="49"/>
  <c r="AW81" i="49"/>
  <c r="AW80" i="49"/>
  <c r="AW79" i="49"/>
  <c r="AW78" i="49"/>
  <c r="AW77" i="49"/>
  <c r="AW76" i="49"/>
  <c r="AW75" i="49"/>
  <c r="AW74" i="49"/>
  <c r="AW73" i="49"/>
  <c r="AW72" i="49"/>
  <c r="AW71" i="49"/>
  <c r="AW70" i="49"/>
  <c r="AW69" i="49"/>
  <c r="AW68" i="49"/>
  <c r="AW67" i="49"/>
  <c r="AW66" i="49"/>
  <c r="AW65" i="49"/>
  <c r="AW64" i="49"/>
  <c r="AW63" i="49"/>
  <c r="AW62" i="49"/>
  <c r="AW61" i="49"/>
  <c r="AW60" i="49"/>
  <c r="AW59" i="49"/>
  <c r="AW58" i="49"/>
  <c r="AW57" i="49"/>
  <c r="AW56" i="49"/>
  <c r="AW55" i="49"/>
  <c r="AW54" i="49"/>
  <c r="AW53" i="49"/>
  <c r="AW52" i="49"/>
  <c r="AW51" i="49"/>
  <c r="AW50" i="49"/>
  <c r="AW49" i="49"/>
  <c r="AW48" i="49"/>
  <c r="AW47" i="49"/>
  <c r="AW46" i="49"/>
  <c r="AW45" i="49"/>
  <c r="AW44" i="49"/>
  <c r="AW43" i="49"/>
  <c r="AW42" i="49"/>
  <c r="AW41" i="49"/>
  <c r="AW40" i="49"/>
  <c r="AW39" i="49"/>
  <c r="AW38" i="49"/>
  <c r="AW37" i="49"/>
  <c r="AW36" i="49"/>
  <c r="AW35" i="49"/>
  <c r="AW34" i="49"/>
  <c r="AW33" i="49"/>
  <c r="AW32" i="49"/>
  <c r="AW31" i="49"/>
  <c r="AW30" i="49"/>
  <c r="AW29" i="49"/>
  <c r="AW28" i="49"/>
  <c r="AW27" i="49"/>
  <c r="AW26" i="49"/>
  <c r="AW25" i="49"/>
  <c r="AW24" i="49"/>
  <c r="AW23" i="49"/>
  <c r="AW22" i="49"/>
  <c r="AW21" i="49"/>
  <c r="AW20" i="49"/>
  <c r="AW19" i="49"/>
  <c r="AW18" i="49"/>
  <c r="AW17" i="49"/>
  <c r="AW16" i="49"/>
  <c r="AW15" i="49"/>
  <c r="AW14" i="49"/>
  <c r="AW13" i="49"/>
  <c r="AW12" i="49"/>
  <c r="AW11" i="49"/>
  <c r="AW10" i="49"/>
  <c r="AW9" i="49"/>
  <c r="AW8" i="49"/>
  <c r="AW7" i="49"/>
  <c r="AW6" i="49"/>
  <c r="AW5" i="49"/>
  <c r="AW4" i="49"/>
  <c r="AW3" i="49"/>
  <c r="AW2" i="49"/>
  <c r="AW1" i="49"/>
  <c r="AJ116" i="49"/>
  <c r="AJ115" i="49"/>
  <c r="AJ114" i="49"/>
  <c r="AJ113" i="49"/>
  <c r="AJ112" i="49"/>
  <c r="AJ111" i="49"/>
  <c r="AJ110" i="49"/>
  <c r="AJ109" i="49"/>
  <c r="AJ108" i="49"/>
  <c r="AJ107" i="49"/>
  <c r="AJ106" i="49"/>
  <c r="AJ105" i="49"/>
  <c r="AJ104" i="49"/>
  <c r="AJ103" i="49"/>
  <c r="AJ102" i="49"/>
  <c r="AJ101" i="49"/>
  <c r="AJ100" i="49"/>
  <c r="AJ99" i="49"/>
  <c r="AJ98" i="49"/>
  <c r="AJ97" i="49"/>
  <c r="AJ96" i="49"/>
  <c r="AJ95" i="49"/>
  <c r="AJ94" i="49"/>
  <c r="AJ93" i="49"/>
  <c r="AJ92" i="49"/>
  <c r="AJ91" i="49"/>
  <c r="AJ90" i="49"/>
  <c r="AJ89" i="49"/>
  <c r="AJ88" i="49"/>
  <c r="AJ87" i="49"/>
  <c r="AJ86" i="49"/>
  <c r="AJ85" i="49"/>
  <c r="AJ84" i="49"/>
  <c r="AJ83" i="49"/>
  <c r="AJ82" i="49"/>
  <c r="AJ81" i="49"/>
  <c r="AJ80" i="49"/>
  <c r="AJ79" i="49"/>
  <c r="AJ78" i="49"/>
  <c r="AJ77" i="49"/>
  <c r="AJ76" i="49"/>
  <c r="AJ75" i="49"/>
  <c r="AJ74" i="49"/>
  <c r="AJ73" i="49"/>
  <c r="AJ72" i="49"/>
  <c r="AJ71" i="49"/>
  <c r="AJ70" i="49"/>
  <c r="AJ69" i="49"/>
  <c r="AJ68" i="49"/>
  <c r="AJ67" i="49"/>
  <c r="AJ66" i="49"/>
  <c r="AJ65" i="49"/>
  <c r="AJ64" i="49"/>
  <c r="AJ63" i="49"/>
  <c r="AJ62" i="49"/>
  <c r="AJ61" i="49"/>
  <c r="AJ60" i="49"/>
  <c r="AJ59" i="49"/>
  <c r="AJ58" i="49"/>
  <c r="AJ57" i="49"/>
  <c r="AJ56" i="49"/>
  <c r="AJ55" i="49"/>
  <c r="AJ54" i="49"/>
  <c r="AJ53" i="49"/>
  <c r="AJ52" i="49"/>
  <c r="AJ51" i="49"/>
  <c r="AJ50" i="49"/>
  <c r="AJ49" i="49"/>
  <c r="AJ48" i="49"/>
  <c r="AJ47" i="49"/>
  <c r="AJ46" i="49"/>
  <c r="AJ45" i="49"/>
  <c r="AJ44" i="49"/>
  <c r="AJ43" i="49"/>
  <c r="AJ42" i="49"/>
  <c r="AJ41" i="49"/>
  <c r="AJ40" i="49"/>
  <c r="AJ39" i="49"/>
  <c r="AJ38" i="49"/>
  <c r="AJ37" i="49"/>
  <c r="AJ36" i="49"/>
  <c r="AJ35" i="49"/>
  <c r="AJ34" i="49"/>
  <c r="AJ33" i="49"/>
  <c r="AJ32" i="49"/>
  <c r="AJ31" i="49"/>
  <c r="AJ30" i="49"/>
  <c r="AJ29" i="49"/>
  <c r="AJ28" i="49"/>
  <c r="AJ27" i="49"/>
  <c r="AJ26" i="49"/>
  <c r="AJ25" i="49"/>
  <c r="AJ24" i="49"/>
  <c r="AJ23" i="49"/>
  <c r="AJ22" i="49"/>
  <c r="AJ21" i="49"/>
  <c r="AJ20" i="49"/>
  <c r="AJ19" i="49"/>
  <c r="AJ18" i="49"/>
  <c r="AJ17" i="49"/>
  <c r="AJ16" i="49"/>
  <c r="AJ15" i="49"/>
  <c r="AJ14" i="49"/>
  <c r="AJ13" i="49"/>
  <c r="AJ12" i="49"/>
  <c r="AJ11" i="49"/>
  <c r="AJ10" i="49"/>
  <c r="AJ9" i="49"/>
  <c r="AJ8" i="49"/>
  <c r="AJ7" i="49"/>
  <c r="AJ6" i="49"/>
  <c r="AJ5" i="49"/>
  <c r="AJ4" i="49"/>
  <c r="AJ3" i="49"/>
  <c r="AJ2" i="49"/>
  <c r="AJ1" i="49"/>
  <c r="AM142" i="49"/>
  <c r="AI141" i="49"/>
  <c r="AI142" i="49" s="1"/>
  <c r="AI143" i="49" s="1"/>
  <c r="AI144" i="49" s="1"/>
  <c r="AI145" i="49" s="1"/>
  <c r="AI146" i="49" s="1"/>
  <c r="AI147" i="49" s="1"/>
  <c r="AI148" i="49" s="1"/>
  <c r="AI149" i="49" s="1"/>
  <c r="AI150" i="49" s="1"/>
  <c r="AI151" i="49" s="1"/>
  <c r="AI152" i="49" s="1"/>
  <c r="AI153" i="49" s="1"/>
  <c r="AI154" i="49" s="1"/>
  <c r="AI155" i="49" s="1"/>
  <c r="AI156" i="49" s="1"/>
  <c r="AI157" i="49" s="1"/>
  <c r="AI158" i="49" s="1"/>
  <c r="AI159" i="49" s="1"/>
  <c r="AI160" i="49" s="1"/>
  <c r="AI161" i="49" s="1"/>
  <c r="AI162" i="49" s="1"/>
  <c r="AI163" i="49" s="1"/>
  <c r="AI164" i="49" s="1"/>
  <c r="AI165" i="49" s="1"/>
  <c r="AI166" i="49" s="1"/>
  <c r="AI167" i="49" s="1"/>
  <c r="AI168" i="49" s="1"/>
  <c r="AI169" i="49" s="1"/>
  <c r="AI170" i="49" s="1"/>
  <c r="AI171" i="49" s="1"/>
  <c r="AI172" i="49" s="1"/>
  <c r="AI173" i="49" s="1"/>
  <c r="AI174" i="49" s="1"/>
  <c r="AI175" i="49" s="1"/>
  <c r="AI176" i="49" s="1"/>
  <c r="AI177" i="49" s="1"/>
  <c r="AM143" i="49" l="1"/>
  <c r="AM144" i="49" l="1"/>
  <c r="AM145" i="49" l="1"/>
  <c r="AM146" i="49" l="1"/>
  <c r="AM147" i="49" l="1"/>
  <c r="AM148" i="49" l="1"/>
  <c r="AM149" i="49" l="1"/>
  <c r="AM150" i="49" l="1"/>
  <c r="AL177" i="49"/>
  <c r="AL176" i="49"/>
  <c r="AL175" i="49"/>
  <c r="AL174" i="49"/>
  <c r="AL173" i="49"/>
  <c r="AL172" i="49"/>
  <c r="AL171" i="49"/>
  <c r="AL170" i="49"/>
  <c r="AL169" i="49"/>
  <c r="AL168" i="49"/>
  <c r="AL167" i="49"/>
  <c r="AL166" i="49"/>
  <c r="AL165" i="49"/>
  <c r="AL164" i="49"/>
  <c r="AL163" i="49"/>
  <c r="AL162" i="49"/>
  <c r="AL161" i="49"/>
  <c r="AL160" i="49"/>
  <c r="AL159" i="49"/>
  <c r="AL158" i="49"/>
  <c r="AL157" i="49"/>
  <c r="AL156" i="49"/>
  <c r="AL155" i="49"/>
  <c r="AL154" i="49"/>
  <c r="AL153" i="49"/>
  <c r="AL152" i="49"/>
  <c r="AL151" i="49"/>
  <c r="AL150" i="49"/>
  <c r="AL149" i="49"/>
  <c r="AL148" i="49"/>
  <c r="AL147" i="49"/>
  <c r="AL146" i="49"/>
  <c r="AL145" i="49"/>
  <c r="AL144" i="49"/>
  <c r="AL143" i="49"/>
  <c r="AL142" i="49"/>
  <c r="AL141" i="49"/>
  <c r="AL140" i="49"/>
  <c r="BU120" i="49"/>
  <c r="BT120" i="49"/>
  <c r="AH119" i="49"/>
  <c r="AH118" i="49"/>
  <c r="AH117" i="49"/>
  <c r="AH116" i="49"/>
  <c r="AH115" i="49"/>
  <c r="AH114" i="49"/>
  <c r="AH113" i="49"/>
  <c r="AH112" i="49"/>
  <c r="AH111" i="49"/>
  <c r="AH110" i="49"/>
  <c r="AH109" i="49"/>
  <c r="AH108" i="49"/>
  <c r="AH107" i="49"/>
  <c r="AH106" i="49"/>
  <c r="AH105" i="49"/>
  <c r="AH104" i="49"/>
  <c r="AH103" i="49"/>
  <c r="AH102" i="49"/>
  <c r="AH101" i="49"/>
  <c r="AH100" i="49"/>
  <c r="AH99" i="49"/>
  <c r="AH98" i="49"/>
  <c r="AH97" i="49"/>
  <c r="AH96" i="49"/>
  <c r="AH95" i="49"/>
  <c r="AH94" i="49"/>
  <c r="AH93" i="49"/>
  <c r="AH92" i="49"/>
  <c r="AH91" i="49"/>
  <c r="AH90" i="49"/>
  <c r="AH89" i="49"/>
  <c r="AH88" i="49"/>
  <c r="AH87" i="49"/>
  <c r="AH86" i="49"/>
  <c r="AH85" i="49"/>
  <c r="AH84" i="49"/>
  <c r="AH83" i="49"/>
  <c r="AH82" i="49"/>
  <c r="AH81" i="49"/>
  <c r="AH80" i="49"/>
  <c r="AH79" i="49"/>
  <c r="AH78" i="49"/>
  <c r="AH77" i="49"/>
  <c r="AH76" i="49"/>
  <c r="AH75" i="49"/>
  <c r="AH74" i="49"/>
  <c r="AH73" i="49"/>
  <c r="AH72" i="49"/>
  <c r="AH71" i="49"/>
  <c r="AH70" i="49"/>
  <c r="AH69" i="49"/>
  <c r="AH68" i="49"/>
  <c r="AH67" i="49"/>
  <c r="AH66" i="49"/>
  <c r="AH65" i="49"/>
  <c r="AH64" i="49"/>
  <c r="AH63" i="49"/>
  <c r="AH62" i="49"/>
  <c r="AH61" i="49"/>
  <c r="AH60" i="49"/>
  <c r="AH59" i="49"/>
  <c r="AH58" i="49"/>
  <c r="AH57" i="49"/>
  <c r="AH56" i="49"/>
  <c r="AH55" i="49"/>
  <c r="AH54" i="49"/>
  <c r="AH53" i="49"/>
  <c r="AH52" i="49"/>
  <c r="AH51" i="49"/>
  <c r="AH50" i="49"/>
  <c r="AH49" i="49"/>
  <c r="AH48" i="49"/>
  <c r="AH47" i="49"/>
  <c r="AH46" i="49"/>
  <c r="AH45" i="49"/>
  <c r="AH44" i="49"/>
  <c r="AH43" i="49"/>
  <c r="AH42" i="49"/>
  <c r="AH41" i="49"/>
  <c r="AH40" i="49"/>
  <c r="AH39" i="49"/>
  <c r="AH38" i="49"/>
  <c r="AH37" i="49"/>
  <c r="AH36" i="49"/>
  <c r="AH35" i="49"/>
  <c r="AH34" i="49"/>
  <c r="AH33" i="49"/>
  <c r="AH32" i="49"/>
  <c r="AH31" i="49"/>
  <c r="AH30" i="49"/>
  <c r="AH29" i="49"/>
  <c r="AH28" i="49"/>
  <c r="AH27" i="49"/>
  <c r="AH26" i="49"/>
  <c r="AH25" i="49"/>
  <c r="AH24" i="49"/>
  <c r="AH23" i="49"/>
  <c r="AH22" i="49"/>
  <c r="AH21" i="49"/>
  <c r="AH20" i="49"/>
  <c r="AH19" i="49"/>
  <c r="AH18" i="49"/>
  <c r="AH17" i="49"/>
  <c r="AH16" i="49"/>
  <c r="AH15" i="49"/>
  <c r="AH14" i="49"/>
  <c r="AH13" i="49"/>
  <c r="AH12" i="49"/>
  <c r="AH11" i="49"/>
  <c r="AH10" i="49"/>
  <c r="AH9" i="49"/>
  <c r="AH8" i="49"/>
  <c r="AH7" i="49"/>
  <c r="AH6" i="49"/>
  <c r="AH5" i="49"/>
  <c r="AH4" i="49"/>
  <c r="AH3" i="49"/>
  <c r="AH2" i="49"/>
  <c r="AH1" i="49"/>
  <c r="Q119" i="49"/>
  <c r="Q118" i="49"/>
  <c r="Q117" i="49"/>
  <c r="Q116" i="49"/>
  <c r="Q115" i="49"/>
  <c r="Q114" i="49"/>
  <c r="Q113" i="49"/>
  <c r="Q112" i="49"/>
  <c r="Q111" i="49"/>
  <c r="Q110" i="49"/>
  <c r="Q109" i="49"/>
  <c r="Q108" i="49"/>
  <c r="Q107" i="49"/>
  <c r="Q106" i="49"/>
  <c r="Q105" i="49"/>
  <c r="Q104" i="49"/>
  <c r="Q103" i="49"/>
  <c r="Q102" i="49"/>
  <c r="Q101" i="49"/>
  <c r="Q100" i="49"/>
  <c r="Q99" i="49"/>
  <c r="Q98" i="49"/>
  <c r="Q97" i="49"/>
  <c r="Q96" i="49"/>
  <c r="Q95" i="49"/>
  <c r="Q94" i="49"/>
  <c r="Q93" i="49"/>
  <c r="Q92" i="49"/>
  <c r="Q91" i="49"/>
  <c r="Q90" i="49"/>
  <c r="Q89" i="49"/>
  <c r="Q88" i="49"/>
  <c r="Q87" i="49"/>
  <c r="Q86" i="49"/>
  <c r="Q85" i="49"/>
  <c r="Q84" i="49"/>
  <c r="Q83" i="49"/>
  <c r="Q82" i="49"/>
  <c r="Q81" i="49"/>
  <c r="Q80" i="49"/>
  <c r="Q79" i="49"/>
  <c r="Q78" i="49"/>
  <c r="Q77" i="49"/>
  <c r="Q76" i="49"/>
  <c r="Q75" i="49"/>
  <c r="Q74" i="49"/>
  <c r="Q73" i="49"/>
  <c r="Q72" i="49"/>
  <c r="Q71" i="49"/>
  <c r="Q70" i="49"/>
  <c r="Q69" i="49"/>
  <c r="Q68" i="49"/>
  <c r="Q67" i="49"/>
  <c r="Q66" i="49"/>
  <c r="Q65" i="49"/>
  <c r="Q64" i="49"/>
  <c r="Q63" i="49"/>
  <c r="Q62" i="49"/>
  <c r="Q61" i="49"/>
  <c r="Q60" i="49"/>
  <c r="E61" i="51" s="1"/>
  <c r="Q59" i="49"/>
  <c r="Q58" i="49"/>
  <c r="Q57" i="49"/>
  <c r="Q56" i="49"/>
  <c r="Q55" i="49"/>
  <c r="Q54" i="49"/>
  <c r="Q53" i="49"/>
  <c r="Q52" i="49"/>
  <c r="Q51" i="49"/>
  <c r="Q50" i="49"/>
  <c r="Q49" i="49"/>
  <c r="Q48" i="49"/>
  <c r="Q47" i="49"/>
  <c r="Q46" i="49"/>
  <c r="Q45" i="49"/>
  <c r="Q44" i="49"/>
  <c r="Q43" i="49"/>
  <c r="Q42" i="49"/>
  <c r="Q41" i="49"/>
  <c r="Q40" i="49"/>
  <c r="Q39" i="49"/>
  <c r="Q38" i="49"/>
  <c r="Q37" i="49"/>
  <c r="Q36" i="49"/>
  <c r="Q35" i="49"/>
  <c r="Q34" i="49"/>
  <c r="Q33" i="49"/>
  <c r="Q32" i="49"/>
  <c r="Q31" i="49"/>
  <c r="Q30" i="49"/>
  <c r="Q29" i="49"/>
  <c r="Q28" i="49"/>
  <c r="Q27" i="49"/>
  <c r="Q26" i="49"/>
  <c r="Q25" i="49"/>
  <c r="Q24" i="49"/>
  <c r="Q23" i="49"/>
  <c r="Q22" i="49"/>
  <c r="Q21" i="49"/>
  <c r="Q20" i="49"/>
  <c r="Q19" i="49"/>
  <c r="Q18" i="49"/>
  <c r="Q17" i="49"/>
  <c r="Q16" i="49"/>
  <c r="Q15" i="49"/>
  <c r="Q14" i="49"/>
  <c r="Q13" i="49"/>
  <c r="Q12" i="49"/>
  <c r="Q11" i="49"/>
  <c r="Q10" i="49"/>
  <c r="Q9" i="49"/>
  <c r="Q8" i="49"/>
  <c r="Q7" i="49"/>
  <c r="Q6" i="49"/>
  <c r="Q5" i="49"/>
  <c r="Q4" i="49"/>
  <c r="Q3" i="49"/>
  <c r="Q2" i="49"/>
  <c r="Q1" i="49"/>
  <c r="H119" i="49"/>
  <c r="C120" i="51" s="1"/>
  <c r="H118" i="49"/>
  <c r="C119" i="51" s="1"/>
  <c r="H117" i="49"/>
  <c r="C118" i="51" s="1"/>
  <c r="H116" i="49"/>
  <c r="C117" i="51" s="1"/>
  <c r="H115" i="49"/>
  <c r="C116" i="51" s="1"/>
  <c r="H114" i="49"/>
  <c r="C115" i="51" s="1"/>
  <c r="H113" i="49"/>
  <c r="C114" i="51" s="1"/>
  <c r="H112" i="49"/>
  <c r="C113" i="51" s="1"/>
  <c r="H111" i="49"/>
  <c r="C112" i="51" s="1"/>
  <c r="H110" i="49"/>
  <c r="C111" i="51" s="1"/>
  <c r="H109" i="49"/>
  <c r="C110" i="51" s="1"/>
  <c r="H108" i="49"/>
  <c r="C109" i="51" s="1"/>
  <c r="H107" i="49"/>
  <c r="C108" i="51" s="1"/>
  <c r="H106" i="49"/>
  <c r="C107" i="51" s="1"/>
  <c r="H105" i="49"/>
  <c r="C106" i="51" s="1"/>
  <c r="H104" i="49"/>
  <c r="C105" i="51" s="1"/>
  <c r="H103" i="49"/>
  <c r="C104" i="51" s="1"/>
  <c r="H102" i="49"/>
  <c r="C103" i="51" s="1"/>
  <c r="H101" i="49"/>
  <c r="C102" i="51" s="1"/>
  <c r="H100" i="49"/>
  <c r="C101" i="51" s="1"/>
  <c r="H99" i="49"/>
  <c r="C100" i="51" s="1"/>
  <c r="H98" i="49"/>
  <c r="C99" i="51" s="1"/>
  <c r="H97" i="49"/>
  <c r="C98" i="51" s="1"/>
  <c r="H96" i="49"/>
  <c r="C97" i="51" s="1"/>
  <c r="H95" i="49"/>
  <c r="C96" i="51" s="1"/>
  <c r="H94" i="49"/>
  <c r="C95" i="51" s="1"/>
  <c r="H93" i="49"/>
  <c r="C94" i="51" s="1"/>
  <c r="H92" i="49"/>
  <c r="C93" i="51" s="1"/>
  <c r="H91" i="49"/>
  <c r="C92" i="51" s="1"/>
  <c r="H90" i="49"/>
  <c r="C91" i="51" s="1"/>
  <c r="H89" i="49"/>
  <c r="C90" i="51" s="1"/>
  <c r="H88" i="49"/>
  <c r="C89" i="51" s="1"/>
  <c r="H87" i="49"/>
  <c r="C88" i="51" s="1"/>
  <c r="H86" i="49"/>
  <c r="C87" i="51" s="1"/>
  <c r="H85" i="49"/>
  <c r="C86" i="51" s="1"/>
  <c r="H84" i="49"/>
  <c r="C85" i="51" s="1"/>
  <c r="H83" i="49"/>
  <c r="C84" i="51" s="1"/>
  <c r="H82" i="49"/>
  <c r="C83" i="51" s="1"/>
  <c r="H81" i="49"/>
  <c r="C82" i="51" s="1"/>
  <c r="H80" i="49"/>
  <c r="C81" i="51" s="1"/>
  <c r="H79" i="49"/>
  <c r="C80" i="51" s="1"/>
  <c r="H78" i="49"/>
  <c r="C79" i="51" s="1"/>
  <c r="H77" i="49"/>
  <c r="C78" i="51" s="1"/>
  <c r="H76" i="49"/>
  <c r="C77" i="51" s="1"/>
  <c r="H75" i="49"/>
  <c r="C76" i="51" s="1"/>
  <c r="H74" i="49"/>
  <c r="C75" i="51" s="1"/>
  <c r="H73" i="49"/>
  <c r="C74" i="51" s="1"/>
  <c r="H72" i="49"/>
  <c r="C73" i="51" s="1"/>
  <c r="H71" i="49"/>
  <c r="C72" i="51" s="1"/>
  <c r="H70" i="49"/>
  <c r="C71" i="51" s="1"/>
  <c r="H69" i="49"/>
  <c r="C70" i="51" s="1"/>
  <c r="H68" i="49"/>
  <c r="C69" i="51" s="1"/>
  <c r="H67" i="49"/>
  <c r="C68" i="51" s="1"/>
  <c r="H66" i="49"/>
  <c r="C67" i="51" s="1"/>
  <c r="H65" i="49"/>
  <c r="C66" i="51" s="1"/>
  <c r="H64" i="49"/>
  <c r="C65" i="51" s="1"/>
  <c r="H63" i="49"/>
  <c r="C64" i="51" s="1"/>
  <c r="H62" i="49"/>
  <c r="C63" i="51" s="1"/>
  <c r="H61" i="49"/>
  <c r="C62" i="51" s="1"/>
  <c r="H60" i="49"/>
  <c r="C61" i="51" s="1"/>
  <c r="H59" i="49"/>
  <c r="C60" i="51" s="1"/>
  <c r="H58" i="49"/>
  <c r="C59" i="51" s="1"/>
  <c r="H57" i="49"/>
  <c r="C58" i="51" s="1"/>
  <c r="H56" i="49"/>
  <c r="C57" i="51" s="1"/>
  <c r="H55" i="49"/>
  <c r="C56" i="51" s="1"/>
  <c r="H54" i="49"/>
  <c r="C55" i="51" s="1"/>
  <c r="H53" i="49"/>
  <c r="C54" i="51" s="1"/>
  <c r="H52" i="49"/>
  <c r="C53" i="51" s="1"/>
  <c r="H51" i="49"/>
  <c r="C52" i="51" s="1"/>
  <c r="H50" i="49"/>
  <c r="C51" i="51" s="1"/>
  <c r="H49" i="49"/>
  <c r="C50" i="51" s="1"/>
  <c r="H48" i="49"/>
  <c r="C49" i="51" s="1"/>
  <c r="H47" i="49"/>
  <c r="C48" i="51" s="1"/>
  <c r="H46" i="49"/>
  <c r="C47" i="51" s="1"/>
  <c r="H45" i="49"/>
  <c r="C46" i="51" s="1"/>
  <c r="H44" i="49"/>
  <c r="C45" i="51" s="1"/>
  <c r="H43" i="49"/>
  <c r="C44" i="51" s="1"/>
  <c r="H42" i="49"/>
  <c r="C43" i="51" s="1"/>
  <c r="H41" i="49"/>
  <c r="C42" i="51" s="1"/>
  <c r="H40" i="49"/>
  <c r="C41" i="51" s="1"/>
  <c r="H39" i="49"/>
  <c r="C40" i="51" s="1"/>
  <c r="H38" i="49"/>
  <c r="C39" i="51" s="1"/>
  <c r="H37" i="49"/>
  <c r="C38" i="51" s="1"/>
  <c r="H36" i="49"/>
  <c r="C37" i="51" s="1"/>
  <c r="H35" i="49"/>
  <c r="C36" i="51" s="1"/>
  <c r="H34" i="49"/>
  <c r="C35" i="51" s="1"/>
  <c r="H33" i="49"/>
  <c r="C34" i="51" s="1"/>
  <c r="H32" i="49"/>
  <c r="C33" i="51" s="1"/>
  <c r="H31" i="49"/>
  <c r="C32" i="51" s="1"/>
  <c r="H30" i="49"/>
  <c r="C31" i="51" s="1"/>
  <c r="H29" i="49"/>
  <c r="C30" i="51" s="1"/>
  <c r="H28" i="49"/>
  <c r="C29" i="51" s="1"/>
  <c r="H27" i="49"/>
  <c r="C28" i="51" s="1"/>
  <c r="H26" i="49"/>
  <c r="C27" i="51" s="1"/>
  <c r="H25" i="49"/>
  <c r="C26" i="51" s="1"/>
  <c r="H24" i="49"/>
  <c r="C25" i="51" s="1"/>
  <c r="H23" i="49"/>
  <c r="C24" i="51" s="1"/>
  <c r="H22" i="49"/>
  <c r="C23" i="51" s="1"/>
  <c r="H21" i="49"/>
  <c r="C22" i="51" s="1"/>
  <c r="H20" i="49"/>
  <c r="C21" i="51" s="1"/>
  <c r="H19" i="49"/>
  <c r="C20" i="51" s="1"/>
  <c r="H18" i="49"/>
  <c r="C19" i="51" s="1"/>
  <c r="H17" i="49"/>
  <c r="C18" i="51" s="1"/>
  <c r="H16" i="49"/>
  <c r="C17" i="51" s="1"/>
  <c r="H15" i="49"/>
  <c r="C16" i="51" s="1"/>
  <c r="H14" i="49"/>
  <c r="C15" i="51" s="1"/>
  <c r="H13" i="49"/>
  <c r="C14" i="51" s="1"/>
  <c r="H12" i="49"/>
  <c r="C13" i="51" s="1"/>
  <c r="H11" i="49"/>
  <c r="C12" i="51" s="1"/>
  <c r="H10" i="49"/>
  <c r="C11" i="51" s="1"/>
  <c r="H9" i="49"/>
  <c r="C10" i="51" s="1"/>
  <c r="H8" i="49"/>
  <c r="C9" i="51" s="1"/>
  <c r="H7" i="49"/>
  <c r="C8" i="51" s="1"/>
  <c r="H6" i="49"/>
  <c r="C7" i="51" s="1"/>
  <c r="H5" i="49"/>
  <c r="C6" i="51" s="1"/>
  <c r="H4" i="49"/>
  <c r="C5" i="51" s="1"/>
  <c r="H3" i="49"/>
  <c r="C4" i="51" s="1"/>
  <c r="H2" i="49"/>
  <c r="C3" i="51" s="1"/>
  <c r="H1" i="49"/>
  <c r="C2" i="51" s="1"/>
  <c r="AC119" i="49"/>
  <c r="AC118" i="49"/>
  <c r="AC117" i="49"/>
  <c r="AC116" i="49"/>
  <c r="AC115" i="49"/>
  <c r="AC114" i="49"/>
  <c r="AC113" i="49"/>
  <c r="AC112" i="49"/>
  <c r="AC111" i="49"/>
  <c r="AC110" i="49"/>
  <c r="AC109" i="49"/>
  <c r="AC108" i="49"/>
  <c r="Y119" i="49"/>
  <c r="Y118" i="49"/>
  <c r="Y117" i="49"/>
  <c r="Y116" i="49"/>
  <c r="Y115" i="49"/>
  <c r="Y114" i="49"/>
  <c r="Y113" i="49"/>
  <c r="Y112" i="49"/>
  <c r="Y111" i="49"/>
  <c r="Y110" i="49"/>
  <c r="Y109" i="49"/>
  <c r="Y108" i="49"/>
  <c r="U119" i="49"/>
  <c r="U118" i="49"/>
  <c r="U117" i="49"/>
  <c r="U116" i="49"/>
  <c r="U115" i="49"/>
  <c r="U114" i="49"/>
  <c r="U113" i="49"/>
  <c r="U112" i="49"/>
  <c r="U111" i="49"/>
  <c r="U110" i="49"/>
  <c r="U109" i="49"/>
  <c r="U108" i="49"/>
  <c r="M119" i="49"/>
  <c r="M118" i="49"/>
  <c r="M117" i="49"/>
  <c r="M116" i="49"/>
  <c r="D117" i="51" s="1"/>
  <c r="M115" i="49"/>
  <c r="D116" i="51" s="1"/>
  <c r="M114" i="49"/>
  <c r="D115" i="51" s="1"/>
  <c r="M113" i="49"/>
  <c r="D114" i="51" s="1"/>
  <c r="M112" i="49"/>
  <c r="D113" i="51" s="1"/>
  <c r="M111" i="49"/>
  <c r="D112" i="51" s="1"/>
  <c r="M110" i="49"/>
  <c r="D111" i="51" s="1"/>
  <c r="M109" i="49"/>
  <c r="D110" i="51" s="1"/>
  <c r="M108" i="49"/>
  <c r="D109" i="51" s="1"/>
  <c r="AZ116" i="49"/>
  <c r="AZ115" i="49"/>
  <c r="AZ114" i="49"/>
  <c r="AZ113" i="49"/>
  <c r="AZ112" i="49"/>
  <c r="AZ111" i="49"/>
  <c r="AZ110" i="49"/>
  <c r="AZ109" i="49"/>
  <c r="AZ108" i="49"/>
  <c r="AZ107" i="49"/>
  <c r="AZ106" i="49"/>
  <c r="AZ105" i="49"/>
  <c r="AZ104" i="49"/>
  <c r="AZ103" i="49"/>
  <c r="AZ102" i="49"/>
  <c r="AZ101" i="49"/>
  <c r="AZ100" i="49"/>
  <c r="AZ99" i="49"/>
  <c r="AZ98" i="49"/>
  <c r="AZ97" i="49"/>
  <c r="AZ96" i="49"/>
  <c r="AZ95" i="49"/>
  <c r="AZ94" i="49"/>
  <c r="AZ93" i="49"/>
  <c r="AZ92" i="49"/>
  <c r="AZ91" i="49"/>
  <c r="AZ90" i="49"/>
  <c r="AZ89" i="49"/>
  <c r="AZ88" i="49"/>
  <c r="AZ87" i="49"/>
  <c r="AZ86" i="49"/>
  <c r="AZ85" i="49"/>
  <c r="AZ84" i="49"/>
  <c r="AZ83" i="49"/>
  <c r="AZ82" i="49"/>
  <c r="AZ81" i="49"/>
  <c r="AZ80" i="49"/>
  <c r="AZ79" i="49"/>
  <c r="AZ78" i="49"/>
  <c r="AZ77" i="49"/>
  <c r="AZ76" i="49"/>
  <c r="AZ75" i="49"/>
  <c r="AZ74" i="49"/>
  <c r="AZ73" i="49"/>
  <c r="AZ72" i="49"/>
  <c r="AZ71" i="49"/>
  <c r="AZ70" i="49"/>
  <c r="AZ69" i="49"/>
  <c r="AZ68" i="49"/>
  <c r="AZ67" i="49"/>
  <c r="AZ66" i="49"/>
  <c r="AZ65" i="49"/>
  <c r="AZ64" i="49"/>
  <c r="AZ63" i="49"/>
  <c r="AZ62" i="49"/>
  <c r="AZ61" i="49"/>
  <c r="AZ59" i="49"/>
  <c r="AZ58" i="49"/>
  <c r="AZ57" i="49"/>
  <c r="AZ56" i="49"/>
  <c r="AZ55" i="49"/>
  <c r="AZ54" i="49"/>
  <c r="AZ53" i="49"/>
  <c r="AZ52" i="49"/>
  <c r="AZ51" i="49"/>
  <c r="AZ50" i="49"/>
  <c r="AZ49" i="49"/>
  <c r="AZ48" i="49"/>
  <c r="AZ47" i="49"/>
  <c r="AZ46" i="49"/>
  <c r="AZ45" i="49"/>
  <c r="AZ44" i="49"/>
  <c r="AZ43" i="49"/>
  <c r="AZ42" i="49"/>
  <c r="AZ41" i="49"/>
  <c r="AZ40" i="49"/>
  <c r="AZ39" i="49"/>
  <c r="AZ38" i="49"/>
  <c r="AZ37" i="49"/>
  <c r="AZ36" i="49"/>
  <c r="AZ35" i="49"/>
  <c r="AZ34" i="49"/>
  <c r="AZ33" i="49"/>
  <c r="AZ32" i="49"/>
  <c r="AZ31" i="49"/>
  <c r="AZ30" i="49"/>
  <c r="AZ29" i="49"/>
  <c r="AZ28" i="49"/>
  <c r="AZ27" i="49"/>
  <c r="AZ26" i="49"/>
  <c r="AZ25" i="49"/>
  <c r="AZ24" i="49"/>
  <c r="AZ23" i="49"/>
  <c r="AZ22" i="49"/>
  <c r="AZ21" i="49"/>
  <c r="AZ20" i="49"/>
  <c r="AZ19" i="49"/>
  <c r="AZ18" i="49"/>
  <c r="AZ17" i="49"/>
  <c r="AZ16" i="49"/>
  <c r="AZ15" i="49"/>
  <c r="AZ14" i="49"/>
  <c r="AZ13" i="49"/>
  <c r="AZ12" i="49"/>
  <c r="AZ11" i="49"/>
  <c r="AZ10" i="49"/>
  <c r="AZ9" i="49"/>
  <c r="AZ8" i="49"/>
  <c r="AZ7" i="49"/>
  <c r="AZ6" i="49"/>
  <c r="AZ5" i="49"/>
  <c r="AZ4" i="49"/>
  <c r="AZ3" i="49"/>
  <c r="AZ2" i="49"/>
  <c r="M1" i="49"/>
  <c r="D2" i="51" s="1"/>
  <c r="U1" i="49"/>
  <c r="Y1" i="49"/>
  <c r="AC1" i="49"/>
  <c r="M2" i="49"/>
  <c r="D3" i="51" s="1"/>
  <c r="U2" i="49"/>
  <c r="Y2" i="49"/>
  <c r="AC2" i="49"/>
  <c r="M3" i="49"/>
  <c r="D4" i="51" s="1"/>
  <c r="U3" i="49"/>
  <c r="Y3" i="49"/>
  <c r="AC3" i="49"/>
  <c r="M4" i="49"/>
  <c r="D5" i="51" s="1"/>
  <c r="U4" i="49"/>
  <c r="Y4" i="49"/>
  <c r="AC4" i="49"/>
  <c r="M5" i="49"/>
  <c r="D6" i="51" s="1"/>
  <c r="U5" i="49"/>
  <c r="Y5" i="49"/>
  <c r="AC5" i="49"/>
  <c r="M6" i="49"/>
  <c r="D7" i="51" s="1"/>
  <c r="U6" i="49"/>
  <c r="Y6" i="49"/>
  <c r="AC6" i="49"/>
  <c r="M7" i="49"/>
  <c r="D8" i="51" s="1"/>
  <c r="U7" i="49"/>
  <c r="Y7" i="49"/>
  <c r="AC7" i="49"/>
  <c r="M8" i="49"/>
  <c r="D9" i="51" s="1"/>
  <c r="U8" i="49"/>
  <c r="Y8" i="49"/>
  <c r="AC8" i="49"/>
  <c r="M9" i="49"/>
  <c r="D10" i="51" s="1"/>
  <c r="U9" i="49"/>
  <c r="Y9" i="49"/>
  <c r="AC9" i="49"/>
  <c r="M10" i="49"/>
  <c r="D11" i="51" s="1"/>
  <c r="U10" i="49"/>
  <c r="Y10" i="49"/>
  <c r="AC10" i="49"/>
  <c r="M11" i="49"/>
  <c r="D12" i="51" s="1"/>
  <c r="U11" i="49"/>
  <c r="Y11" i="49"/>
  <c r="AC11" i="49"/>
  <c r="M12" i="49"/>
  <c r="D13" i="51" s="1"/>
  <c r="U12" i="49"/>
  <c r="Y12" i="49"/>
  <c r="AC12" i="49"/>
  <c r="M13" i="49"/>
  <c r="D14" i="51" s="1"/>
  <c r="U13" i="49"/>
  <c r="Y13" i="49"/>
  <c r="AC13" i="49"/>
  <c r="M14" i="49"/>
  <c r="D15" i="51" s="1"/>
  <c r="U14" i="49"/>
  <c r="Y14" i="49"/>
  <c r="AC14" i="49"/>
  <c r="M15" i="49"/>
  <c r="D16" i="51" s="1"/>
  <c r="U15" i="49"/>
  <c r="Y15" i="49"/>
  <c r="AC15" i="49"/>
  <c r="M16" i="49"/>
  <c r="D17" i="51" s="1"/>
  <c r="U16" i="49"/>
  <c r="Y16" i="49"/>
  <c r="AC16" i="49"/>
  <c r="M17" i="49"/>
  <c r="D18" i="51" s="1"/>
  <c r="U17" i="49"/>
  <c r="Y17" i="49"/>
  <c r="AC17" i="49"/>
  <c r="M18" i="49"/>
  <c r="D19" i="51" s="1"/>
  <c r="U18" i="49"/>
  <c r="Y18" i="49"/>
  <c r="AC18" i="49"/>
  <c r="M19" i="49"/>
  <c r="D20" i="51" s="1"/>
  <c r="U19" i="49"/>
  <c r="Y19" i="49"/>
  <c r="AC19" i="49"/>
  <c r="M20" i="49"/>
  <c r="D21" i="51" s="1"/>
  <c r="U20" i="49"/>
  <c r="Y20" i="49"/>
  <c r="AC20" i="49"/>
  <c r="M21" i="49"/>
  <c r="D22" i="51" s="1"/>
  <c r="U21" i="49"/>
  <c r="Y21" i="49"/>
  <c r="AC21" i="49"/>
  <c r="M22" i="49"/>
  <c r="D23" i="51" s="1"/>
  <c r="U22" i="49"/>
  <c r="Y22" i="49"/>
  <c r="AC22" i="49"/>
  <c r="M23" i="49"/>
  <c r="D24" i="51" s="1"/>
  <c r="U23" i="49"/>
  <c r="Y23" i="49"/>
  <c r="AC23" i="49"/>
  <c r="M24" i="49"/>
  <c r="D25" i="51" s="1"/>
  <c r="U24" i="49"/>
  <c r="Y24" i="49"/>
  <c r="AC24" i="49"/>
  <c r="M25" i="49"/>
  <c r="D26" i="51" s="1"/>
  <c r="U25" i="49"/>
  <c r="Y25" i="49"/>
  <c r="AC25" i="49"/>
  <c r="M26" i="49"/>
  <c r="D27" i="51" s="1"/>
  <c r="U26" i="49"/>
  <c r="Y26" i="49"/>
  <c r="AC26" i="49"/>
  <c r="M27" i="49"/>
  <c r="D28" i="51" s="1"/>
  <c r="U27" i="49"/>
  <c r="Y27" i="49"/>
  <c r="AC27" i="49"/>
  <c r="M28" i="49"/>
  <c r="D29" i="51" s="1"/>
  <c r="U28" i="49"/>
  <c r="Y28" i="49"/>
  <c r="AC28" i="49"/>
  <c r="M29" i="49"/>
  <c r="D30" i="51" s="1"/>
  <c r="U29" i="49"/>
  <c r="Y29" i="49"/>
  <c r="AC29" i="49"/>
  <c r="M30" i="49"/>
  <c r="D31" i="51" s="1"/>
  <c r="U30" i="49"/>
  <c r="Y30" i="49"/>
  <c r="AC30" i="49"/>
  <c r="M31" i="49"/>
  <c r="D32" i="51" s="1"/>
  <c r="U31" i="49"/>
  <c r="Y31" i="49"/>
  <c r="AC31" i="49"/>
  <c r="M32" i="49"/>
  <c r="D33" i="51" s="1"/>
  <c r="U32" i="49"/>
  <c r="Y32" i="49"/>
  <c r="AC32" i="49"/>
  <c r="M33" i="49"/>
  <c r="D34" i="51" s="1"/>
  <c r="U33" i="49"/>
  <c r="Y33" i="49"/>
  <c r="AC33" i="49"/>
  <c r="M34" i="49"/>
  <c r="D35" i="51" s="1"/>
  <c r="U34" i="49"/>
  <c r="Y34" i="49"/>
  <c r="AC34" i="49"/>
  <c r="M35" i="49"/>
  <c r="D36" i="51" s="1"/>
  <c r="U35" i="49"/>
  <c r="Y35" i="49"/>
  <c r="AC35" i="49"/>
  <c r="M36" i="49"/>
  <c r="D37" i="51" s="1"/>
  <c r="U36" i="49"/>
  <c r="Y36" i="49"/>
  <c r="AC36" i="49"/>
  <c r="M37" i="49"/>
  <c r="D38" i="51" s="1"/>
  <c r="U37" i="49"/>
  <c r="Y37" i="49"/>
  <c r="AC37" i="49"/>
  <c r="M38" i="49"/>
  <c r="D39" i="51" s="1"/>
  <c r="U38" i="49"/>
  <c r="Y38" i="49"/>
  <c r="AC38" i="49"/>
  <c r="M39" i="49"/>
  <c r="D40" i="51" s="1"/>
  <c r="U39" i="49"/>
  <c r="Y39" i="49"/>
  <c r="AC39" i="49"/>
  <c r="M40" i="49"/>
  <c r="D41" i="51" s="1"/>
  <c r="U40" i="49"/>
  <c r="Y40" i="49"/>
  <c r="AC40" i="49"/>
  <c r="M41" i="49"/>
  <c r="D42" i="51" s="1"/>
  <c r="U41" i="49"/>
  <c r="Y41" i="49"/>
  <c r="AC41" i="49"/>
  <c r="M42" i="49"/>
  <c r="D43" i="51" s="1"/>
  <c r="U42" i="49"/>
  <c r="Y42" i="49"/>
  <c r="AC42" i="49"/>
  <c r="M43" i="49"/>
  <c r="D44" i="51" s="1"/>
  <c r="U43" i="49"/>
  <c r="Y43" i="49"/>
  <c r="AC43" i="49"/>
  <c r="M44" i="49"/>
  <c r="D45" i="51" s="1"/>
  <c r="U44" i="49"/>
  <c r="Y44" i="49"/>
  <c r="AC44" i="49"/>
  <c r="M45" i="49"/>
  <c r="D46" i="51" s="1"/>
  <c r="U45" i="49"/>
  <c r="Y45" i="49"/>
  <c r="AC45" i="49"/>
  <c r="M46" i="49"/>
  <c r="D47" i="51" s="1"/>
  <c r="U46" i="49"/>
  <c r="Y46" i="49"/>
  <c r="AC46" i="49"/>
  <c r="M47" i="49"/>
  <c r="D48" i="51" s="1"/>
  <c r="U47" i="49"/>
  <c r="Y47" i="49"/>
  <c r="AC47" i="49"/>
  <c r="M48" i="49"/>
  <c r="D49" i="51" s="1"/>
  <c r="U48" i="49"/>
  <c r="Y48" i="49"/>
  <c r="AC48" i="49"/>
  <c r="M49" i="49"/>
  <c r="D50" i="51" s="1"/>
  <c r="U49" i="49"/>
  <c r="Y49" i="49"/>
  <c r="AC49" i="49"/>
  <c r="M50" i="49"/>
  <c r="D51" i="51" s="1"/>
  <c r="U50" i="49"/>
  <c r="Y50" i="49"/>
  <c r="AC50" i="49"/>
  <c r="M51" i="49"/>
  <c r="D52" i="51" s="1"/>
  <c r="U51" i="49"/>
  <c r="Y51" i="49"/>
  <c r="AC51" i="49"/>
  <c r="M52" i="49"/>
  <c r="D53" i="51" s="1"/>
  <c r="U52" i="49"/>
  <c r="Y52" i="49"/>
  <c r="AC52" i="49"/>
  <c r="M53" i="49"/>
  <c r="D54" i="51" s="1"/>
  <c r="U53" i="49"/>
  <c r="Y53" i="49"/>
  <c r="AC53" i="49"/>
  <c r="M54" i="49"/>
  <c r="D55" i="51" s="1"/>
  <c r="U54" i="49"/>
  <c r="Y54" i="49"/>
  <c r="AC54" i="49"/>
  <c r="M55" i="49"/>
  <c r="D56" i="51" s="1"/>
  <c r="U55" i="49"/>
  <c r="Y55" i="49"/>
  <c r="AC55" i="49"/>
  <c r="M56" i="49"/>
  <c r="D57" i="51" s="1"/>
  <c r="U56" i="49"/>
  <c r="Y56" i="49"/>
  <c r="AC56" i="49"/>
  <c r="M57" i="49"/>
  <c r="D58" i="51" s="1"/>
  <c r="U57" i="49"/>
  <c r="Y57" i="49"/>
  <c r="AC57" i="49"/>
  <c r="M58" i="49"/>
  <c r="D59" i="51" s="1"/>
  <c r="U58" i="49"/>
  <c r="Y58" i="49"/>
  <c r="AC58" i="49"/>
  <c r="M59" i="49"/>
  <c r="D60" i="51" s="1"/>
  <c r="U59" i="49"/>
  <c r="Y59" i="49"/>
  <c r="AC59" i="49"/>
  <c r="M60" i="49"/>
  <c r="D61" i="51" s="1"/>
  <c r="U60" i="49"/>
  <c r="Y60" i="49"/>
  <c r="AQ130" i="49" s="1"/>
  <c r="AC60" i="49"/>
  <c r="M61" i="49"/>
  <c r="D62" i="51" s="1"/>
  <c r="U61" i="49"/>
  <c r="Y61" i="49"/>
  <c r="AC61" i="49"/>
  <c r="M62" i="49"/>
  <c r="D63" i="51" s="1"/>
  <c r="U62" i="49"/>
  <c r="Y62" i="49"/>
  <c r="AC62" i="49"/>
  <c r="M63" i="49"/>
  <c r="D64" i="51" s="1"/>
  <c r="U63" i="49"/>
  <c r="Y63" i="49"/>
  <c r="AC63" i="49"/>
  <c r="M64" i="49"/>
  <c r="D65" i="51" s="1"/>
  <c r="U64" i="49"/>
  <c r="Y64" i="49"/>
  <c r="AC64" i="49"/>
  <c r="M65" i="49"/>
  <c r="D66" i="51" s="1"/>
  <c r="U65" i="49"/>
  <c r="Y65" i="49"/>
  <c r="AC65" i="49"/>
  <c r="M66" i="49"/>
  <c r="D67" i="51" s="1"/>
  <c r="U66" i="49"/>
  <c r="Y66" i="49"/>
  <c r="AC66" i="49"/>
  <c r="M67" i="49"/>
  <c r="D68" i="51" s="1"/>
  <c r="U67" i="49"/>
  <c r="Y67" i="49"/>
  <c r="AC67" i="49"/>
  <c r="M68" i="49"/>
  <c r="D69" i="51" s="1"/>
  <c r="U68" i="49"/>
  <c r="Y68" i="49"/>
  <c r="AC68" i="49"/>
  <c r="M69" i="49"/>
  <c r="D70" i="51" s="1"/>
  <c r="U69" i="49"/>
  <c r="Y69" i="49"/>
  <c r="AC69" i="49"/>
  <c r="M70" i="49"/>
  <c r="D71" i="51" s="1"/>
  <c r="U70" i="49"/>
  <c r="Y70" i="49"/>
  <c r="AC70" i="49"/>
  <c r="M71" i="49"/>
  <c r="D72" i="51" s="1"/>
  <c r="U71" i="49"/>
  <c r="Y71" i="49"/>
  <c r="AC71" i="49"/>
  <c r="M72" i="49"/>
  <c r="D73" i="51" s="1"/>
  <c r="U72" i="49"/>
  <c r="Y72" i="49"/>
  <c r="AC72" i="49"/>
  <c r="M73" i="49"/>
  <c r="D74" i="51" s="1"/>
  <c r="U73" i="49"/>
  <c r="Y73" i="49"/>
  <c r="AC73" i="49"/>
  <c r="M74" i="49"/>
  <c r="D75" i="51" s="1"/>
  <c r="U74" i="49"/>
  <c r="Y74" i="49"/>
  <c r="AC74" i="49"/>
  <c r="M75" i="49"/>
  <c r="D76" i="51" s="1"/>
  <c r="U75" i="49"/>
  <c r="Y75" i="49"/>
  <c r="AC75" i="49"/>
  <c r="M76" i="49"/>
  <c r="D77" i="51" s="1"/>
  <c r="U76" i="49"/>
  <c r="Y76" i="49"/>
  <c r="AC76" i="49"/>
  <c r="M77" i="49"/>
  <c r="D78" i="51" s="1"/>
  <c r="U77" i="49"/>
  <c r="Y77" i="49"/>
  <c r="AC77" i="49"/>
  <c r="M78" i="49"/>
  <c r="D79" i="51" s="1"/>
  <c r="U78" i="49"/>
  <c r="Y78" i="49"/>
  <c r="AC78" i="49"/>
  <c r="M79" i="49"/>
  <c r="D80" i="51" s="1"/>
  <c r="U79" i="49"/>
  <c r="Y79" i="49"/>
  <c r="AC79" i="49"/>
  <c r="M80" i="49"/>
  <c r="D81" i="51" s="1"/>
  <c r="U80" i="49"/>
  <c r="Y80" i="49"/>
  <c r="AC80" i="49"/>
  <c r="M81" i="49"/>
  <c r="D82" i="51" s="1"/>
  <c r="U81" i="49"/>
  <c r="Y81" i="49"/>
  <c r="AC81" i="49"/>
  <c r="M82" i="49"/>
  <c r="D83" i="51" s="1"/>
  <c r="U82" i="49"/>
  <c r="Y82" i="49"/>
  <c r="AC82" i="49"/>
  <c r="M83" i="49"/>
  <c r="D84" i="51" s="1"/>
  <c r="U83" i="49"/>
  <c r="Y83" i="49"/>
  <c r="AC83" i="49"/>
  <c r="M84" i="49"/>
  <c r="D85" i="51" s="1"/>
  <c r="U84" i="49"/>
  <c r="Y84" i="49"/>
  <c r="AC84" i="49"/>
  <c r="M85" i="49"/>
  <c r="D86" i="51" s="1"/>
  <c r="U85" i="49"/>
  <c r="Y85" i="49"/>
  <c r="AC85" i="49"/>
  <c r="M86" i="49"/>
  <c r="D87" i="51" s="1"/>
  <c r="U86" i="49"/>
  <c r="Y86" i="49"/>
  <c r="AC86" i="49"/>
  <c r="M87" i="49"/>
  <c r="D88" i="51" s="1"/>
  <c r="U87" i="49"/>
  <c r="Y87" i="49"/>
  <c r="AC87" i="49"/>
  <c r="M88" i="49"/>
  <c r="D89" i="51" s="1"/>
  <c r="U88" i="49"/>
  <c r="Y88" i="49"/>
  <c r="AC88" i="49"/>
  <c r="M89" i="49"/>
  <c r="D90" i="51" s="1"/>
  <c r="U89" i="49"/>
  <c r="Y89" i="49"/>
  <c r="AC89" i="49"/>
  <c r="M90" i="49"/>
  <c r="D91" i="51" s="1"/>
  <c r="U90" i="49"/>
  <c r="Y90" i="49"/>
  <c r="AC90" i="49"/>
  <c r="M91" i="49"/>
  <c r="D92" i="51" s="1"/>
  <c r="U91" i="49"/>
  <c r="Y91" i="49"/>
  <c r="AC91" i="49"/>
  <c r="M92" i="49"/>
  <c r="D93" i="51" s="1"/>
  <c r="U92" i="49"/>
  <c r="Y92" i="49"/>
  <c r="AC92" i="49"/>
  <c r="M93" i="49"/>
  <c r="D94" i="51" s="1"/>
  <c r="U93" i="49"/>
  <c r="Y93" i="49"/>
  <c r="AC93" i="49"/>
  <c r="M94" i="49"/>
  <c r="D95" i="51" s="1"/>
  <c r="U94" i="49"/>
  <c r="Y94" i="49"/>
  <c r="AC94" i="49"/>
  <c r="M95" i="49"/>
  <c r="D96" i="51" s="1"/>
  <c r="U95" i="49"/>
  <c r="Y95" i="49"/>
  <c r="AC95" i="49"/>
  <c r="M96" i="49"/>
  <c r="D97" i="51" s="1"/>
  <c r="U96" i="49"/>
  <c r="Y96" i="49"/>
  <c r="AC96" i="49"/>
  <c r="M97" i="49"/>
  <c r="D98" i="51" s="1"/>
  <c r="U97" i="49"/>
  <c r="Y97" i="49"/>
  <c r="AC97" i="49"/>
  <c r="M98" i="49"/>
  <c r="D99" i="51" s="1"/>
  <c r="U98" i="49"/>
  <c r="Y98" i="49"/>
  <c r="AC98" i="49"/>
  <c r="M99" i="49"/>
  <c r="D100" i="51" s="1"/>
  <c r="U99" i="49"/>
  <c r="Y99" i="49"/>
  <c r="AC99" i="49"/>
  <c r="M100" i="49"/>
  <c r="D101" i="51" s="1"/>
  <c r="U100" i="49"/>
  <c r="Y100" i="49"/>
  <c r="AC100" i="49"/>
  <c r="M101" i="49"/>
  <c r="D102" i="51" s="1"/>
  <c r="U101" i="49"/>
  <c r="Y101" i="49"/>
  <c r="AC101" i="49"/>
  <c r="M102" i="49"/>
  <c r="D103" i="51" s="1"/>
  <c r="U102" i="49"/>
  <c r="Y102" i="49"/>
  <c r="AC102" i="49"/>
  <c r="M103" i="49"/>
  <c r="D104" i="51" s="1"/>
  <c r="U103" i="49"/>
  <c r="Y103" i="49"/>
  <c r="AC103" i="49"/>
  <c r="M104" i="49"/>
  <c r="D105" i="51" s="1"/>
  <c r="U104" i="49"/>
  <c r="Y104" i="49"/>
  <c r="AC104" i="49"/>
  <c r="M105" i="49"/>
  <c r="D106" i="51" s="1"/>
  <c r="U105" i="49"/>
  <c r="Y105" i="49"/>
  <c r="AC105" i="49"/>
  <c r="M106" i="49"/>
  <c r="D107" i="51" s="1"/>
  <c r="U106" i="49"/>
  <c r="Y106" i="49"/>
  <c r="AC106" i="49"/>
  <c r="M107" i="49"/>
  <c r="D108" i="51" s="1"/>
  <c r="U107" i="49"/>
  <c r="Y107" i="49"/>
  <c r="AC107" i="49"/>
  <c r="G6" i="10"/>
  <c r="Q6" i="10"/>
  <c r="Q7" i="10"/>
  <c r="Q11" i="10"/>
  <c r="B12" i="10"/>
  <c r="B16" i="10" s="1"/>
  <c r="G16" i="10" s="1"/>
  <c r="G12" i="10" s="1"/>
  <c r="G7" i="10" s="1"/>
  <c r="C12" i="10"/>
  <c r="C16" i="10" s="1"/>
  <c r="H16" i="10" s="1"/>
  <c r="H12" i="10" s="1"/>
  <c r="H7" i="10" s="1"/>
  <c r="Q15" i="10"/>
  <c r="A26" i="10"/>
  <c r="B31" i="10"/>
  <c r="G31" i="10"/>
  <c r="B32" i="10"/>
  <c r="G32" i="10" s="1"/>
  <c r="C32" i="10"/>
  <c r="C37" i="10" s="1"/>
  <c r="A33" i="10"/>
  <c r="D33" i="10"/>
  <c r="F33" i="10"/>
  <c r="D34" i="10"/>
  <c r="B36" i="10"/>
  <c r="G36" i="10"/>
  <c r="B37" i="10"/>
  <c r="G37" i="10" s="1"/>
  <c r="A38" i="10"/>
  <c r="D38" i="10"/>
  <c r="F38" i="10"/>
  <c r="B40" i="10"/>
  <c r="G40" i="10"/>
  <c r="A42" i="10"/>
  <c r="C42" i="10"/>
  <c r="D42" i="10"/>
  <c r="A43" i="10"/>
  <c r="A50" i="10"/>
  <c r="AN140" i="49"/>
  <c r="AN145" i="49"/>
  <c r="AN142" i="49"/>
  <c r="AN150" i="49"/>
  <c r="AN147" i="49"/>
  <c r="AN143" i="49"/>
  <c r="AN141" i="49"/>
  <c r="AN149" i="49"/>
  <c r="AN146" i="49"/>
  <c r="AN148" i="49"/>
  <c r="AN144" i="49"/>
  <c r="AO140" i="49"/>
  <c r="G61" i="51" l="1"/>
  <c r="BL110" i="49"/>
  <c r="R111" i="51" s="1"/>
  <c r="F111" i="51"/>
  <c r="BL114" i="49"/>
  <c r="R115" i="51" s="1"/>
  <c r="F115" i="51"/>
  <c r="BL118" i="49"/>
  <c r="R119" i="51" s="1"/>
  <c r="F119" i="51"/>
  <c r="BL107" i="49"/>
  <c r="R108" i="51" s="1"/>
  <c r="F108" i="51"/>
  <c r="BL106" i="49"/>
  <c r="R107" i="51" s="1"/>
  <c r="F107" i="51"/>
  <c r="BL105" i="49"/>
  <c r="R106" i="51" s="1"/>
  <c r="F106" i="51"/>
  <c r="BL104" i="49"/>
  <c r="R105" i="51" s="1"/>
  <c r="F105" i="51"/>
  <c r="BL103" i="49"/>
  <c r="R104" i="51" s="1"/>
  <c r="F104" i="51"/>
  <c r="BL102" i="49"/>
  <c r="R103" i="51" s="1"/>
  <c r="F103" i="51"/>
  <c r="BL101" i="49"/>
  <c r="R102" i="51" s="1"/>
  <c r="F102" i="51"/>
  <c r="BL100" i="49"/>
  <c r="R101" i="51" s="1"/>
  <c r="F101" i="51"/>
  <c r="BL99" i="49"/>
  <c r="R100" i="51" s="1"/>
  <c r="F100" i="51"/>
  <c r="BL98" i="49"/>
  <c r="R99" i="51" s="1"/>
  <c r="F99" i="51"/>
  <c r="BL97" i="49"/>
  <c r="R98" i="51" s="1"/>
  <c r="F98" i="51"/>
  <c r="BL96" i="49"/>
  <c r="R97" i="51" s="1"/>
  <c r="F97" i="51"/>
  <c r="BL95" i="49"/>
  <c r="R96" i="51" s="1"/>
  <c r="F96" i="51"/>
  <c r="BL94" i="49"/>
  <c r="R95" i="51" s="1"/>
  <c r="F95" i="51"/>
  <c r="BL93" i="49"/>
  <c r="R94" i="51" s="1"/>
  <c r="F94" i="51"/>
  <c r="BL92" i="49"/>
  <c r="R93" i="51" s="1"/>
  <c r="F93" i="51"/>
  <c r="BL91" i="49"/>
  <c r="R92" i="51" s="1"/>
  <c r="F92" i="51"/>
  <c r="BL90" i="49"/>
  <c r="R91" i="51" s="1"/>
  <c r="F91" i="51"/>
  <c r="BL89" i="49"/>
  <c r="R90" i="51" s="1"/>
  <c r="F90" i="51"/>
  <c r="BL88" i="49"/>
  <c r="R89" i="51" s="1"/>
  <c r="F89" i="51"/>
  <c r="BL87" i="49"/>
  <c r="R88" i="51" s="1"/>
  <c r="F88" i="51"/>
  <c r="BL82" i="49"/>
  <c r="R83" i="51" s="1"/>
  <c r="F83" i="51"/>
  <c r="BL80" i="49"/>
  <c r="R81" i="51" s="1"/>
  <c r="F81" i="51"/>
  <c r="BL78" i="49"/>
  <c r="R79" i="51" s="1"/>
  <c r="F79" i="51"/>
  <c r="BL76" i="49"/>
  <c r="R77" i="51" s="1"/>
  <c r="F77" i="51"/>
  <c r="BL74" i="49"/>
  <c r="R75" i="51" s="1"/>
  <c r="F75" i="51"/>
  <c r="BL73" i="49"/>
  <c r="R74" i="51" s="1"/>
  <c r="F74" i="51"/>
  <c r="BL71" i="49"/>
  <c r="R72" i="51" s="1"/>
  <c r="F72" i="51"/>
  <c r="BL69" i="49"/>
  <c r="R70" i="51" s="1"/>
  <c r="F70" i="51"/>
  <c r="BL67" i="49"/>
  <c r="R68" i="51" s="1"/>
  <c r="F68" i="51"/>
  <c r="BL65" i="49"/>
  <c r="R66" i="51" s="1"/>
  <c r="F66" i="51"/>
  <c r="BL62" i="49"/>
  <c r="R63" i="51" s="1"/>
  <c r="F63" i="51"/>
  <c r="BL61" i="49"/>
  <c r="R62" i="51" s="1"/>
  <c r="F62" i="51"/>
  <c r="BL59" i="49"/>
  <c r="R60" i="51" s="1"/>
  <c r="F60" i="51"/>
  <c r="BL57" i="49"/>
  <c r="R58" i="51" s="1"/>
  <c r="F58" i="51"/>
  <c r="BL55" i="49"/>
  <c r="R56" i="51" s="1"/>
  <c r="F56" i="51"/>
  <c r="BL53" i="49"/>
  <c r="R54" i="51" s="1"/>
  <c r="F54" i="51"/>
  <c r="BL51" i="49"/>
  <c r="R52" i="51" s="1"/>
  <c r="F52" i="51"/>
  <c r="BL49" i="49"/>
  <c r="R50" i="51" s="1"/>
  <c r="F50" i="51"/>
  <c r="BL47" i="49"/>
  <c r="R48" i="51" s="1"/>
  <c r="F48" i="51"/>
  <c r="BL45" i="49"/>
  <c r="R46" i="51" s="1"/>
  <c r="F46" i="51"/>
  <c r="BL43" i="49"/>
  <c r="R44" i="51" s="1"/>
  <c r="F44" i="51"/>
  <c r="BL41" i="49"/>
  <c r="R42" i="51" s="1"/>
  <c r="F42" i="51"/>
  <c r="BL39" i="49"/>
  <c r="R40" i="51" s="1"/>
  <c r="F40" i="51"/>
  <c r="BL37" i="49"/>
  <c r="R38" i="51" s="1"/>
  <c r="F38" i="51"/>
  <c r="BL35" i="49"/>
  <c r="R36" i="51" s="1"/>
  <c r="F36" i="51"/>
  <c r="BL33" i="49"/>
  <c r="R34" i="51" s="1"/>
  <c r="F34" i="51"/>
  <c r="BL31" i="49"/>
  <c r="R32" i="51" s="1"/>
  <c r="F32" i="51"/>
  <c r="BL30" i="49"/>
  <c r="R31" i="51" s="1"/>
  <c r="F31" i="51"/>
  <c r="BL28" i="49"/>
  <c r="R29" i="51" s="1"/>
  <c r="F29" i="51"/>
  <c r="BL26" i="49"/>
  <c r="R27" i="51" s="1"/>
  <c r="F27" i="51"/>
  <c r="BL24" i="49"/>
  <c r="R25" i="51" s="1"/>
  <c r="F25" i="51"/>
  <c r="BL22" i="49"/>
  <c r="R23" i="51" s="1"/>
  <c r="F23" i="51"/>
  <c r="BL20" i="49"/>
  <c r="R21" i="51" s="1"/>
  <c r="F21" i="51"/>
  <c r="BL18" i="49"/>
  <c r="R19" i="51" s="1"/>
  <c r="F19" i="51"/>
  <c r="BL16" i="49"/>
  <c r="R17" i="51" s="1"/>
  <c r="F17" i="51"/>
  <c r="BL14" i="49"/>
  <c r="R15" i="51" s="1"/>
  <c r="F15" i="51"/>
  <c r="BL13" i="49"/>
  <c r="R14" i="51" s="1"/>
  <c r="F14" i="51"/>
  <c r="BL11" i="49"/>
  <c r="R12" i="51" s="1"/>
  <c r="F12" i="51"/>
  <c r="BL9" i="49"/>
  <c r="R10" i="51" s="1"/>
  <c r="F10" i="51"/>
  <c r="BL7" i="49"/>
  <c r="R8" i="51" s="1"/>
  <c r="F8" i="51"/>
  <c r="BL5" i="49"/>
  <c r="R6" i="51" s="1"/>
  <c r="F6" i="51"/>
  <c r="BL3" i="49"/>
  <c r="R4" i="51" s="1"/>
  <c r="F4" i="51"/>
  <c r="BL1" i="49"/>
  <c r="R2" i="51" s="1"/>
  <c r="F2" i="51"/>
  <c r="BL111" i="49"/>
  <c r="R112" i="51" s="1"/>
  <c r="F112" i="51"/>
  <c r="BL119" i="49"/>
  <c r="R120" i="51" s="1"/>
  <c r="F120" i="51"/>
  <c r="BL108" i="49"/>
  <c r="R109" i="51" s="1"/>
  <c r="F109" i="51"/>
  <c r="BL112" i="49"/>
  <c r="R113" i="51" s="1"/>
  <c r="F113" i="51"/>
  <c r="BL116" i="49"/>
  <c r="R117" i="51" s="1"/>
  <c r="F117" i="51"/>
  <c r="BL86" i="49"/>
  <c r="R87" i="51" s="1"/>
  <c r="F87" i="51"/>
  <c r="BL85" i="49"/>
  <c r="R86" i="51" s="1"/>
  <c r="F86" i="51"/>
  <c r="BL84" i="49"/>
  <c r="R85" i="51" s="1"/>
  <c r="F85" i="51"/>
  <c r="BL83" i="49"/>
  <c r="R84" i="51" s="1"/>
  <c r="F84" i="51"/>
  <c r="BL81" i="49"/>
  <c r="R82" i="51" s="1"/>
  <c r="F82" i="51"/>
  <c r="BL79" i="49"/>
  <c r="R80" i="51" s="1"/>
  <c r="F80" i="51"/>
  <c r="BL77" i="49"/>
  <c r="R78" i="51" s="1"/>
  <c r="F78" i="51"/>
  <c r="BL75" i="49"/>
  <c r="R76" i="51" s="1"/>
  <c r="F76" i="51"/>
  <c r="BL72" i="49"/>
  <c r="R73" i="51" s="1"/>
  <c r="F73" i="51"/>
  <c r="BL70" i="49"/>
  <c r="R71" i="51" s="1"/>
  <c r="F71" i="51"/>
  <c r="BL68" i="49"/>
  <c r="R69" i="51" s="1"/>
  <c r="F69" i="51"/>
  <c r="BL66" i="49"/>
  <c r="R67" i="51" s="1"/>
  <c r="F67" i="51"/>
  <c r="BL64" i="49"/>
  <c r="R65" i="51" s="1"/>
  <c r="F65" i="51"/>
  <c r="BL63" i="49"/>
  <c r="R64" i="51" s="1"/>
  <c r="F64" i="51"/>
  <c r="BL60" i="49"/>
  <c r="R61" i="51" s="1"/>
  <c r="F61" i="51"/>
  <c r="BL58" i="49"/>
  <c r="R59" i="51" s="1"/>
  <c r="F59" i="51"/>
  <c r="BL56" i="49"/>
  <c r="R57" i="51" s="1"/>
  <c r="F57" i="51"/>
  <c r="BL54" i="49"/>
  <c r="R55" i="51" s="1"/>
  <c r="F55" i="51"/>
  <c r="BL52" i="49"/>
  <c r="R53" i="51" s="1"/>
  <c r="F53" i="51"/>
  <c r="BL50" i="49"/>
  <c r="R51" i="51" s="1"/>
  <c r="F51" i="51"/>
  <c r="BL48" i="49"/>
  <c r="R49" i="51" s="1"/>
  <c r="F49" i="51"/>
  <c r="BL46" i="49"/>
  <c r="R47" i="51" s="1"/>
  <c r="F47" i="51"/>
  <c r="BL44" i="49"/>
  <c r="R45" i="51" s="1"/>
  <c r="F45" i="51"/>
  <c r="BL42" i="49"/>
  <c r="R43" i="51" s="1"/>
  <c r="F43" i="51"/>
  <c r="BL40" i="49"/>
  <c r="R41" i="51" s="1"/>
  <c r="F41" i="51"/>
  <c r="BL38" i="49"/>
  <c r="R39" i="51" s="1"/>
  <c r="F39" i="51"/>
  <c r="BL36" i="49"/>
  <c r="R37" i="51" s="1"/>
  <c r="F37" i="51"/>
  <c r="BL34" i="49"/>
  <c r="R35" i="51" s="1"/>
  <c r="F35" i="51"/>
  <c r="BL32" i="49"/>
  <c r="R33" i="51" s="1"/>
  <c r="F33" i="51"/>
  <c r="BL29" i="49"/>
  <c r="R30" i="51" s="1"/>
  <c r="F30" i="51"/>
  <c r="BL27" i="49"/>
  <c r="R28" i="51" s="1"/>
  <c r="F28" i="51"/>
  <c r="BL25" i="49"/>
  <c r="R26" i="51" s="1"/>
  <c r="F26" i="51"/>
  <c r="BL23" i="49"/>
  <c r="R24" i="51" s="1"/>
  <c r="F24" i="51"/>
  <c r="BL21" i="49"/>
  <c r="R22" i="51" s="1"/>
  <c r="F22" i="51"/>
  <c r="BL19" i="49"/>
  <c r="R20" i="51" s="1"/>
  <c r="F20" i="51"/>
  <c r="BL17" i="49"/>
  <c r="R18" i="51" s="1"/>
  <c r="F18" i="51"/>
  <c r="BL15" i="49"/>
  <c r="R16" i="51" s="1"/>
  <c r="F16" i="51"/>
  <c r="BL12" i="49"/>
  <c r="R13" i="51" s="1"/>
  <c r="F13" i="51"/>
  <c r="BL10" i="49"/>
  <c r="R11" i="51" s="1"/>
  <c r="F11" i="51"/>
  <c r="BL8" i="49"/>
  <c r="R9" i="51" s="1"/>
  <c r="F9" i="51"/>
  <c r="BL6" i="49"/>
  <c r="R7" i="51" s="1"/>
  <c r="F7" i="51"/>
  <c r="BL4" i="49"/>
  <c r="R5" i="51" s="1"/>
  <c r="F5" i="51"/>
  <c r="BL2" i="49"/>
  <c r="R3" i="51" s="1"/>
  <c r="F3" i="51"/>
  <c r="BL115" i="49"/>
  <c r="R116" i="51" s="1"/>
  <c r="F116" i="51"/>
  <c r="BL109" i="49"/>
  <c r="R110" i="51" s="1"/>
  <c r="F110" i="51"/>
  <c r="BL113" i="49"/>
  <c r="R114" i="51" s="1"/>
  <c r="F114" i="51"/>
  <c r="BL117" i="49"/>
  <c r="R118" i="51" s="1"/>
  <c r="F118" i="51"/>
  <c r="BT110" i="49"/>
  <c r="X111" i="51" s="1"/>
  <c r="H111" i="51"/>
  <c r="BT114" i="49"/>
  <c r="X115" i="51" s="1"/>
  <c r="H115" i="51"/>
  <c r="BT118" i="49"/>
  <c r="X119" i="51" s="1"/>
  <c r="H119" i="51"/>
  <c r="BT111" i="49"/>
  <c r="X112" i="51" s="1"/>
  <c r="H112" i="51"/>
  <c r="BT115" i="49"/>
  <c r="X116" i="51" s="1"/>
  <c r="H116" i="51"/>
  <c r="BT119" i="49"/>
  <c r="X120" i="51" s="1"/>
  <c r="H120" i="51"/>
  <c r="BT108" i="49"/>
  <c r="X109" i="51" s="1"/>
  <c r="H109" i="51"/>
  <c r="BT112" i="49"/>
  <c r="X113" i="51" s="1"/>
  <c r="H113" i="51"/>
  <c r="BT116" i="49"/>
  <c r="X117" i="51" s="1"/>
  <c r="H117" i="51"/>
  <c r="BT107" i="49"/>
  <c r="X108" i="51" s="1"/>
  <c r="H108" i="51"/>
  <c r="BT106" i="49"/>
  <c r="X107" i="51" s="1"/>
  <c r="H107" i="51"/>
  <c r="BT105" i="49"/>
  <c r="X106" i="51" s="1"/>
  <c r="H106" i="51"/>
  <c r="BT104" i="49"/>
  <c r="X105" i="51" s="1"/>
  <c r="H105" i="51"/>
  <c r="BT103" i="49"/>
  <c r="X104" i="51" s="1"/>
  <c r="H104" i="51"/>
  <c r="BT102" i="49"/>
  <c r="X103" i="51" s="1"/>
  <c r="H103" i="51"/>
  <c r="BT101" i="49"/>
  <c r="X102" i="51" s="1"/>
  <c r="H102" i="51"/>
  <c r="BT100" i="49"/>
  <c r="X101" i="51" s="1"/>
  <c r="H101" i="51"/>
  <c r="BT99" i="49"/>
  <c r="X100" i="51" s="1"/>
  <c r="H100" i="51"/>
  <c r="BT98" i="49"/>
  <c r="X99" i="51" s="1"/>
  <c r="H99" i="51"/>
  <c r="BT97" i="49"/>
  <c r="X98" i="51" s="1"/>
  <c r="H98" i="51"/>
  <c r="BT96" i="49"/>
  <c r="X97" i="51" s="1"/>
  <c r="H97" i="51"/>
  <c r="BT95" i="49"/>
  <c r="X96" i="51" s="1"/>
  <c r="H96" i="51"/>
  <c r="BT94" i="49"/>
  <c r="X95" i="51" s="1"/>
  <c r="H95" i="51"/>
  <c r="BT93" i="49"/>
  <c r="X94" i="51" s="1"/>
  <c r="H94" i="51"/>
  <c r="BT92" i="49"/>
  <c r="X93" i="51" s="1"/>
  <c r="H93" i="51"/>
  <c r="BT91" i="49"/>
  <c r="X92" i="51" s="1"/>
  <c r="H92" i="51"/>
  <c r="BT90" i="49"/>
  <c r="X91" i="51" s="1"/>
  <c r="H91" i="51"/>
  <c r="BT89" i="49"/>
  <c r="X90" i="51" s="1"/>
  <c r="H90" i="51"/>
  <c r="BT88" i="49"/>
  <c r="X89" i="51" s="1"/>
  <c r="H89" i="51"/>
  <c r="BT87" i="49"/>
  <c r="X88" i="51" s="1"/>
  <c r="H88" i="51"/>
  <c r="BT86" i="49"/>
  <c r="X87" i="51" s="1"/>
  <c r="H87" i="51"/>
  <c r="BT85" i="49"/>
  <c r="X86" i="51" s="1"/>
  <c r="H86" i="51"/>
  <c r="BT84" i="49"/>
  <c r="X85" i="51" s="1"/>
  <c r="H85" i="51"/>
  <c r="BT83" i="49"/>
  <c r="X84" i="51" s="1"/>
  <c r="H84" i="51"/>
  <c r="BT82" i="49"/>
  <c r="X83" i="51" s="1"/>
  <c r="H83" i="51"/>
  <c r="BT81" i="49"/>
  <c r="X82" i="51" s="1"/>
  <c r="H82" i="51"/>
  <c r="BT80" i="49"/>
  <c r="X81" i="51" s="1"/>
  <c r="H81" i="51"/>
  <c r="BT79" i="49"/>
  <c r="X80" i="51" s="1"/>
  <c r="H80" i="51"/>
  <c r="BT78" i="49"/>
  <c r="X79" i="51" s="1"/>
  <c r="H79" i="51"/>
  <c r="BT77" i="49"/>
  <c r="X78" i="51" s="1"/>
  <c r="H78" i="51"/>
  <c r="BT76" i="49"/>
  <c r="X77" i="51" s="1"/>
  <c r="H77" i="51"/>
  <c r="BT75" i="49"/>
  <c r="X76" i="51" s="1"/>
  <c r="H76" i="51"/>
  <c r="BT74" i="49"/>
  <c r="X75" i="51" s="1"/>
  <c r="H75" i="51"/>
  <c r="BT73" i="49"/>
  <c r="X74" i="51" s="1"/>
  <c r="H74" i="51"/>
  <c r="BT72" i="49"/>
  <c r="X73" i="51" s="1"/>
  <c r="H73" i="51"/>
  <c r="BT71" i="49"/>
  <c r="X72" i="51" s="1"/>
  <c r="H72" i="51"/>
  <c r="BT70" i="49"/>
  <c r="X71" i="51" s="1"/>
  <c r="H71" i="51"/>
  <c r="BT69" i="49"/>
  <c r="X70" i="51" s="1"/>
  <c r="H70" i="51"/>
  <c r="BT68" i="49"/>
  <c r="X69" i="51" s="1"/>
  <c r="H69" i="51"/>
  <c r="BT67" i="49"/>
  <c r="X68" i="51" s="1"/>
  <c r="H68" i="51"/>
  <c r="BT66" i="49"/>
  <c r="X67" i="51" s="1"/>
  <c r="H67" i="51"/>
  <c r="BT65" i="49"/>
  <c r="X66" i="51" s="1"/>
  <c r="H66" i="51"/>
  <c r="BT64" i="49"/>
  <c r="X65" i="51" s="1"/>
  <c r="H65" i="51"/>
  <c r="BT63" i="49"/>
  <c r="X64" i="51" s="1"/>
  <c r="H64" i="51"/>
  <c r="BT62" i="49"/>
  <c r="X63" i="51" s="1"/>
  <c r="H63" i="51"/>
  <c r="BT61" i="49"/>
  <c r="X62" i="51" s="1"/>
  <c r="H62" i="51"/>
  <c r="BT60" i="49"/>
  <c r="X61" i="51" s="1"/>
  <c r="H61" i="51"/>
  <c r="BT59" i="49"/>
  <c r="X60" i="51" s="1"/>
  <c r="H60" i="51"/>
  <c r="BT58" i="49"/>
  <c r="X59" i="51" s="1"/>
  <c r="H59" i="51"/>
  <c r="BT57" i="49"/>
  <c r="X58" i="51" s="1"/>
  <c r="H58" i="51"/>
  <c r="BT56" i="49"/>
  <c r="X57" i="51" s="1"/>
  <c r="H57" i="51"/>
  <c r="BT55" i="49"/>
  <c r="X56" i="51" s="1"/>
  <c r="H56" i="51"/>
  <c r="BT54" i="49"/>
  <c r="X55" i="51" s="1"/>
  <c r="H55" i="51"/>
  <c r="BT53" i="49"/>
  <c r="X54" i="51" s="1"/>
  <c r="H54" i="51"/>
  <c r="BT52" i="49"/>
  <c r="X53" i="51" s="1"/>
  <c r="H53" i="51"/>
  <c r="BT51" i="49"/>
  <c r="X52" i="51" s="1"/>
  <c r="H52" i="51"/>
  <c r="BT50" i="49"/>
  <c r="X51" i="51" s="1"/>
  <c r="H51" i="51"/>
  <c r="BT49" i="49"/>
  <c r="X50" i="51" s="1"/>
  <c r="H50" i="51"/>
  <c r="BT48" i="49"/>
  <c r="X49" i="51" s="1"/>
  <c r="H49" i="51"/>
  <c r="BT47" i="49"/>
  <c r="X48" i="51" s="1"/>
  <c r="H48" i="51"/>
  <c r="BT46" i="49"/>
  <c r="X47" i="51" s="1"/>
  <c r="H47" i="51"/>
  <c r="BT45" i="49"/>
  <c r="X46" i="51" s="1"/>
  <c r="H46" i="51"/>
  <c r="BT44" i="49"/>
  <c r="X45" i="51" s="1"/>
  <c r="H45" i="51"/>
  <c r="BT43" i="49"/>
  <c r="X44" i="51" s="1"/>
  <c r="H44" i="51"/>
  <c r="BT42" i="49"/>
  <c r="X43" i="51" s="1"/>
  <c r="H43" i="51"/>
  <c r="BT41" i="49"/>
  <c r="X42" i="51" s="1"/>
  <c r="H42" i="51"/>
  <c r="BT40" i="49"/>
  <c r="X41" i="51" s="1"/>
  <c r="H41" i="51"/>
  <c r="BT39" i="49"/>
  <c r="X40" i="51" s="1"/>
  <c r="H40" i="51"/>
  <c r="BT38" i="49"/>
  <c r="X39" i="51" s="1"/>
  <c r="H39" i="51"/>
  <c r="BT37" i="49"/>
  <c r="X38" i="51" s="1"/>
  <c r="H38" i="51"/>
  <c r="BT36" i="49"/>
  <c r="X37" i="51" s="1"/>
  <c r="H37" i="51"/>
  <c r="BT35" i="49"/>
  <c r="X36" i="51" s="1"/>
  <c r="H36" i="51"/>
  <c r="BT34" i="49"/>
  <c r="X35" i="51" s="1"/>
  <c r="H35" i="51"/>
  <c r="BT33" i="49"/>
  <c r="X34" i="51" s="1"/>
  <c r="H34" i="51"/>
  <c r="BT32" i="49"/>
  <c r="X33" i="51" s="1"/>
  <c r="H33" i="51"/>
  <c r="BT31" i="49"/>
  <c r="X32" i="51" s="1"/>
  <c r="H32" i="51"/>
  <c r="BT30" i="49"/>
  <c r="X31" i="51" s="1"/>
  <c r="H31" i="51"/>
  <c r="BT29" i="49"/>
  <c r="X30" i="51" s="1"/>
  <c r="H30" i="51"/>
  <c r="BT28" i="49"/>
  <c r="X29" i="51" s="1"/>
  <c r="H29" i="51"/>
  <c r="BT27" i="49"/>
  <c r="X28" i="51" s="1"/>
  <c r="H28" i="51"/>
  <c r="BT26" i="49"/>
  <c r="X27" i="51" s="1"/>
  <c r="H27" i="51"/>
  <c r="BT25" i="49"/>
  <c r="X26" i="51" s="1"/>
  <c r="H26" i="51"/>
  <c r="BT24" i="49"/>
  <c r="X25" i="51" s="1"/>
  <c r="H25" i="51"/>
  <c r="BT23" i="49"/>
  <c r="X24" i="51" s="1"/>
  <c r="H24" i="51"/>
  <c r="BT22" i="49"/>
  <c r="X23" i="51" s="1"/>
  <c r="H23" i="51"/>
  <c r="BT21" i="49"/>
  <c r="X22" i="51" s="1"/>
  <c r="H22" i="51"/>
  <c r="BT20" i="49"/>
  <c r="X21" i="51" s="1"/>
  <c r="H21" i="51"/>
  <c r="BT19" i="49"/>
  <c r="X20" i="51" s="1"/>
  <c r="H20" i="51"/>
  <c r="BT18" i="49"/>
  <c r="X19" i="51" s="1"/>
  <c r="H19" i="51"/>
  <c r="BT17" i="49"/>
  <c r="X18" i="51" s="1"/>
  <c r="H18" i="51"/>
  <c r="BT16" i="49"/>
  <c r="X17" i="51" s="1"/>
  <c r="H17" i="51"/>
  <c r="BT15" i="49"/>
  <c r="X16" i="51" s="1"/>
  <c r="H16" i="51"/>
  <c r="BT14" i="49"/>
  <c r="X15" i="51" s="1"/>
  <c r="H15" i="51"/>
  <c r="BT13" i="49"/>
  <c r="X14" i="51" s="1"/>
  <c r="H14" i="51"/>
  <c r="BT12" i="49"/>
  <c r="X13" i="51" s="1"/>
  <c r="H13" i="51"/>
  <c r="BT11" i="49"/>
  <c r="X12" i="51" s="1"/>
  <c r="H12" i="51"/>
  <c r="BT10" i="49"/>
  <c r="X11" i="51" s="1"/>
  <c r="H11" i="51"/>
  <c r="BT9" i="49"/>
  <c r="X10" i="51" s="1"/>
  <c r="H10" i="51"/>
  <c r="BT8" i="49"/>
  <c r="X9" i="51" s="1"/>
  <c r="H9" i="51"/>
  <c r="BT7" i="49"/>
  <c r="X8" i="51" s="1"/>
  <c r="H8" i="51"/>
  <c r="BT6" i="49"/>
  <c r="X7" i="51" s="1"/>
  <c r="H7" i="51"/>
  <c r="BT5" i="49"/>
  <c r="X6" i="51" s="1"/>
  <c r="H6" i="51"/>
  <c r="BT4" i="49"/>
  <c r="X5" i="51" s="1"/>
  <c r="H5" i="51"/>
  <c r="BT3" i="49"/>
  <c r="X4" i="51" s="1"/>
  <c r="H4" i="51"/>
  <c r="BT2" i="49"/>
  <c r="X3" i="51" s="1"/>
  <c r="H3" i="51"/>
  <c r="BT1" i="49"/>
  <c r="X2" i="51" s="1"/>
  <c r="H2" i="51"/>
  <c r="BT109" i="49"/>
  <c r="X110" i="51" s="1"/>
  <c r="H110" i="51"/>
  <c r="BT113" i="49"/>
  <c r="X114" i="51" s="1"/>
  <c r="H114" i="51"/>
  <c r="BT117" i="49"/>
  <c r="X118" i="51" s="1"/>
  <c r="H118" i="51"/>
  <c r="BP105" i="49"/>
  <c r="U106" i="51" s="1"/>
  <c r="G106" i="51"/>
  <c r="BP103" i="49"/>
  <c r="U104" i="51" s="1"/>
  <c r="G104" i="51"/>
  <c r="BP101" i="49"/>
  <c r="U102" i="51" s="1"/>
  <c r="G102" i="51"/>
  <c r="BP100" i="49"/>
  <c r="U101" i="51" s="1"/>
  <c r="G101" i="51"/>
  <c r="BP98" i="49"/>
  <c r="U99" i="51" s="1"/>
  <c r="G99" i="51"/>
  <c r="BP96" i="49"/>
  <c r="U97" i="51" s="1"/>
  <c r="G97" i="51"/>
  <c r="BP94" i="49"/>
  <c r="U95" i="51" s="1"/>
  <c r="G95" i="51"/>
  <c r="BP92" i="49"/>
  <c r="U93" i="51" s="1"/>
  <c r="G93" i="51"/>
  <c r="BP91" i="49"/>
  <c r="U92" i="51" s="1"/>
  <c r="G92" i="51"/>
  <c r="BP89" i="49"/>
  <c r="U90" i="51" s="1"/>
  <c r="G90" i="51"/>
  <c r="BP87" i="49"/>
  <c r="U88" i="51" s="1"/>
  <c r="G88" i="51"/>
  <c r="BP85" i="49"/>
  <c r="U86" i="51" s="1"/>
  <c r="G86" i="51"/>
  <c r="BP83" i="49"/>
  <c r="U84" i="51" s="1"/>
  <c r="G84" i="51"/>
  <c r="BP81" i="49"/>
  <c r="U82" i="51" s="1"/>
  <c r="G82" i="51"/>
  <c r="BP79" i="49"/>
  <c r="U80" i="51" s="1"/>
  <c r="G80" i="51"/>
  <c r="BP77" i="49"/>
  <c r="U78" i="51" s="1"/>
  <c r="G78" i="51"/>
  <c r="BP75" i="49"/>
  <c r="U76" i="51" s="1"/>
  <c r="G76" i="51"/>
  <c r="BP73" i="49"/>
  <c r="U74" i="51" s="1"/>
  <c r="G74" i="51"/>
  <c r="BP71" i="49"/>
  <c r="U72" i="51" s="1"/>
  <c r="G72" i="51"/>
  <c r="BP70" i="49"/>
  <c r="U71" i="51" s="1"/>
  <c r="G71" i="51"/>
  <c r="BP69" i="49"/>
  <c r="U70" i="51" s="1"/>
  <c r="G70" i="51"/>
  <c r="BP67" i="49"/>
  <c r="U68" i="51" s="1"/>
  <c r="G68" i="51"/>
  <c r="BP66" i="49"/>
  <c r="U67" i="51" s="1"/>
  <c r="G67" i="51"/>
  <c r="BP65" i="49"/>
  <c r="U66" i="51" s="1"/>
  <c r="G66" i="51"/>
  <c r="BP64" i="49"/>
  <c r="U65" i="51" s="1"/>
  <c r="G65" i="51"/>
  <c r="BP63" i="49"/>
  <c r="U64" i="51" s="1"/>
  <c r="G64" i="51"/>
  <c r="BP62" i="49"/>
  <c r="U63" i="51" s="1"/>
  <c r="G63" i="51"/>
  <c r="BP61" i="49"/>
  <c r="U62" i="51" s="1"/>
  <c r="G62" i="51"/>
  <c r="BP58" i="49"/>
  <c r="U59" i="51" s="1"/>
  <c r="G59" i="51"/>
  <c r="BP57" i="49"/>
  <c r="U58" i="51" s="1"/>
  <c r="G58" i="51"/>
  <c r="BP55" i="49"/>
  <c r="U56" i="51" s="1"/>
  <c r="G56" i="51"/>
  <c r="BP54" i="49"/>
  <c r="U55" i="51" s="1"/>
  <c r="G55" i="51"/>
  <c r="BP52" i="49"/>
  <c r="U53" i="51" s="1"/>
  <c r="G53" i="51"/>
  <c r="BP51" i="49"/>
  <c r="U52" i="51" s="1"/>
  <c r="G52" i="51"/>
  <c r="BP49" i="49"/>
  <c r="U50" i="51" s="1"/>
  <c r="G50" i="51"/>
  <c r="BP47" i="49"/>
  <c r="U48" i="51" s="1"/>
  <c r="G48" i="51"/>
  <c r="BP45" i="49"/>
  <c r="U46" i="51" s="1"/>
  <c r="G46" i="51"/>
  <c r="BP43" i="49"/>
  <c r="U44" i="51" s="1"/>
  <c r="G44" i="51"/>
  <c r="BP41" i="49"/>
  <c r="U42" i="51" s="1"/>
  <c r="G42" i="51"/>
  <c r="BP39" i="49"/>
  <c r="U40" i="51" s="1"/>
  <c r="G40" i="51"/>
  <c r="BP37" i="49"/>
  <c r="U38" i="51" s="1"/>
  <c r="G38" i="51"/>
  <c r="BP35" i="49"/>
  <c r="U36" i="51" s="1"/>
  <c r="G36" i="51"/>
  <c r="BP33" i="49"/>
  <c r="U34" i="51" s="1"/>
  <c r="G34" i="51"/>
  <c r="BP32" i="49"/>
  <c r="U33" i="51" s="1"/>
  <c r="G33" i="51"/>
  <c r="BP30" i="49"/>
  <c r="U31" i="51" s="1"/>
  <c r="G31" i="51"/>
  <c r="BP27" i="49"/>
  <c r="U28" i="51" s="1"/>
  <c r="G28" i="51"/>
  <c r="BP25" i="49"/>
  <c r="U26" i="51" s="1"/>
  <c r="G26" i="51"/>
  <c r="BP23" i="49"/>
  <c r="U24" i="51" s="1"/>
  <c r="G24" i="51"/>
  <c r="BP21" i="49"/>
  <c r="U22" i="51" s="1"/>
  <c r="G22" i="51"/>
  <c r="BP19" i="49"/>
  <c r="U20" i="51" s="1"/>
  <c r="G20" i="51"/>
  <c r="BP18" i="49"/>
  <c r="U19" i="51" s="1"/>
  <c r="G19" i="51"/>
  <c r="BP16" i="49"/>
  <c r="U17" i="51" s="1"/>
  <c r="G17" i="51"/>
  <c r="BP14" i="49"/>
  <c r="U15" i="51" s="1"/>
  <c r="G15" i="51"/>
  <c r="BP13" i="49"/>
  <c r="U14" i="51" s="1"/>
  <c r="G14" i="51"/>
  <c r="BP11" i="49"/>
  <c r="U12" i="51" s="1"/>
  <c r="G12" i="51"/>
  <c r="BP9" i="49"/>
  <c r="U10" i="51" s="1"/>
  <c r="G10" i="51"/>
  <c r="BP7" i="49"/>
  <c r="U8" i="51" s="1"/>
  <c r="G8" i="51"/>
  <c r="BP5" i="49"/>
  <c r="U6" i="51" s="1"/>
  <c r="G6" i="51"/>
  <c r="BP3" i="49"/>
  <c r="U4" i="51" s="1"/>
  <c r="G4" i="51"/>
  <c r="BP2" i="49"/>
  <c r="U3" i="51" s="1"/>
  <c r="G3" i="51"/>
  <c r="BP110" i="49"/>
  <c r="U111" i="51" s="1"/>
  <c r="G111" i="51"/>
  <c r="BP114" i="49"/>
  <c r="U115" i="51" s="1"/>
  <c r="G115" i="51"/>
  <c r="BP118" i="49"/>
  <c r="U119" i="51" s="1"/>
  <c r="G119" i="51"/>
  <c r="BP111" i="49"/>
  <c r="U112" i="51" s="1"/>
  <c r="G112" i="51"/>
  <c r="BP115" i="49"/>
  <c r="U116" i="51" s="1"/>
  <c r="G116" i="51"/>
  <c r="BP119" i="49"/>
  <c r="U120" i="51" s="1"/>
  <c r="G120" i="51"/>
  <c r="BP108" i="49"/>
  <c r="U109" i="51" s="1"/>
  <c r="G109" i="51"/>
  <c r="BP112" i="49"/>
  <c r="U113" i="51" s="1"/>
  <c r="G113" i="51"/>
  <c r="BP116" i="49"/>
  <c r="U117" i="51" s="1"/>
  <c r="G117" i="51"/>
  <c r="BP107" i="49"/>
  <c r="U108" i="51" s="1"/>
  <c r="G108" i="51"/>
  <c r="BP106" i="49"/>
  <c r="U107" i="51" s="1"/>
  <c r="G107" i="51"/>
  <c r="BP104" i="49"/>
  <c r="U105" i="51" s="1"/>
  <c r="G105" i="51"/>
  <c r="BP102" i="49"/>
  <c r="U103" i="51" s="1"/>
  <c r="G103" i="51"/>
  <c r="BP99" i="49"/>
  <c r="U100" i="51" s="1"/>
  <c r="G100" i="51"/>
  <c r="BP97" i="49"/>
  <c r="U98" i="51" s="1"/>
  <c r="G98" i="51"/>
  <c r="BP95" i="49"/>
  <c r="U96" i="51" s="1"/>
  <c r="G96" i="51"/>
  <c r="BP93" i="49"/>
  <c r="U94" i="51" s="1"/>
  <c r="G94" i="51"/>
  <c r="BP90" i="49"/>
  <c r="U91" i="51" s="1"/>
  <c r="G91" i="51"/>
  <c r="BP88" i="49"/>
  <c r="U89" i="51" s="1"/>
  <c r="G89" i="51"/>
  <c r="BP86" i="49"/>
  <c r="U87" i="51" s="1"/>
  <c r="G87" i="51"/>
  <c r="BP84" i="49"/>
  <c r="U85" i="51" s="1"/>
  <c r="G85" i="51"/>
  <c r="BP82" i="49"/>
  <c r="U83" i="51" s="1"/>
  <c r="G83" i="51"/>
  <c r="BP80" i="49"/>
  <c r="U81" i="51" s="1"/>
  <c r="G81" i="51"/>
  <c r="BP78" i="49"/>
  <c r="U79" i="51" s="1"/>
  <c r="G79" i="51"/>
  <c r="BP76" i="49"/>
  <c r="U77" i="51" s="1"/>
  <c r="G77" i="51"/>
  <c r="BP74" i="49"/>
  <c r="U75" i="51" s="1"/>
  <c r="G75" i="51"/>
  <c r="BP72" i="49"/>
  <c r="U73" i="51" s="1"/>
  <c r="G73" i="51"/>
  <c r="BP68" i="49"/>
  <c r="U69" i="51" s="1"/>
  <c r="G69" i="51"/>
  <c r="BP59" i="49"/>
  <c r="U60" i="51" s="1"/>
  <c r="G60" i="51"/>
  <c r="BP56" i="49"/>
  <c r="U57" i="51" s="1"/>
  <c r="G57" i="51"/>
  <c r="BP53" i="49"/>
  <c r="U54" i="51" s="1"/>
  <c r="G54" i="51"/>
  <c r="BP50" i="49"/>
  <c r="U51" i="51" s="1"/>
  <c r="G51" i="51"/>
  <c r="BP48" i="49"/>
  <c r="U49" i="51" s="1"/>
  <c r="G49" i="51"/>
  <c r="BP46" i="49"/>
  <c r="U47" i="51" s="1"/>
  <c r="G47" i="51"/>
  <c r="BP44" i="49"/>
  <c r="U45" i="51" s="1"/>
  <c r="G45" i="51"/>
  <c r="BP42" i="49"/>
  <c r="U43" i="51" s="1"/>
  <c r="G43" i="51"/>
  <c r="BP40" i="49"/>
  <c r="U41" i="51" s="1"/>
  <c r="G41" i="51"/>
  <c r="BP38" i="49"/>
  <c r="U39" i="51" s="1"/>
  <c r="G39" i="51"/>
  <c r="BP36" i="49"/>
  <c r="U37" i="51" s="1"/>
  <c r="G37" i="51"/>
  <c r="BP34" i="49"/>
  <c r="U35" i="51" s="1"/>
  <c r="G35" i="51"/>
  <c r="BP31" i="49"/>
  <c r="U32" i="51" s="1"/>
  <c r="G32" i="51"/>
  <c r="BP29" i="49"/>
  <c r="U30" i="51" s="1"/>
  <c r="G30" i="51"/>
  <c r="BP28" i="49"/>
  <c r="U29" i="51" s="1"/>
  <c r="G29" i="51"/>
  <c r="BP26" i="49"/>
  <c r="U27" i="51" s="1"/>
  <c r="G27" i="51"/>
  <c r="BP24" i="49"/>
  <c r="U25" i="51" s="1"/>
  <c r="G25" i="51"/>
  <c r="BP22" i="49"/>
  <c r="U23" i="51" s="1"/>
  <c r="G23" i="51"/>
  <c r="BP20" i="49"/>
  <c r="U21" i="51" s="1"/>
  <c r="G21" i="51"/>
  <c r="BP17" i="49"/>
  <c r="U18" i="51" s="1"/>
  <c r="G18" i="51"/>
  <c r="BP15" i="49"/>
  <c r="U16" i="51" s="1"/>
  <c r="G16" i="51"/>
  <c r="BP12" i="49"/>
  <c r="U13" i="51" s="1"/>
  <c r="G13" i="51"/>
  <c r="BP10" i="49"/>
  <c r="U11" i="51" s="1"/>
  <c r="G11" i="51"/>
  <c r="BP8" i="49"/>
  <c r="U9" i="51" s="1"/>
  <c r="G9" i="51"/>
  <c r="BP6" i="49"/>
  <c r="U7" i="51" s="1"/>
  <c r="G7" i="51"/>
  <c r="BP4" i="49"/>
  <c r="U5" i="51" s="1"/>
  <c r="G5" i="51"/>
  <c r="BP1" i="49"/>
  <c r="U2" i="51" s="1"/>
  <c r="G2" i="51"/>
  <c r="BP109" i="49"/>
  <c r="U110" i="51" s="1"/>
  <c r="G110" i="51"/>
  <c r="BP113" i="49"/>
  <c r="U114" i="51" s="1"/>
  <c r="G114" i="51"/>
  <c r="BP117" i="49"/>
  <c r="U118" i="51" s="1"/>
  <c r="G118" i="51"/>
  <c r="BH4" i="49"/>
  <c r="O5" i="51" s="1"/>
  <c r="E5" i="51"/>
  <c r="BH12" i="49"/>
  <c r="O13" i="51" s="1"/>
  <c r="E13" i="51"/>
  <c r="BH20" i="49"/>
  <c r="O21" i="51" s="1"/>
  <c r="E21" i="51"/>
  <c r="BH28" i="49"/>
  <c r="O29" i="51" s="1"/>
  <c r="E29" i="51"/>
  <c r="BH36" i="49"/>
  <c r="O37" i="51" s="1"/>
  <c r="E37" i="51"/>
  <c r="BH44" i="49"/>
  <c r="O45" i="51" s="1"/>
  <c r="E45" i="51"/>
  <c r="BH52" i="49"/>
  <c r="O53" i="51" s="1"/>
  <c r="E53" i="51"/>
  <c r="BH64" i="49"/>
  <c r="O65" i="51" s="1"/>
  <c r="E65" i="51"/>
  <c r="BH68" i="49"/>
  <c r="O69" i="51" s="1"/>
  <c r="E69" i="51"/>
  <c r="BH72" i="49"/>
  <c r="O73" i="51" s="1"/>
  <c r="E73" i="51"/>
  <c r="BH76" i="49"/>
  <c r="O77" i="51" s="1"/>
  <c r="E77" i="51"/>
  <c r="BH80" i="49"/>
  <c r="O81" i="51" s="1"/>
  <c r="E81" i="51"/>
  <c r="BH84" i="49"/>
  <c r="O85" i="51" s="1"/>
  <c r="E85" i="51"/>
  <c r="BH88" i="49"/>
  <c r="O89" i="51" s="1"/>
  <c r="E89" i="51"/>
  <c r="BH92" i="49"/>
  <c r="O93" i="51" s="1"/>
  <c r="E93" i="51"/>
  <c r="BH96" i="49"/>
  <c r="O97" i="51" s="1"/>
  <c r="E97" i="51"/>
  <c r="BH100" i="49"/>
  <c r="O101" i="51" s="1"/>
  <c r="E101" i="51"/>
  <c r="BH104" i="49"/>
  <c r="O105" i="51" s="1"/>
  <c r="E105" i="51"/>
  <c r="BH108" i="49"/>
  <c r="O109" i="51" s="1"/>
  <c r="E109" i="51"/>
  <c r="BH112" i="49"/>
  <c r="O113" i="51" s="1"/>
  <c r="E113" i="51"/>
  <c r="BH116" i="49"/>
  <c r="O117" i="51" s="1"/>
  <c r="E117" i="51"/>
  <c r="BH1" i="49"/>
  <c r="O2" i="51" s="1"/>
  <c r="E2" i="51"/>
  <c r="BH5" i="49"/>
  <c r="O6" i="51" s="1"/>
  <c r="E6" i="51"/>
  <c r="BH9" i="49"/>
  <c r="O10" i="51" s="1"/>
  <c r="E10" i="51"/>
  <c r="BH13" i="49"/>
  <c r="O14" i="51" s="1"/>
  <c r="E14" i="51"/>
  <c r="BH17" i="49"/>
  <c r="O18" i="51" s="1"/>
  <c r="E18" i="51"/>
  <c r="BH25" i="49"/>
  <c r="O26" i="51" s="1"/>
  <c r="E26" i="51"/>
  <c r="BH29" i="49"/>
  <c r="O30" i="51" s="1"/>
  <c r="E30" i="51"/>
  <c r="BH33" i="49"/>
  <c r="O34" i="51" s="1"/>
  <c r="E34" i="51"/>
  <c r="BH37" i="49"/>
  <c r="O38" i="51" s="1"/>
  <c r="E38" i="51"/>
  <c r="BH41" i="49"/>
  <c r="O42" i="51" s="1"/>
  <c r="E42" i="51"/>
  <c r="BH45" i="49"/>
  <c r="O46" i="51" s="1"/>
  <c r="E46" i="51"/>
  <c r="BH49" i="49"/>
  <c r="O50" i="51" s="1"/>
  <c r="E50" i="51"/>
  <c r="BH53" i="49"/>
  <c r="O54" i="51" s="1"/>
  <c r="E54" i="51"/>
  <c r="BH57" i="49"/>
  <c r="O58" i="51" s="1"/>
  <c r="E58" i="51"/>
  <c r="BH61" i="49"/>
  <c r="O62" i="51" s="1"/>
  <c r="E62" i="51"/>
  <c r="BH65" i="49"/>
  <c r="O66" i="51" s="1"/>
  <c r="E66" i="51"/>
  <c r="BH69" i="49"/>
  <c r="O70" i="51" s="1"/>
  <c r="E70" i="51"/>
  <c r="BH73" i="49"/>
  <c r="O74" i="51" s="1"/>
  <c r="E74" i="51"/>
  <c r="BH77" i="49"/>
  <c r="O78" i="51" s="1"/>
  <c r="E78" i="51"/>
  <c r="BH81" i="49"/>
  <c r="O82" i="51" s="1"/>
  <c r="E82" i="51"/>
  <c r="BH85" i="49"/>
  <c r="O86" i="51" s="1"/>
  <c r="E86" i="51"/>
  <c r="BH89" i="49"/>
  <c r="O90" i="51" s="1"/>
  <c r="E90" i="51"/>
  <c r="BH93" i="49"/>
  <c r="O94" i="51" s="1"/>
  <c r="E94" i="51"/>
  <c r="BH97" i="49"/>
  <c r="O98" i="51" s="1"/>
  <c r="E98" i="51"/>
  <c r="BH101" i="49"/>
  <c r="O102" i="51" s="1"/>
  <c r="E102" i="51"/>
  <c r="BH105" i="49"/>
  <c r="O106" i="51" s="1"/>
  <c r="E106" i="51"/>
  <c r="BH109" i="49"/>
  <c r="O110" i="51" s="1"/>
  <c r="E110" i="51"/>
  <c r="BH113" i="49"/>
  <c r="O114" i="51" s="1"/>
  <c r="E114" i="51"/>
  <c r="BH117" i="49"/>
  <c r="E118" i="51"/>
  <c r="BH8" i="49"/>
  <c r="O9" i="51" s="1"/>
  <c r="E9" i="51"/>
  <c r="BH16" i="49"/>
  <c r="O17" i="51" s="1"/>
  <c r="E17" i="51"/>
  <c r="BH24" i="49"/>
  <c r="O25" i="51" s="1"/>
  <c r="E25" i="51"/>
  <c r="BH32" i="49"/>
  <c r="O33" i="51" s="1"/>
  <c r="E33" i="51"/>
  <c r="BH40" i="49"/>
  <c r="O41" i="51" s="1"/>
  <c r="E41" i="51"/>
  <c r="BH48" i="49"/>
  <c r="O49" i="51" s="1"/>
  <c r="E49" i="51"/>
  <c r="BH56" i="49"/>
  <c r="O57" i="51" s="1"/>
  <c r="E57" i="51"/>
  <c r="BH21" i="49"/>
  <c r="O22" i="51" s="1"/>
  <c r="E22" i="51"/>
  <c r="BH2" i="49"/>
  <c r="O3" i="51" s="1"/>
  <c r="E3" i="51"/>
  <c r="BH6" i="49"/>
  <c r="O7" i="51" s="1"/>
  <c r="E7" i="51"/>
  <c r="BH10" i="49"/>
  <c r="O11" i="51" s="1"/>
  <c r="E11" i="51"/>
  <c r="BH14" i="49"/>
  <c r="O15" i="51" s="1"/>
  <c r="E15" i="51"/>
  <c r="BH18" i="49"/>
  <c r="O19" i="51" s="1"/>
  <c r="E19" i="51"/>
  <c r="BH22" i="49"/>
  <c r="O23" i="51" s="1"/>
  <c r="E23" i="51"/>
  <c r="BH26" i="49"/>
  <c r="O27" i="51" s="1"/>
  <c r="E27" i="51"/>
  <c r="BH30" i="49"/>
  <c r="O31" i="51" s="1"/>
  <c r="E31" i="51"/>
  <c r="BH34" i="49"/>
  <c r="O35" i="51" s="1"/>
  <c r="E35" i="51"/>
  <c r="BH38" i="49"/>
  <c r="O39" i="51" s="1"/>
  <c r="E39" i="51"/>
  <c r="BH42" i="49"/>
  <c r="O43" i="51" s="1"/>
  <c r="E43" i="51"/>
  <c r="BH46" i="49"/>
  <c r="O47" i="51" s="1"/>
  <c r="E47" i="51"/>
  <c r="BH50" i="49"/>
  <c r="O51" i="51" s="1"/>
  <c r="E51" i="51"/>
  <c r="BH54" i="49"/>
  <c r="O55" i="51" s="1"/>
  <c r="E55" i="51"/>
  <c r="BH58" i="49"/>
  <c r="O59" i="51" s="1"/>
  <c r="E59" i="51"/>
  <c r="BH62" i="49"/>
  <c r="O63" i="51" s="1"/>
  <c r="E63" i="51"/>
  <c r="BH66" i="49"/>
  <c r="O67" i="51" s="1"/>
  <c r="E67" i="51"/>
  <c r="BH70" i="49"/>
  <c r="O71" i="51" s="1"/>
  <c r="E71" i="51"/>
  <c r="BH74" i="49"/>
  <c r="O75" i="51" s="1"/>
  <c r="E75" i="51"/>
  <c r="BH78" i="49"/>
  <c r="O79" i="51" s="1"/>
  <c r="E79" i="51"/>
  <c r="BH82" i="49"/>
  <c r="O83" i="51" s="1"/>
  <c r="E83" i="51"/>
  <c r="BH86" i="49"/>
  <c r="O87" i="51" s="1"/>
  <c r="E87" i="51"/>
  <c r="BH90" i="49"/>
  <c r="O91" i="51" s="1"/>
  <c r="E91" i="51"/>
  <c r="BH94" i="49"/>
  <c r="O95" i="51" s="1"/>
  <c r="E95" i="51"/>
  <c r="BH98" i="49"/>
  <c r="O99" i="51" s="1"/>
  <c r="E99" i="51"/>
  <c r="BH102" i="49"/>
  <c r="O103" i="51" s="1"/>
  <c r="E103" i="51"/>
  <c r="BH106" i="49"/>
  <c r="O107" i="51" s="1"/>
  <c r="E107" i="51"/>
  <c r="BH110" i="49"/>
  <c r="O111" i="51" s="1"/>
  <c r="E111" i="51"/>
  <c r="BH114" i="49"/>
  <c r="O115" i="51" s="1"/>
  <c r="E115" i="51"/>
  <c r="BH118" i="49"/>
  <c r="E119" i="51"/>
  <c r="BH3" i="49"/>
  <c r="O4" i="51" s="1"/>
  <c r="E4" i="51"/>
  <c r="BH7" i="49"/>
  <c r="O8" i="51" s="1"/>
  <c r="E8" i="51"/>
  <c r="BH11" i="49"/>
  <c r="O12" i="51" s="1"/>
  <c r="E12" i="51"/>
  <c r="BH15" i="49"/>
  <c r="O16" i="51" s="1"/>
  <c r="E16" i="51"/>
  <c r="BH19" i="49"/>
  <c r="O20" i="51" s="1"/>
  <c r="E20" i="51"/>
  <c r="BH23" i="49"/>
  <c r="O24" i="51" s="1"/>
  <c r="E24" i="51"/>
  <c r="BH27" i="49"/>
  <c r="O28" i="51" s="1"/>
  <c r="E28" i="51"/>
  <c r="BH31" i="49"/>
  <c r="O32" i="51" s="1"/>
  <c r="E32" i="51"/>
  <c r="BH35" i="49"/>
  <c r="O36" i="51" s="1"/>
  <c r="E36" i="51"/>
  <c r="BH39" i="49"/>
  <c r="O40" i="51" s="1"/>
  <c r="E40" i="51"/>
  <c r="BH43" i="49"/>
  <c r="O44" i="51" s="1"/>
  <c r="E44" i="51"/>
  <c r="BH47" i="49"/>
  <c r="O48" i="51" s="1"/>
  <c r="E48" i="51"/>
  <c r="BH51" i="49"/>
  <c r="O52" i="51" s="1"/>
  <c r="E52" i="51"/>
  <c r="BH55" i="49"/>
  <c r="O56" i="51" s="1"/>
  <c r="E56" i="51"/>
  <c r="BH59" i="49"/>
  <c r="O60" i="51" s="1"/>
  <c r="E60" i="51"/>
  <c r="BH63" i="49"/>
  <c r="O64" i="51" s="1"/>
  <c r="E64" i="51"/>
  <c r="BH67" i="49"/>
  <c r="O68" i="51" s="1"/>
  <c r="E68" i="51"/>
  <c r="BH71" i="49"/>
  <c r="O72" i="51" s="1"/>
  <c r="E72" i="51"/>
  <c r="BH75" i="49"/>
  <c r="O76" i="51" s="1"/>
  <c r="E76" i="51"/>
  <c r="BH79" i="49"/>
  <c r="O80" i="51" s="1"/>
  <c r="E80" i="51"/>
  <c r="BH83" i="49"/>
  <c r="O84" i="51" s="1"/>
  <c r="E84" i="51"/>
  <c r="BH87" i="49"/>
  <c r="O88" i="51" s="1"/>
  <c r="E88" i="51"/>
  <c r="BH91" i="49"/>
  <c r="O92" i="51" s="1"/>
  <c r="E92" i="51"/>
  <c r="BH95" i="49"/>
  <c r="O96" i="51" s="1"/>
  <c r="E96" i="51"/>
  <c r="BH99" i="49"/>
  <c r="O100" i="51" s="1"/>
  <c r="E100" i="51"/>
  <c r="BH103" i="49"/>
  <c r="O104" i="51" s="1"/>
  <c r="E104" i="51"/>
  <c r="BH107" i="49"/>
  <c r="O108" i="51" s="1"/>
  <c r="E108" i="51"/>
  <c r="BH111" i="49"/>
  <c r="O112" i="51" s="1"/>
  <c r="E112" i="51"/>
  <c r="BH115" i="49"/>
  <c r="O116" i="51" s="1"/>
  <c r="E116" i="51"/>
  <c r="BH119" i="49"/>
  <c r="E120" i="51"/>
  <c r="BD118" i="49"/>
  <c r="L119" i="51" s="1"/>
  <c r="D119" i="51"/>
  <c r="BD119" i="49"/>
  <c r="L120" i="51" s="1"/>
  <c r="D120" i="51"/>
  <c r="BD117" i="49"/>
  <c r="L118" i="51" s="1"/>
  <c r="D118" i="51"/>
  <c r="AZ1" i="49"/>
  <c r="H37" i="10"/>
  <c r="C41" i="10"/>
  <c r="H41" i="10" s="1"/>
  <c r="B41" i="10"/>
  <c r="G41" i="10" s="1"/>
  <c r="H32" i="10"/>
  <c r="AZ60" i="49"/>
  <c r="AW130" i="49"/>
  <c r="BH60" i="49"/>
  <c r="O61" i="51" s="1"/>
  <c r="BD107" i="49"/>
  <c r="L108" i="51" s="1"/>
  <c r="CC107" i="49"/>
  <c r="BD105" i="49"/>
  <c r="L106" i="51" s="1"/>
  <c r="CC105" i="49"/>
  <c r="BD103" i="49"/>
  <c r="L104" i="51" s="1"/>
  <c r="CC103" i="49"/>
  <c r="BD101" i="49"/>
  <c r="L102" i="51" s="1"/>
  <c r="CC101" i="49"/>
  <c r="BD100" i="49"/>
  <c r="L101" i="51" s="1"/>
  <c r="CC100" i="49"/>
  <c r="BD98" i="49"/>
  <c r="L99" i="51" s="1"/>
  <c r="CC98" i="49"/>
  <c r="BD96" i="49"/>
  <c r="L97" i="51" s="1"/>
  <c r="CC96" i="49"/>
  <c r="BD95" i="49"/>
  <c r="L96" i="51" s="1"/>
  <c r="CC95" i="49"/>
  <c r="BD93" i="49"/>
  <c r="L94" i="51" s="1"/>
  <c r="CC93" i="49"/>
  <c r="BD91" i="49"/>
  <c r="L92" i="51" s="1"/>
  <c r="CC91" i="49"/>
  <c r="BD89" i="49"/>
  <c r="L90" i="51" s="1"/>
  <c r="CC89" i="49"/>
  <c r="BD88" i="49"/>
  <c r="L89" i="51" s="1"/>
  <c r="CC88" i="49"/>
  <c r="BD86" i="49"/>
  <c r="L87" i="51" s="1"/>
  <c r="CC86" i="49"/>
  <c r="BD84" i="49"/>
  <c r="L85" i="51" s="1"/>
  <c r="CC84" i="49"/>
  <c r="BD82" i="49"/>
  <c r="L83" i="51" s="1"/>
  <c r="CC82" i="49"/>
  <c r="BD80" i="49"/>
  <c r="L81" i="51" s="1"/>
  <c r="CC80" i="49"/>
  <c r="BD78" i="49"/>
  <c r="L79" i="51" s="1"/>
  <c r="CC78" i="49"/>
  <c r="BD76" i="49"/>
  <c r="L77" i="51" s="1"/>
  <c r="CC76" i="49"/>
  <c r="BD74" i="49"/>
  <c r="L75" i="51" s="1"/>
  <c r="CC74" i="49"/>
  <c r="BD73" i="49"/>
  <c r="L74" i="51" s="1"/>
  <c r="CC73" i="49"/>
  <c r="BD71" i="49"/>
  <c r="L72" i="51" s="1"/>
  <c r="CC71" i="49"/>
  <c r="BD68" i="49"/>
  <c r="L69" i="51" s="1"/>
  <c r="CC68" i="49"/>
  <c r="BD66" i="49"/>
  <c r="L67" i="51" s="1"/>
  <c r="CC66" i="49"/>
  <c r="BD64" i="49"/>
  <c r="L65" i="51" s="1"/>
  <c r="CC64" i="49"/>
  <c r="BD62" i="49"/>
  <c r="L63" i="51" s="1"/>
  <c r="CC62" i="49"/>
  <c r="BD61" i="49"/>
  <c r="L62" i="51" s="1"/>
  <c r="CC61" i="49"/>
  <c r="BD58" i="49"/>
  <c r="L59" i="51" s="1"/>
  <c r="CC58" i="49"/>
  <c r="BD57" i="49"/>
  <c r="L58" i="51" s="1"/>
  <c r="CC57" i="49"/>
  <c r="BD55" i="49"/>
  <c r="L56" i="51" s="1"/>
  <c r="CC55" i="49"/>
  <c r="BD53" i="49"/>
  <c r="L54" i="51" s="1"/>
  <c r="CC53" i="49"/>
  <c r="BD51" i="49"/>
  <c r="L52" i="51" s="1"/>
  <c r="CC51" i="49"/>
  <c r="BD49" i="49"/>
  <c r="L50" i="51" s="1"/>
  <c r="CC49" i="49"/>
  <c r="BD48" i="49"/>
  <c r="L49" i="51" s="1"/>
  <c r="CC48" i="49"/>
  <c r="BD45" i="49"/>
  <c r="L46" i="51" s="1"/>
  <c r="CC45" i="49"/>
  <c r="BD44" i="49"/>
  <c r="L45" i="51" s="1"/>
  <c r="CC44" i="49"/>
  <c r="BD41" i="49"/>
  <c r="L42" i="51" s="1"/>
  <c r="CC41" i="49"/>
  <c r="BD39" i="49"/>
  <c r="L40" i="51" s="1"/>
  <c r="CC39" i="49"/>
  <c r="BD109" i="49"/>
  <c r="L110" i="51" s="1"/>
  <c r="CC109" i="49"/>
  <c r="BD111" i="49"/>
  <c r="L112" i="51" s="1"/>
  <c r="CC111" i="49"/>
  <c r="BD113" i="49"/>
  <c r="L114" i="51" s="1"/>
  <c r="CC113" i="49"/>
  <c r="BD115" i="49"/>
  <c r="L116" i="51" s="1"/>
  <c r="CC115" i="49"/>
  <c r="BD106" i="49"/>
  <c r="L107" i="51" s="1"/>
  <c r="CC106" i="49"/>
  <c r="BD104" i="49"/>
  <c r="L105" i="51" s="1"/>
  <c r="CC104" i="49"/>
  <c r="BD102" i="49"/>
  <c r="L103" i="51" s="1"/>
  <c r="CC102" i="49"/>
  <c r="BD99" i="49"/>
  <c r="L100" i="51" s="1"/>
  <c r="CC99" i="49"/>
  <c r="BD97" i="49"/>
  <c r="L98" i="51" s="1"/>
  <c r="CC97" i="49"/>
  <c r="BD94" i="49"/>
  <c r="L95" i="51" s="1"/>
  <c r="CC94" i="49"/>
  <c r="BD92" i="49"/>
  <c r="L93" i="51" s="1"/>
  <c r="CC92" i="49"/>
  <c r="BD90" i="49"/>
  <c r="L91" i="51" s="1"/>
  <c r="CC90" i="49"/>
  <c r="BD87" i="49"/>
  <c r="L88" i="51" s="1"/>
  <c r="CC87" i="49"/>
  <c r="BD85" i="49"/>
  <c r="L86" i="51" s="1"/>
  <c r="CC85" i="49"/>
  <c r="BD83" i="49"/>
  <c r="L84" i="51" s="1"/>
  <c r="CC83" i="49"/>
  <c r="BD81" i="49"/>
  <c r="L82" i="51" s="1"/>
  <c r="CC81" i="49"/>
  <c r="BD79" i="49"/>
  <c r="L80" i="51" s="1"/>
  <c r="CC79" i="49"/>
  <c r="BD77" i="49"/>
  <c r="L78" i="51" s="1"/>
  <c r="CC77" i="49"/>
  <c r="BD75" i="49"/>
  <c r="L76" i="51" s="1"/>
  <c r="CC75" i="49"/>
  <c r="BD72" i="49"/>
  <c r="L73" i="51" s="1"/>
  <c r="CC72" i="49"/>
  <c r="BD70" i="49"/>
  <c r="L71" i="51" s="1"/>
  <c r="CC70" i="49"/>
  <c r="BD69" i="49"/>
  <c r="L70" i="51" s="1"/>
  <c r="CC69" i="49"/>
  <c r="BD67" i="49"/>
  <c r="L68" i="51" s="1"/>
  <c r="CC67" i="49"/>
  <c r="BD65" i="49"/>
  <c r="L66" i="51" s="1"/>
  <c r="CC65" i="49"/>
  <c r="BD63" i="49"/>
  <c r="L64" i="51" s="1"/>
  <c r="CC63" i="49"/>
  <c r="BD60" i="49"/>
  <c r="L61" i="51" s="1"/>
  <c r="CC60" i="49"/>
  <c r="BD59" i="49"/>
  <c r="L60" i="51" s="1"/>
  <c r="CC59" i="49"/>
  <c r="BD56" i="49"/>
  <c r="L57" i="51" s="1"/>
  <c r="CC56" i="49"/>
  <c r="BD54" i="49"/>
  <c r="L55" i="51" s="1"/>
  <c r="CC54" i="49"/>
  <c r="BD52" i="49"/>
  <c r="L53" i="51" s="1"/>
  <c r="CC52" i="49"/>
  <c r="BD50" i="49"/>
  <c r="L51" i="51" s="1"/>
  <c r="CC50" i="49"/>
  <c r="BD47" i="49"/>
  <c r="L48" i="51" s="1"/>
  <c r="CC47" i="49"/>
  <c r="BD46" i="49"/>
  <c r="L47" i="51" s="1"/>
  <c r="CC46" i="49"/>
  <c r="BD43" i="49"/>
  <c r="L44" i="51" s="1"/>
  <c r="CC43" i="49"/>
  <c r="BD42" i="49"/>
  <c r="L43" i="51" s="1"/>
  <c r="CC42" i="49"/>
  <c r="BD40" i="49"/>
  <c r="L41" i="51" s="1"/>
  <c r="CC40" i="49"/>
  <c r="BD38" i="49"/>
  <c r="L39" i="51" s="1"/>
  <c r="CC38" i="49"/>
  <c r="BD37" i="49"/>
  <c r="L38" i="51" s="1"/>
  <c r="CC37" i="49"/>
  <c r="BD36" i="49"/>
  <c r="L37" i="51" s="1"/>
  <c r="CC36" i="49"/>
  <c r="BD35" i="49"/>
  <c r="L36" i="51" s="1"/>
  <c r="CC35" i="49"/>
  <c r="BD34" i="49"/>
  <c r="L35" i="51" s="1"/>
  <c r="CC34" i="49"/>
  <c r="BD33" i="49"/>
  <c r="L34" i="51" s="1"/>
  <c r="CC33" i="49"/>
  <c r="BD32" i="49"/>
  <c r="L33" i="51" s="1"/>
  <c r="CC32" i="49"/>
  <c r="BD31" i="49"/>
  <c r="L32" i="51" s="1"/>
  <c r="CC31" i="49"/>
  <c r="BD30" i="49"/>
  <c r="L31" i="51" s="1"/>
  <c r="CC30" i="49"/>
  <c r="BD29" i="49"/>
  <c r="L30" i="51" s="1"/>
  <c r="CC29" i="49"/>
  <c r="BD28" i="49"/>
  <c r="L29" i="51" s="1"/>
  <c r="CC28" i="49"/>
  <c r="BD27" i="49"/>
  <c r="L28" i="51" s="1"/>
  <c r="CC27" i="49"/>
  <c r="BD26" i="49"/>
  <c r="L27" i="51" s="1"/>
  <c r="CC26" i="49"/>
  <c r="BD25" i="49"/>
  <c r="L26" i="51" s="1"/>
  <c r="CC25" i="49"/>
  <c r="BD24" i="49"/>
  <c r="L25" i="51" s="1"/>
  <c r="CC24" i="49"/>
  <c r="BD23" i="49"/>
  <c r="L24" i="51" s="1"/>
  <c r="CC23" i="49"/>
  <c r="BD22" i="49"/>
  <c r="L23" i="51" s="1"/>
  <c r="CC22" i="49"/>
  <c r="BD21" i="49"/>
  <c r="L22" i="51" s="1"/>
  <c r="CC21" i="49"/>
  <c r="BD20" i="49"/>
  <c r="L21" i="51" s="1"/>
  <c r="CC20" i="49"/>
  <c r="BD19" i="49"/>
  <c r="L20" i="51" s="1"/>
  <c r="CC19" i="49"/>
  <c r="BD18" i="49"/>
  <c r="L19" i="51" s="1"/>
  <c r="CC18" i="49"/>
  <c r="BD17" i="49"/>
  <c r="L18" i="51" s="1"/>
  <c r="CC17" i="49"/>
  <c r="BD16" i="49"/>
  <c r="L17" i="51" s="1"/>
  <c r="CC16" i="49"/>
  <c r="BD15" i="49"/>
  <c r="L16" i="51" s="1"/>
  <c r="CC15" i="49"/>
  <c r="BD14" i="49"/>
  <c r="L15" i="51" s="1"/>
  <c r="CC14" i="49"/>
  <c r="BD13" i="49"/>
  <c r="L14" i="51" s="1"/>
  <c r="CC13" i="49"/>
  <c r="BD12" i="49"/>
  <c r="L13" i="51" s="1"/>
  <c r="CC12" i="49"/>
  <c r="BD11" i="49"/>
  <c r="L12" i="51" s="1"/>
  <c r="CC11" i="49"/>
  <c r="BD10" i="49"/>
  <c r="L11" i="51" s="1"/>
  <c r="CC10" i="49"/>
  <c r="BD9" i="49"/>
  <c r="L10" i="51" s="1"/>
  <c r="CC9" i="49"/>
  <c r="BD8" i="49"/>
  <c r="L9" i="51" s="1"/>
  <c r="CC8" i="49"/>
  <c r="BD7" i="49"/>
  <c r="L8" i="51" s="1"/>
  <c r="CC7" i="49"/>
  <c r="BD6" i="49"/>
  <c r="L7" i="51" s="1"/>
  <c r="CC6" i="49"/>
  <c r="BD5" i="49"/>
  <c r="L6" i="51" s="1"/>
  <c r="CC5" i="49"/>
  <c r="BD4" i="49"/>
  <c r="L5" i="51" s="1"/>
  <c r="CC4" i="49"/>
  <c r="BD3" i="49"/>
  <c r="L4" i="51" s="1"/>
  <c r="CC3" i="49"/>
  <c r="BD2" i="49"/>
  <c r="L3" i="51" s="1"/>
  <c r="CC2" i="49"/>
  <c r="BD1" i="49"/>
  <c r="L2" i="51" s="1"/>
  <c r="CC1" i="49"/>
  <c r="BD108" i="49"/>
  <c r="L109" i="51" s="1"/>
  <c r="CC108" i="49"/>
  <c r="BD110" i="49"/>
  <c r="L111" i="51" s="1"/>
  <c r="CC110" i="49"/>
  <c r="BD112" i="49"/>
  <c r="L113" i="51" s="1"/>
  <c r="CC112" i="49"/>
  <c r="BD114" i="49"/>
  <c r="L115" i="51" s="1"/>
  <c r="CC114" i="49"/>
  <c r="BD116" i="49"/>
  <c r="L117" i="51" s="1"/>
  <c r="CC116" i="49"/>
  <c r="AM151" i="49"/>
  <c r="AR118" i="49"/>
  <c r="BQ118" i="49" s="1"/>
  <c r="BP60" i="49"/>
  <c r="U61" i="51" s="1"/>
  <c r="AT130" i="49"/>
  <c r="AU4" i="49" s="1"/>
  <c r="BU4" i="49" s="1"/>
  <c r="Y5" i="51" s="1"/>
  <c r="AI116" i="49"/>
  <c r="BE116" i="49" s="1"/>
  <c r="M117" i="51" s="1"/>
  <c r="AN151" i="49"/>
  <c r="AB60" i="51" l="1"/>
  <c r="AB76" i="51"/>
  <c r="AB84" i="51"/>
  <c r="AB98" i="51"/>
  <c r="AB114" i="51"/>
  <c r="AB42" i="51"/>
  <c r="AB50" i="51"/>
  <c r="AB106" i="51"/>
  <c r="AB92" i="51"/>
  <c r="AB68" i="51"/>
  <c r="AB58" i="51"/>
  <c r="AB74" i="51"/>
  <c r="AB113" i="51"/>
  <c r="AB64" i="51"/>
  <c r="AB80" i="51"/>
  <c r="AB88" i="51"/>
  <c r="AB46" i="51"/>
  <c r="AB54" i="51"/>
  <c r="AB62" i="51"/>
  <c r="AB96" i="51"/>
  <c r="AB102" i="51"/>
  <c r="AB117" i="51"/>
  <c r="AB109" i="51"/>
  <c r="AB3" i="51"/>
  <c r="AB5" i="51"/>
  <c r="AB7" i="51"/>
  <c r="AB9" i="51"/>
  <c r="AB11" i="51"/>
  <c r="AB13" i="51"/>
  <c r="AB15" i="51"/>
  <c r="AB17" i="51"/>
  <c r="AB19" i="51"/>
  <c r="AB21" i="51"/>
  <c r="AB23" i="51"/>
  <c r="AB25" i="51"/>
  <c r="AB27" i="51"/>
  <c r="AB29" i="51"/>
  <c r="AB31" i="51"/>
  <c r="AB33" i="51"/>
  <c r="AB35" i="51"/>
  <c r="AB37" i="51"/>
  <c r="AB39" i="51"/>
  <c r="AB43" i="51"/>
  <c r="AB47" i="51"/>
  <c r="AB51" i="51"/>
  <c r="AB55" i="51"/>
  <c r="AB71" i="51"/>
  <c r="AB93" i="51"/>
  <c r="AB103" i="51"/>
  <c r="AB107" i="51"/>
  <c r="AB110" i="51"/>
  <c r="AB65" i="51"/>
  <c r="AB69" i="51"/>
  <c r="AB77" i="51"/>
  <c r="AB81" i="51"/>
  <c r="AB85" i="51"/>
  <c r="AB89" i="51"/>
  <c r="AB99" i="51"/>
  <c r="AB10" i="51"/>
  <c r="AB18" i="51"/>
  <c r="AB24" i="51"/>
  <c r="AB30" i="51"/>
  <c r="AB48" i="51"/>
  <c r="AB78" i="51"/>
  <c r="AB86" i="51"/>
  <c r="AB105" i="51"/>
  <c r="AB112" i="51"/>
  <c r="AB40" i="51"/>
  <c r="AB79" i="51"/>
  <c r="AB87" i="51"/>
  <c r="AB97" i="51"/>
  <c r="AB111" i="51"/>
  <c r="AB2" i="51"/>
  <c r="AB8" i="51"/>
  <c r="AB16" i="51"/>
  <c r="AB22" i="51"/>
  <c r="AB32" i="51"/>
  <c r="AB38" i="51"/>
  <c r="AB70" i="51"/>
  <c r="AB73" i="51"/>
  <c r="AB95" i="51"/>
  <c r="AB45" i="51"/>
  <c r="AB49" i="51"/>
  <c r="AB56" i="51"/>
  <c r="AB63" i="51"/>
  <c r="AB72" i="51"/>
  <c r="AB94" i="51"/>
  <c r="BR118" i="49"/>
  <c r="W119" i="51" s="1"/>
  <c r="V119" i="51"/>
  <c r="AB104" i="51"/>
  <c r="AB115" i="51"/>
  <c r="BJ119" i="49"/>
  <c r="Q120" i="51" s="1"/>
  <c r="O120" i="51"/>
  <c r="AB120" i="51" s="1"/>
  <c r="BJ118" i="49"/>
  <c r="Q119" i="51" s="1"/>
  <c r="O119" i="51"/>
  <c r="AB119" i="51" s="1"/>
  <c r="BJ117" i="49"/>
  <c r="Q118" i="51" s="1"/>
  <c r="O118" i="51"/>
  <c r="AB118" i="51" s="1"/>
  <c r="AB4" i="51"/>
  <c r="AB6" i="51"/>
  <c r="AB12" i="51"/>
  <c r="AB14" i="51"/>
  <c r="AB20" i="51"/>
  <c r="AB26" i="51"/>
  <c r="AB28" i="51"/>
  <c r="AB34" i="51"/>
  <c r="AB36" i="51"/>
  <c r="AB41" i="51"/>
  <c r="AB44" i="51"/>
  <c r="AB53" i="51"/>
  <c r="AB57" i="51"/>
  <c r="AB61" i="51"/>
  <c r="AB66" i="51"/>
  <c r="AB82" i="51"/>
  <c r="AB91" i="51"/>
  <c r="AB100" i="51"/>
  <c r="AB116" i="51"/>
  <c r="AB52" i="51"/>
  <c r="AB59" i="51"/>
  <c r="AB67" i="51"/>
  <c r="AB75" i="51"/>
  <c r="AB83" i="51"/>
  <c r="AB90" i="51"/>
  <c r="AB101" i="51"/>
  <c r="AB108" i="51"/>
  <c r="I61" i="51"/>
  <c r="I92" i="51"/>
  <c r="I29" i="51"/>
  <c r="I45" i="51"/>
  <c r="I65" i="51"/>
  <c r="I89" i="51"/>
  <c r="I49" i="51"/>
  <c r="I73" i="51"/>
  <c r="I107" i="51"/>
  <c r="I99" i="51"/>
  <c r="I11" i="51"/>
  <c r="BV4" i="49"/>
  <c r="Z5" i="51" s="1"/>
  <c r="I81" i="51"/>
  <c r="I41" i="51"/>
  <c r="I25" i="51"/>
  <c r="I111" i="51"/>
  <c r="I103" i="51"/>
  <c r="I95" i="51"/>
  <c r="I63" i="51"/>
  <c r="I7" i="51"/>
  <c r="I85" i="51"/>
  <c r="I53" i="51"/>
  <c r="I37" i="51"/>
  <c r="I21" i="51"/>
  <c r="I31" i="51"/>
  <c r="I15" i="51"/>
  <c r="I116" i="51"/>
  <c r="I67" i="51"/>
  <c r="I59" i="51"/>
  <c r="I19" i="51"/>
  <c r="I117" i="51"/>
  <c r="I109" i="51"/>
  <c r="I77" i="51"/>
  <c r="I5" i="51"/>
  <c r="I4" i="51"/>
  <c r="I12" i="51"/>
  <c r="I22" i="51"/>
  <c r="I38" i="51"/>
  <c r="I46" i="51"/>
  <c r="I54" i="51"/>
  <c r="I70" i="51"/>
  <c r="I84" i="51"/>
  <c r="I42" i="51"/>
  <c r="I119" i="51"/>
  <c r="I110" i="51"/>
  <c r="I9" i="51"/>
  <c r="I13" i="51"/>
  <c r="I57" i="51"/>
  <c r="I75" i="51"/>
  <c r="I105" i="51"/>
  <c r="I17" i="51"/>
  <c r="I71" i="51"/>
  <c r="I97" i="51"/>
  <c r="I76" i="51"/>
  <c r="I60" i="51"/>
  <c r="I102" i="51"/>
  <c r="I94" i="51"/>
  <c r="I2" i="51"/>
  <c r="I18" i="51"/>
  <c r="I30" i="51"/>
  <c r="I100" i="51"/>
  <c r="I108" i="51"/>
  <c r="I113" i="51"/>
  <c r="I10" i="51"/>
  <c r="I36" i="51"/>
  <c r="I44" i="51"/>
  <c r="I62" i="51"/>
  <c r="I78" i="51"/>
  <c r="I88" i="51"/>
  <c r="I80" i="51"/>
  <c r="I72" i="51"/>
  <c r="I56" i="51"/>
  <c r="I32" i="51"/>
  <c r="I16" i="51"/>
  <c r="I8" i="51"/>
  <c r="I114" i="51"/>
  <c r="I106" i="51"/>
  <c r="I98" i="51"/>
  <c r="I50" i="51"/>
  <c r="I34" i="51"/>
  <c r="I26" i="51"/>
  <c r="I115" i="51"/>
  <c r="I83" i="51"/>
  <c r="I43" i="51"/>
  <c r="I27" i="51"/>
  <c r="I3" i="51"/>
  <c r="I91" i="51"/>
  <c r="I51" i="51"/>
  <c r="I35" i="51"/>
  <c r="I68" i="51"/>
  <c r="I52" i="51"/>
  <c r="I28" i="51"/>
  <c r="I20" i="51"/>
  <c r="I90" i="51"/>
  <c r="I74" i="51"/>
  <c r="I58" i="51"/>
  <c r="I6" i="51"/>
  <c r="I120" i="51"/>
  <c r="I112" i="51"/>
  <c r="I104" i="51"/>
  <c r="I96" i="51"/>
  <c r="I64" i="51"/>
  <c r="I48" i="51"/>
  <c r="I40" i="51"/>
  <c r="I24" i="51"/>
  <c r="I87" i="51"/>
  <c r="I79" i="51"/>
  <c r="I55" i="51"/>
  <c r="I47" i="51"/>
  <c r="I39" i="51"/>
  <c r="I23" i="51"/>
  <c r="I101" i="51"/>
  <c r="I93" i="51"/>
  <c r="I69" i="51"/>
  <c r="I82" i="51"/>
  <c r="I66" i="51"/>
  <c r="I14" i="51"/>
  <c r="I33" i="51"/>
  <c r="I86" i="51"/>
  <c r="I118" i="51"/>
  <c r="AR40" i="49"/>
  <c r="BQ40" i="49" s="1"/>
  <c r="AR15" i="49"/>
  <c r="BQ15" i="49" s="1"/>
  <c r="AR96" i="49"/>
  <c r="BQ96" i="49" s="1"/>
  <c r="AR104" i="49"/>
  <c r="BQ104" i="49" s="1"/>
  <c r="AR31" i="49"/>
  <c r="BQ31" i="49" s="1"/>
  <c r="AR63" i="49"/>
  <c r="BQ63" i="49" s="1"/>
  <c r="AR71" i="49"/>
  <c r="BQ71" i="49" s="1"/>
  <c r="AR103" i="49"/>
  <c r="BQ103" i="49" s="1"/>
  <c r="AR111" i="49"/>
  <c r="BQ111" i="49" s="1"/>
  <c r="AR24" i="49"/>
  <c r="BQ24" i="49" s="1"/>
  <c r="AR39" i="49"/>
  <c r="BQ39" i="49" s="1"/>
  <c r="AR79" i="49"/>
  <c r="BQ79" i="49" s="1"/>
  <c r="AR8" i="49"/>
  <c r="BQ8" i="49" s="1"/>
  <c r="AR48" i="49"/>
  <c r="BQ48" i="49" s="1"/>
  <c r="AR112" i="49"/>
  <c r="BQ112" i="49" s="1"/>
  <c r="AR7" i="49"/>
  <c r="BQ7" i="49" s="1"/>
  <c r="AR47" i="49"/>
  <c r="BQ47" i="49" s="1"/>
  <c r="AR95" i="49"/>
  <c r="BQ95" i="49" s="1"/>
  <c r="AR16" i="49"/>
  <c r="BQ16" i="49" s="1"/>
  <c r="AR56" i="49"/>
  <c r="BQ56" i="49" s="1"/>
  <c r="AR23" i="49"/>
  <c r="BQ23" i="49" s="1"/>
  <c r="AR55" i="49"/>
  <c r="BQ55" i="49" s="1"/>
  <c r="AR87" i="49"/>
  <c r="BQ87" i="49" s="1"/>
  <c r="AR119" i="49"/>
  <c r="BQ119" i="49" s="1"/>
  <c r="AR32" i="49"/>
  <c r="BQ32" i="49" s="1"/>
  <c r="AR64" i="49"/>
  <c r="BQ64" i="49" s="1"/>
  <c r="AR72" i="49"/>
  <c r="BQ72" i="49" s="1"/>
  <c r="BF116" i="49"/>
  <c r="N117" i="51" s="1"/>
  <c r="AR80" i="49"/>
  <c r="BQ80" i="49" s="1"/>
  <c r="AR88" i="49"/>
  <c r="BQ88" i="49" s="1"/>
  <c r="AX50" i="49"/>
  <c r="BA50" i="49" s="1"/>
  <c r="BB50" i="49" s="1"/>
  <c r="AX38" i="49"/>
  <c r="BA38" i="49" s="1"/>
  <c r="BB38" i="49" s="1"/>
  <c r="AX22" i="49"/>
  <c r="BA22" i="49" s="1"/>
  <c r="BB22" i="49" s="1"/>
  <c r="AX10" i="49"/>
  <c r="BA10" i="49" s="1"/>
  <c r="BB10" i="49" s="1"/>
  <c r="AX54" i="49"/>
  <c r="BA54" i="49" s="1"/>
  <c r="BB54" i="49" s="1"/>
  <c r="AX42" i="49"/>
  <c r="BA42" i="49" s="1"/>
  <c r="BB42" i="49" s="1"/>
  <c r="AX30" i="49"/>
  <c r="BA30" i="49" s="1"/>
  <c r="BB30" i="49" s="1"/>
  <c r="AX18" i="49"/>
  <c r="BA18" i="49" s="1"/>
  <c r="BB18" i="49" s="1"/>
  <c r="AX6" i="49"/>
  <c r="BA6" i="49" s="1"/>
  <c r="BB6" i="49" s="1"/>
  <c r="AX58" i="49"/>
  <c r="BA58" i="49" s="1"/>
  <c r="BB58" i="49" s="1"/>
  <c r="AX46" i="49"/>
  <c r="BA46" i="49" s="1"/>
  <c r="BB46" i="49" s="1"/>
  <c r="AX34" i="49"/>
  <c r="BA34" i="49" s="1"/>
  <c r="BB34" i="49" s="1"/>
  <c r="AX26" i="49"/>
  <c r="BA26" i="49" s="1"/>
  <c r="BB26" i="49" s="1"/>
  <c r="AX14" i="49"/>
  <c r="BA14" i="49" s="1"/>
  <c r="BB14" i="49" s="1"/>
  <c r="AX2" i="49"/>
  <c r="BA2" i="49" s="1"/>
  <c r="BB2" i="49" s="1"/>
  <c r="AX3" i="49"/>
  <c r="BA3" i="49" s="1"/>
  <c r="BB3" i="49" s="1"/>
  <c r="AX19" i="49"/>
  <c r="BA19" i="49" s="1"/>
  <c r="BB19" i="49" s="1"/>
  <c r="AX35" i="49"/>
  <c r="BA35" i="49" s="1"/>
  <c r="BB35" i="49" s="1"/>
  <c r="AX51" i="49"/>
  <c r="BA51" i="49" s="1"/>
  <c r="BB51" i="49" s="1"/>
  <c r="AX67" i="49"/>
  <c r="BA67" i="49" s="1"/>
  <c r="BB67" i="49" s="1"/>
  <c r="AX83" i="49"/>
  <c r="BA83" i="49" s="1"/>
  <c r="BB83" i="49" s="1"/>
  <c r="AX99" i="49"/>
  <c r="BA99" i="49" s="1"/>
  <c r="BB99" i="49" s="1"/>
  <c r="AX115" i="49"/>
  <c r="BA115" i="49" s="1"/>
  <c r="BB115" i="49" s="1"/>
  <c r="AX86" i="49"/>
  <c r="BA86" i="49" s="1"/>
  <c r="BB86" i="49" s="1"/>
  <c r="AX4" i="49"/>
  <c r="BA4" i="49" s="1"/>
  <c r="BB4" i="49" s="1"/>
  <c r="AX20" i="49"/>
  <c r="BA20" i="49" s="1"/>
  <c r="BB20" i="49" s="1"/>
  <c r="AX36" i="49"/>
  <c r="BA36" i="49" s="1"/>
  <c r="BB36" i="49" s="1"/>
  <c r="AX52" i="49"/>
  <c r="BA52" i="49" s="1"/>
  <c r="BB52" i="49" s="1"/>
  <c r="AX68" i="49"/>
  <c r="BA68" i="49" s="1"/>
  <c r="BB68" i="49" s="1"/>
  <c r="AX84" i="49"/>
  <c r="BA84" i="49" s="1"/>
  <c r="BB84" i="49" s="1"/>
  <c r="AX100" i="49"/>
  <c r="BA100" i="49" s="1"/>
  <c r="BB100" i="49" s="1"/>
  <c r="AX116" i="49"/>
  <c r="BA116" i="49" s="1"/>
  <c r="BB116" i="49" s="1"/>
  <c r="AX90" i="49"/>
  <c r="BA90" i="49" s="1"/>
  <c r="BB90" i="49" s="1"/>
  <c r="AX1" i="49"/>
  <c r="BA1" i="49" s="1"/>
  <c r="BB1" i="49" s="1"/>
  <c r="AX17" i="49"/>
  <c r="BA17" i="49" s="1"/>
  <c r="BB17" i="49" s="1"/>
  <c r="AX33" i="49"/>
  <c r="BA33" i="49" s="1"/>
  <c r="BB33" i="49" s="1"/>
  <c r="AX49" i="49"/>
  <c r="BA49" i="49" s="1"/>
  <c r="BB49" i="49" s="1"/>
  <c r="AX65" i="49"/>
  <c r="BA65" i="49" s="1"/>
  <c r="BB65" i="49" s="1"/>
  <c r="AX81" i="49"/>
  <c r="BA81" i="49" s="1"/>
  <c r="BB81" i="49" s="1"/>
  <c r="AX97" i="49"/>
  <c r="BA97" i="49" s="1"/>
  <c r="BB97" i="49" s="1"/>
  <c r="AX113" i="49"/>
  <c r="BA113" i="49" s="1"/>
  <c r="BB113" i="49" s="1"/>
  <c r="AX66" i="49"/>
  <c r="BA66" i="49" s="1"/>
  <c r="BB66" i="49" s="1"/>
  <c r="AX5" i="49"/>
  <c r="BA5" i="49" s="1"/>
  <c r="BB5" i="49" s="1"/>
  <c r="AX21" i="49"/>
  <c r="BA21" i="49" s="1"/>
  <c r="BB21" i="49" s="1"/>
  <c r="AX53" i="49"/>
  <c r="BA53" i="49" s="1"/>
  <c r="BB53" i="49" s="1"/>
  <c r="AX69" i="49"/>
  <c r="BA69" i="49" s="1"/>
  <c r="BB69" i="49" s="1"/>
  <c r="AX85" i="49"/>
  <c r="BA85" i="49" s="1"/>
  <c r="BB85" i="49" s="1"/>
  <c r="AX117" i="49"/>
  <c r="AX111" i="49"/>
  <c r="BA111" i="49" s="1"/>
  <c r="BB111" i="49" s="1"/>
  <c r="AX32" i="49"/>
  <c r="BA32" i="49" s="1"/>
  <c r="BB32" i="49" s="1"/>
  <c r="AX64" i="49"/>
  <c r="BA64" i="49" s="1"/>
  <c r="BB64" i="49" s="1"/>
  <c r="AX112" i="49"/>
  <c r="BA112" i="49" s="1"/>
  <c r="BB112" i="49" s="1"/>
  <c r="AX29" i="49"/>
  <c r="BA29" i="49" s="1"/>
  <c r="BB29" i="49" s="1"/>
  <c r="AX77" i="49"/>
  <c r="BA77" i="49" s="1"/>
  <c r="BB77" i="49" s="1"/>
  <c r="AX7" i="49"/>
  <c r="BA7" i="49" s="1"/>
  <c r="BB7" i="49" s="1"/>
  <c r="AX23" i="49"/>
  <c r="BA23" i="49" s="1"/>
  <c r="BB23" i="49" s="1"/>
  <c r="AX39" i="49"/>
  <c r="BA39" i="49" s="1"/>
  <c r="BB39" i="49" s="1"/>
  <c r="AX55" i="49"/>
  <c r="BA55" i="49" s="1"/>
  <c r="BB55" i="49" s="1"/>
  <c r="AX71" i="49"/>
  <c r="BA71" i="49" s="1"/>
  <c r="BB71" i="49" s="1"/>
  <c r="AX87" i="49"/>
  <c r="BA87" i="49" s="1"/>
  <c r="BB87" i="49" s="1"/>
  <c r="AX103" i="49"/>
  <c r="BA103" i="49" s="1"/>
  <c r="BB103" i="49" s="1"/>
  <c r="AX62" i="49"/>
  <c r="BA62" i="49" s="1"/>
  <c r="BB62" i="49" s="1"/>
  <c r="AX94" i="49"/>
  <c r="BA94" i="49" s="1"/>
  <c r="BB94" i="49" s="1"/>
  <c r="AX8" i="49"/>
  <c r="BA8" i="49" s="1"/>
  <c r="BB8" i="49" s="1"/>
  <c r="AX24" i="49"/>
  <c r="BA24" i="49" s="1"/>
  <c r="BB24" i="49" s="1"/>
  <c r="AX40" i="49"/>
  <c r="BA40" i="49" s="1"/>
  <c r="BB40" i="49" s="1"/>
  <c r="AX56" i="49"/>
  <c r="BA56" i="49" s="1"/>
  <c r="BB56" i="49" s="1"/>
  <c r="AX72" i="49"/>
  <c r="BA72" i="49" s="1"/>
  <c r="BB72" i="49" s="1"/>
  <c r="AX88" i="49"/>
  <c r="BA88" i="49" s="1"/>
  <c r="BB88" i="49" s="1"/>
  <c r="AX104" i="49"/>
  <c r="BA104" i="49" s="1"/>
  <c r="BB104" i="49" s="1"/>
  <c r="AX98" i="49"/>
  <c r="BA98" i="49" s="1"/>
  <c r="BB98" i="49" s="1"/>
  <c r="AX37" i="49"/>
  <c r="BA37" i="49" s="1"/>
  <c r="BB37" i="49" s="1"/>
  <c r="AX101" i="49"/>
  <c r="BA101" i="49" s="1"/>
  <c r="BB101" i="49" s="1"/>
  <c r="AX16" i="49"/>
  <c r="BA16" i="49" s="1"/>
  <c r="BB16" i="49" s="1"/>
  <c r="AX96" i="49"/>
  <c r="BA96" i="49" s="1"/>
  <c r="BB96" i="49" s="1"/>
  <c r="AX114" i="49"/>
  <c r="BA114" i="49" s="1"/>
  <c r="BB114" i="49" s="1"/>
  <c r="AX45" i="49"/>
  <c r="BA45" i="49" s="1"/>
  <c r="BB45" i="49" s="1"/>
  <c r="AX109" i="49"/>
  <c r="BA109" i="49" s="1"/>
  <c r="BB109" i="49" s="1"/>
  <c r="AX11" i="49"/>
  <c r="BA11" i="49" s="1"/>
  <c r="BB11" i="49" s="1"/>
  <c r="AX27" i="49"/>
  <c r="BA27" i="49" s="1"/>
  <c r="BB27" i="49" s="1"/>
  <c r="AX43" i="49"/>
  <c r="BA43" i="49" s="1"/>
  <c r="BB43" i="49" s="1"/>
  <c r="AX59" i="49"/>
  <c r="BA59" i="49" s="1"/>
  <c r="BB59" i="49" s="1"/>
  <c r="AX75" i="49"/>
  <c r="BA75" i="49" s="1"/>
  <c r="BB75" i="49" s="1"/>
  <c r="AX91" i="49"/>
  <c r="BA91" i="49" s="1"/>
  <c r="BB91" i="49" s="1"/>
  <c r="AX107" i="49"/>
  <c r="BA107" i="49" s="1"/>
  <c r="BB107" i="49" s="1"/>
  <c r="AX70" i="49"/>
  <c r="BA70" i="49" s="1"/>
  <c r="BB70" i="49" s="1"/>
  <c r="AX102" i="49"/>
  <c r="BA102" i="49" s="1"/>
  <c r="BB102" i="49" s="1"/>
  <c r="AX12" i="49"/>
  <c r="BA12" i="49" s="1"/>
  <c r="BB12" i="49" s="1"/>
  <c r="AX28" i="49"/>
  <c r="BA28" i="49" s="1"/>
  <c r="BB28" i="49" s="1"/>
  <c r="AX44" i="49"/>
  <c r="BA44" i="49" s="1"/>
  <c r="BB44" i="49" s="1"/>
  <c r="AX60" i="49"/>
  <c r="BA60" i="49" s="1"/>
  <c r="BB60" i="49" s="1"/>
  <c r="AX76" i="49"/>
  <c r="BA76" i="49" s="1"/>
  <c r="BB76" i="49" s="1"/>
  <c r="AX92" i="49"/>
  <c r="BA92" i="49" s="1"/>
  <c r="BB92" i="49" s="1"/>
  <c r="AX108" i="49"/>
  <c r="BA108" i="49" s="1"/>
  <c r="BB108" i="49" s="1"/>
  <c r="AX74" i="49"/>
  <c r="BA74" i="49" s="1"/>
  <c r="BB74" i="49" s="1"/>
  <c r="AX106" i="49"/>
  <c r="BA106" i="49" s="1"/>
  <c r="BB106" i="49" s="1"/>
  <c r="AX9" i="49"/>
  <c r="BA9" i="49" s="1"/>
  <c r="BB9" i="49" s="1"/>
  <c r="AX25" i="49"/>
  <c r="BA25" i="49" s="1"/>
  <c r="BB25" i="49" s="1"/>
  <c r="AX41" i="49"/>
  <c r="BA41" i="49" s="1"/>
  <c r="BB41" i="49" s="1"/>
  <c r="AX57" i="49"/>
  <c r="BA57" i="49" s="1"/>
  <c r="BB57" i="49" s="1"/>
  <c r="AX73" i="49"/>
  <c r="BA73" i="49" s="1"/>
  <c r="BB73" i="49" s="1"/>
  <c r="AX89" i="49"/>
  <c r="BA89" i="49" s="1"/>
  <c r="BB89" i="49" s="1"/>
  <c r="AX105" i="49"/>
  <c r="BA105" i="49" s="1"/>
  <c r="BB105" i="49" s="1"/>
  <c r="AX15" i="49"/>
  <c r="BA15" i="49" s="1"/>
  <c r="BB15" i="49" s="1"/>
  <c r="AX31" i="49"/>
  <c r="BA31" i="49" s="1"/>
  <c r="BB31" i="49" s="1"/>
  <c r="AX47" i="49"/>
  <c r="BA47" i="49" s="1"/>
  <c r="BB47" i="49" s="1"/>
  <c r="AX63" i="49"/>
  <c r="BA63" i="49" s="1"/>
  <c r="BB63" i="49" s="1"/>
  <c r="AX79" i="49"/>
  <c r="BA79" i="49" s="1"/>
  <c r="BB79" i="49" s="1"/>
  <c r="AX95" i="49"/>
  <c r="BA95" i="49" s="1"/>
  <c r="BB95" i="49" s="1"/>
  <c r="AX78" i="49"/>
  <c r="BA78" i="49" s="1"/>
  <c r="BB78" i="49" s="1"/>
  <c r="AX110" i="49"/>
  <c r="BA110" i="49" s="1"/>
  <c r="BB110" i="49" s="1"/>
  <c r="AX48" i="49"/>
  <c r="BA48" i="49" s="1"/>
  <c r="BB48" i="49" s="1"/>
  <c r="AX80" i="49"/>
  <c r="BA80" i="49" s="1"/>
  <c r="BB80" i="49" s="1"/>
  <c r="AX82" i="49"/>
  <c r="BA82" i="49" s="1"/>
  <c r="BB82" i="49" s="1"/>
  <c r="AX13" i="49"/>
  <c r="BA13" i="49" s="1"/>
  <c r="BB13" i="49" s="1"/>
  <c r="AX61" i="49"/>
  <c r="BA61" i="49" s="1"/>
  <c r="BB61" i="49" s="1"/>
  <c r="AX93" i="49"/>
  <c r="BA93" i="49" s="1"/>
  <c r="BB93" i="49" s="1"/>
  <c r="AI118" i="49"/>
  <c r="BE118" i="49" s="1"/>
  <c r="AL116" i="49"/>
  <c r="BI116" i="49" s="1"/>
  <c r="AL114" i="49"/>
  <c r="BI114" i="49" s="1"/>
  <c r="AL112" i="49"/>
  <c r="BI112" i="49" s="1"/>
  <c r="AL110" i="49"/>
  <c r="BI110" i="49" s="1"/>
  <c r="AL108" i="49"/>
  <c r="BI108" i="49" s="1"/>
  <c r="AL106" i="49"/>
  <c r="BI106" i="49" s="1"/>
  <c r="AL104" i="49"/>
  <c r="BI104" i="49" s="1"/>
  <c r="AL102" i="49"/>
  <c r="BI102" i="49" s="1"/>
  <c r="AL100" i="49"/>
  <c r="BI100" i="49" s="1"/>
  <c r="AL98" i="49"/>
  <c r="BI98" i="49" s="1"/>
  <c r="AL96" i="49"/>
  <c r="BI96" i="49" s="1"/>
  <c r="AL94" i="49"/>
  <c r="BI94" i="49" s="1"/>
  <c r="AL92" i="49"/>
  <c r="BI92" i="49" s="1"/>
  <c r="AL90" i="49"/>
  <c r="BI90" i="49" s="1"/>
  <c r="AL88" i="49"/>
  <c r="BI88" i="49" s="1"/>
  <c r="AL86" i="49"/>
  <c r="BI86" i="49" s="1"/>
  <c r="AL84" i="49"/>
  <c r="BI84" i="49" s="1"/>
  <c r="AL82" i="49"/>
  <c r="BI82" i="49" s="1"/>
  <c r="AL80" i="49"/>
  <c r="BI80" i="49" s="1"/>
  <c r="AL78" i="49"/>
  <c r="BI78" i="49" s="1"/>
  <c r="AL76" i="49"/>
  <c r="BI76" i="49" s="1"/>
  <c r="AL74" i="49"/>
  <c r="BI74" i="49" s="1"/>
  <c r="AL72" i="49"/>
  <c r="BI72" i="49" s="1"/>
  <c r="AL70" i="49"/>
  <c r="BI70" i="49" s="1"/>
  <c r="AL68" i="49"/>
  <c r="BI68" i="49" s="1"/>
  <c r="AL66" i="49"/>
  <c r="BI66" i="49" s="1"/>
  <c r="AL64" i="49"/>
  <c r="BI64" i="49" s="1"/>
  <c r="AL62" i="49"/>
  <c r="BI62" i="49" s="1"/>
  <c r="AL60" i="49"/>
  <c r="BI60" i="49" s="1"/>
  <c r="AL58" i="49"/>
  <c r="BI58" i="49" s="1"/>
  <c r="AL56" i="49"/>
  <c r="BI56" i="49" s="1"/>
  <c r="AL54" i="49"/>
  <c r="BI54" i="49" s="1"/>
  <c r="AL52" i="49"/>
  <c r="BI52" i="49" s="1"/>
  <c r="AL50" i="49"/>
  <c r="BI50" i="49" s="1"/>
  <c r="AL48" i="49"/>
  <c r="BI48" i="49" s="1"/>
  <c r="AL46" i="49"/>
  <c r="BI46" i="49" s="1"/>
  <c r="AL44" i="49"/>
  <c r="BI44" i="49" s="1"/>
  <c r="AL42" i="49"/>
  <c r="BI42" i="49" s="1"/>
  <c r="AL40" i="49"/>
  <c r="BI40" i="49" s="1"/>
  <c r="AL38" i="49"/>
  <c r="BI38" i="49" s="1"/>
  <c r="AL36" i="49"/>
  <c r="BI36" i="49" s="1"/>
  <c r="AL34" i="49"/>
  <c r="BI34" i="49" s="1"/>
  <c r="AL32" i="49"/>
  <c r="BI32" i="49" s="1"/>
  <c r="AL30" i="49"/>
  <c r="BI30" i="49" s="1"/>
  <c r="AL28" i="49"/>
  <c r="BI28" i="49" s="1"/>
  <c r="AL26" i="49"/>
  <c r="BI26" i="49" s="1"/>
  <c r="AL24" i="49"/>
  <c r="BI24" i="49" s="1"/>
  <c r="AL22" i="49"/>
  <c r="BI22" i="49" s="1"/>
  <c r="AL20" i="49"/>
  <c r="BI20" i="49" s="1"/>
  <c r="AL18" i="49"/>
  <c r="BI18" i="49" s="1"/>
  <c r="AL16" i="49"/>
  <c r="BI16" i="49" s="1"/>
  <c r="AL14" i="49"/>
  <c r="BI14" i="49" s="1"/>
  <c r="AL12" i="49"/>
  <c r="BI12" i="49" s="1"/>
  <c r="AL10" i="49"/>
  <c r="BI10" i="49" s="1"/>
  <c r="AL8" i="49"/>
  <c r="BI8" i="49" s="1"/>
  <c r="AL6" i="49"/>
  <c r="BI6" i="49" s="1"/>
  <c r="AL2" i="49"/>
  <c r="BI2" i="49" s="1"/>
  <c r="AL115" i="49"/>
  <c r="BI115" i="49" s="1"/>
  <c r="AL113" i="49"/>
  <c r="BI113" i="49" s="1"/>
  <c r="AL111" i="49"/>
  <c r="BI111" i="49" s="1"/>
  <c r="AL109" i="49"/>
  <c r="BI109" i="49" s="1"/>
  <c r="AL107" i="49"/>
  <c r="BI107" i="49" s="1"/>
  <c r="AL105" i="49"/>
  <c r="BI105" i="49" s="1"/>
  <c r="AL103" i="49"/>
  <c r="BI103" i="49" s="1"/>
  <c r="AL101" i="49"/>
  <c r="BI101" i="49" s="1"/>
  <c r="AL99" i="49"/>
  <c r="BI99" i="49" s="1"/>
  <c r="AL97" i="49"/>
  <c r="BI97" i="49" s="1"/>
  <c r="AL95" i="49"/>
  <c r="BI95" i="49" s="1"/>
  <c r="AL93" i="49"/>
  <c r="BI93" i="49" s="1"/>
  <c r="AL91" i="49"/>
  <c r="BI91" i="49" s="1"/>
  <c r="AL89" i="49"/>
  <c r="BI89" i="49" s="1"/>
  <c r="AL87" i="49"/>
  <c r="BI87" i="49" s="1"/>
  <c r="AL85" i="49"/>
  <c r="BI85" i="49" s="1"/>
  <c r="AL83" i="49"/>
  <c r="BI83" i="49" s="1"/>
  <c r="AL81" i="49"/>
  <c r="BI81" i="49" s="1"/>
  <c r="AL79" i="49"/>
  <c r="BI79" i="49" s="1"/>
  <c r="AL77" i="49"/>
  <c r="BI77" i="49" s="1"/>
  <c r="AL75" i="49"/>
  <c r="BI75" i="49" s="1"/>
  <c r="AL73" i="49"/>
  <c r="BI73" i="49" s="1"/>
  <c r="AL71" i="49"/>
  <c r="BI71" i="49" s="1"/>
  <c r="AL69" i="49"/>
  <c r="BI69" i="49" s="1"/>
  <c r="AL67" i="49"/>
  <c r="BI67" i="49" s="1"/>
  <c r="AL65" i="49"/>
  <c r="BI65" i="49" s="1"/>
  <c r="AL63" i="49"/>
  <c r="BI63" i="49" s="1"/>
  <c r="AL61" i="49"/>
  <c r="BI61" i="49" s="1"/>
  <c r="AL59" i="49"/>
  <c r="BI59" i="49" s="1"/>
  <c r="AL57" i="49"/>
  <c r="BI57" i="49" s="1"/>
  <c r="AL55" i="49"/>
  <c r="BI55" i="49" s="1"/>
  <c r="AL53" i="49"/>
  <c r="BI53" i="49" s="1"/>
  <c r="AL51" i="49"/>
  <c r="BI51" i="49" s="1"/>
  <c r="AL49" i="49"/>
  <c r="BI49" i="49" s="1"/>
  <c r="AL47" i="49"/>
  <c r="BI47" i="49" s="1"/>
  <c r="AL45" i="49"/>
  <c r="BI45" i="49" s="1"/>
  <c r="AL43" i="49"/>
  <c r="BI43" i="49" s="1"/>
  <c r="AL41" i="49"/>
  <c r="BI41" i="49" s="1"/>
  <c r="AL39" i="49"/>
  <c r="BI39" i="49" s="1"/>
  <c r="AL37" i="49"/>
  <c r="BI37" i="49" s="1"/>
  <c r="AL35" i="49"/>
  <c r="BI35" i="49" s="1"/>
  <c r="AL33" i="49"/>
  <c r="BI33" i="49" s="1"/>
  <c r="AL31" i="49"/>
  <c r="BI31" i="49" s="1"/>
  <c r="AL29" i="49"/>
  <c r="BI29" i="49" s="1"/>
  <c r="AL27" i="49"/>
  <c r="BI27" i="49" s="1"/>
  <c r="AL25" i="49"/>
  <c r="BI25" i="49" s="1"/>
  <c r="AL23" i="49"/>
  <c r="BI23" i="49" s="1"/>
  <c r="AL21" i="49"/>
  <c r="BI21" i="49" s="1"/>
  <c r="AL19" i="49"/>
  <c r="BI19" i="49" s="1"/>
  <c r="AL17" i="49"/>
  <c r="BI17" i="49" s="1"/>
  <c r="AL15" i="49"/>
  <c r="BI15" i="49" s="1"/>
  <c r="AL13" i="49"/>
  <c r="BI13" i="49" s="1"/>
  <c r="AL11" i="49"/>
  <c r="BI11" i="49" s="1"/>
  <c r="AL9" i="49"/>
  <c r="BI9" i="49" s="1"/>
  <c r="AL7" i="49"/>
  <c r="BI7" i="49" s="1"/>
  <c r="AL5" i="49"/>
  <c r="BI5" i="49" s="1"/>
  <c r="AL3" i="49"/>
  <c r="BI3" i="49" s="1"/>
  <c r="AL1" i="49"/>
  <c r="BI1" i="49" s="1"/>
  <c r="AL4" i="49"/>
  <c r="BI4" i="49" s="1"/>
  <c r="AM152" i="49"/>
  <c r="AR3" i="49"/>
  <c r="BQ3" i="49" s="1"/>
  <c r="AR11" i="49"/>
  <c r="BQ11" i="49" s="1"/>
  <c r="AR19" i="49"/>
  <c r="BQ19" i="49" s="1"/>
  <c r="AR27" i="49"/>
  <c r="BQ27" i="49" s="1"/>
  <c r="AR35" i="49"/>
  <c r="BQ35" i="49" s="1"/>
  <c r="AR43" i="49"/>
  <c r="BQ43" i="49" s="1"/>
  <c r="AR51" i="49"/>
  <c r="BQ51" i="49" s="1"/>
  <c r="AR59" i="49"/>
  <c r="BQ59" i="49" s="1"/>
  <c r="AR67" i="49"/>
  <c r="BQ67" i="49" s="1"/>
  <c r="AR75" i="49"/>
  <c r="BQ75" i="49" s="1"/>
  <c r="AR83" i="49"/>
  <c r="BQ83" i="49" s="1"/>
  <c r="AR91" i="49"/>
  <c r="BQ91" i="49" s="1"/>
  <c r="AR99" i="49"/>
  <c r="BQ99" i="49" s="1"/>
  <c r="AR107" i="49"/>
  <c r="BQ107" i="49" s="1"/>
  <c r="AR115" i="49"/>
  <c r="BQ115" i="49" s="1"/>
  <c r="AR4" i="49"/>
  <c r="BQ4" i="49" s="1"/>
  <c r="AR12" i="49"/>
  <c r="BQ12" i="49" s="1"/>
  <c r="AR20" i="49"/>
  <c r="BQ20" i="49" s="1"/>
  <c r="AR28" i="49"/>
  <c r="BQ28" i="49" s="1"/>
  <c r="AR36" i="49"/>
  <c r="BQ36" i="49" s="1"/>
  <c r="AR44" i="49"/>
  <c r="BQ44" i="49" s="1"/>
  <c r="AR52" i="49"/>
  <c r="BQ52" i="49" s="1"/>
  <c r="AR60" i="49"/>
  <c r="BQ60" i="49" s="1"/>
  <c r="AR68" i="49"/>
  <c r="BQ68" i="49" s="1"/>
  <c r="AR76" i="49"/>
  <c r="BQ76" i="49" s="1"/>
  <c r="AR84" i="49"/>
  <c r="BQ84" i="49" s="1"/>
  <c r="AR92" i="49"/>
  <c r="BQ92" i="49" s="1"/>
  <c r="AR100" i="49"/>
  <c r="BQ100" i="49" s="1"/>
  <c r="AR108" i="49"/>
  <c r="BQ108" i="49" s="1"/>
  <c r="AR116" i="49"/>
  <c r="BQ116" i="49" s="1"/>
  <c r="AR1" i="49"/>
  <c r="BQ1" i="49" s="1"/>
  <c r="AR5" i="49"/>
  <c r="BQ5" i="49" s="1"/>
  <c r="AR9" i="49"/>
  <c r="BQ9" i="49" s="1"/>
  <c r="AR13" i="49"/>
  <c r="BQ13" i="49" s="1"/>
  <c r="AR17" i="49"/>
  <c r="BQ17" i="49" s="1"/>
  <c r="AR21" i="49"/>
  <c r="BQ21" i="49" s="1"/>
  <c r="AR25" i="49"/>
  <c r="BQ25" i="49" s="1"/>
  <c r="AR29" i="49"/>
  <c r="BQ29" i="49" s="1"/>
  <c r="AR33" i="49"/>
  <c r="BQ33" i="49" s="1"/>
  <c r="AR37" i="49"/>
  <c r="BQ37" i="49" s="1"/>
  <c r="AR41" i="49"/>
  <c r="BQ41" i="49" s="1"/>
  <c r="AR45" i="49"/>
  <c r="BQ45" i="49" s="1"/>
  <c r="AR49" i="49"/>
  <c r="BQ49" i="49" s="1"/>
  <c r="AR53" i="49"/>
  <c r="BQ53" i="49" s="1"/>
  <c r="AR57" i="49"/>
  <c r="BQ57" i="49" s="1"/>
  <c r="AR61" i="49"/>
  <c r="BQ61" i="49" s="1"/>
  <c r="AR65" i="49"/>
  <c r="BQ65" i="49" s="1"/>
  <c r="AR69" i="49"/>
  <c r="BQ69" i="49" s="1"/>
  <c r="AR73" i="49"/>
  <c r="BQ73" i="49" s="1"/>
  <c r="AR77" i="49"/>
  <c r="BQ77" i="49" s="1"/>
  <c r="AR81" i="49"/>
  <c r="BQ81" i="49" s="1"/>
  <c r="AR85" i="49"/>
  <c r="BQ85" i="49" s="1"/>
  <c r="AR89" i="49"/>
  <c r="BQ89" i="49" s="1"/>
  <c r="AR93" i="49"/>
  <c r="BQ93" i="49" s="1"/>
  <c r="AR97" i="49"/>
  <c r="BQ97" i="49" s="1"/>
  <c r="AR101" i="49"/>
  <c r="BQ101" i="49" s="1"/>
  <c r="AR105" i="49"/>
  <c r="BQ105" i="49" s="1"/>
  <c r="AR109" i="49"/>
  <c r="BQ109" i="49" s="1"/>
  <c r="AR113" i="49"/>
  <c r="BQ113" i="49" s="1"/>
  <c r="AR117" i="49"/>
  <c r="BQ117" i="49" s="1"/>
  <c r="AR2" i="49"/>
  <c r="BQ2" i="49" s="1"/>
  <c r="AR6" i="49"/>
  <c r="BQ6" i="49" s="1"/>
  <c r="AR10" i="49"/>
  <c r="BQ10" i="49" s="1"/>
  <c r="AR14" i="49"/>
  <c r="BQ14" i="49" s="1"/>
  <c r="AR18" i="49"/>
  <c r="BQ18" i="49" s="1"/>
  <c r="AR22" i="49"/>
  <c r="BQ22" i="49" s="1"/>
  <c r="AR26" i="49"/>
  <c r="BQ26" i="49" s="1"/>
  <c r="AR30" i="49"/>
  <c r="BQ30" i="49" s="1"/>
  <c r="AR34" i="49"/>
  <c r="BQ34" i="49" s="1"/>
  <c r="AR38" i="49"/>
  <c r="BQ38" i="49" s="1"/>
  <c r="AR42" i="49"/>
  <c r="BQ42" i="49" s="1"/>
  <c r="AR46" i="49"/>
  <c r="BQ46" i="49" s="1"/>
  <c r="AR50" i="49"/>
  <c r="BQ50" i="49" s="1"/>
  <c r="AR54" i="49"/>
  <c r="BQ54" i="49" s="1"/>
  <c r="AR58" i="49"/>
  <c r="BQ58" i="49" s="1"/>
  <c r="AR62" i="49"/>
  <c r="BQ62" i="49" s="1"/>
  <c r="AR66" i="49"/>
  <c r="BQ66" i="49" s="1"/>
  <c r="AR70" i="49"/>
  <c r="BQ70" i="49" s="1"/>
  <c r="AR74" i="49"/>
  <c r="BQ74" i="49" s="1"/>
  <c r="AR78" i="49"/>
  <c r="BQ78" i="49" s="1"/>
  <c r="AR82" i="49"/>
  <c r="BQ82" i="49" s="1"/>
  <c r="AR86" i="49"/>
  <c r="BQ86" i="49" s="1"/>
  <c r="AR90" i="49"/>
  <c r="BQ90" i="49" s="1"/>
  <c r="AR94" i="49"/>
  <c r="BQ94" i="49" s="1"/>
  <c r="AR98" i="49"/>
  <c r="BQ98" i="49" s="1"/>
  <c r="AR102" i="49"/>
  <c r="BQ102" i="49" s="1"/>
  <c r="AR106" i="49"/>
  <c r="BQ106" i="49" s="1"/>
  <c r="AR110" i="49"/>
  <c r="BQ110" i="49" s="1"/>
  <c r="AR114" i="49"/>
  <c r="BQ114" i="49" s="1"/>
  <c r="AI109" i="49"/>
  <c r="BE109" i="49" s="1"/>
  <c r="AU117" i="49"/>
  <c r="BU117" i="49" s="1"/>
  <c r="Y118" i="51" s="1"/>
  <c r="AU113" i="49"/>
  <c r="BU113" i="49" s="1"/>
  <c r="AU109" i="49"/>
  <c r="BU109" i="49" s="1"/>
  <c r="AU105" i="49"/>
  <c r="BU105" i="49" s="1"/>
  <c r="AU101" i="49"/>
  <c r="BU101" i="49" s="1"/>
  <c r="AU97" i="49"/>
  <c r="BU97" i="49" s="1"/>
  <c r="AU93" i="49"/>
  <c r="BU93" i="49" s="1"/>
  <c r="AU89" i="49"/>
  <c r="BU89" i="49" s="1"/>
  <c r="AU85" i="49"/>
  <c r="BU85" i="49" s="1"/>
  <c r="AU81" i="49"/>
  <c r="BU81" i="49" s="1"/>
  <c r="AU77" i="49"/>
  <c r="BU77" i="49" s="1"/>
  <c r="AU73" i="49"/>
  <c r="BU73" i="49" s="1"/>
  <c r="AU69" i="49"/>
  <c r="BU69" i="49" s="1"/>
  <c r="AU65" i="49"/>
  <c r="BU65" i="49" s="1"/>
  <c r="AU61" i="49"/>
  <c r="BU61" i="49" s="1"/>
  <c r="AU57" i="49"/>
  <c r="BU57" i="49" s="1"/>
  <c r="AU53" i="49"/>
  <c r="BU53" i="49" s="1"/>
  <c r="AU49" i="49"/>
  <c r="BU49" i="49" s="1"/>
  <c r="AU45" i="49"/>
  <c r="BU45" i="49" s="1"/>
  <c r="AU41" i="49"/>
  <c r="BU41" i="49" s="1"/>
  <c r="AU37" i="49"/>
  <c r="BU37" i="49" s="1"/>
  <c r="AU33" i="49"/>
  <c r="BU33" i="49" s="1"/>
  <c r="AU29" i="49"/>
  <c r="BU29" i="49" s="1"/>
  <c r="AU25" i="49"/>
  <c r="BU25" i="49" s="1"/>
  <c r="AU21" i="49"/>
  <c r="BU21" i="49" s="1"/>
  <c r="AU17" i="49"/>
  <c r="BU17" i="49" s="1"/>
  <c r="AU13" i="49"/>
  <c r="BU13" i="49" s="1"/>
  <c r="AU9" i="49"/>
  <c r="BU9" i="49" s="1"/>
  <c r="AU5" i="49"/>
  <c r="BU5" i="49" s="1"/>
  <c r="AU1" i="49"/>
  <c r="BU1" i="49" s="1"/>
  <c r="AU118" i="49"/>
  <c r="BU118" i="49" s="1"/>
  <c r="Y119" i="51" s="1"/>
  <c r="AU114" i="49"/>
  <c r="BU114" i="49" s="1"/>
  <c r="AU110" i="49"/>
  <c r="BU110" i="49" s="1"/>
  <c r="AU106" i="49"/>
  <c r="BU106" i="49" s="1"/>
  <c r="AU102" i="49"/>
  <c r="BU102" i="49" s="1"/>
  <c r="AU98" i="49"/>
  <c r="BU98" i="49" s="1"/>
  <c r="AU94" i="49"/>
  <c r="BU94" i="49" s="1"/>
  <c r="AU90" i="49"/>
  <c r="BU90" i="49" s="1"/>
  <c r="AU86" i="49"/>
  <c r="BU86" i="49" s="1"/>
  <c r="AU82" i="49"/>
  <c r="BU82" i="49" s="1"/>
  <c r="AU78" i="49"/>
  <c r="BU78" i="49" s="1"/>
  <c r="AU74" i="49"/>
  <c r="BU74" i="49" s="1"/>
  <c r="AU70" i="49"/>
  <c r="BU70" i="49" s="1"/>
  <c r="AU66" i="49"/>
  <c r="BU66" i="49" s="1"/>
  <c r="AU62" i="49"/>
  <c r="BU62" i="49" s="1"/>
  <c r="AU58" i="49"/>
  <c r="BU58" i="49" s="1"/>
  <c r="AU54" i="49"/>
  <c r="BU54" i="49" s="1"/>
  <c r="AU50" i="49"/>
  <c r="BU50" i="49" s="1"/>
  <c r="AU46" i="49"/>
  <c r="BU46" i="49" s="1"/>
  <c r="AU42" i="49"/>
  <c r="BU42" i="49" s="1"/>
  <c r="AU38" i="49"/>
  <c r="BU38" i="49" s="1"/>
  <c r="AU34" i="49"/>
  <c r="BU34" i="49" s="1"/>
  <c r="AU30" i="49"/>
  <c r="BU30" i="49" s="1"/>
  <c r="AU26" i="49"/>
  <c r="BU26" i="49" s="1"/>
  <c r="AU22" i="49"/>
  <c r="BU22" i="49" s="1"/>
  <c r="AU18" i="49"/>
  <c r="BU18" i="49" s="1"/>
  <c r="AU14" i="49"/>
  <c r="BU14" i="49" s="1"/>
  <c r="AU10" i="49"/>
  <c r="BU10" i="49" s="1"/>
  <c r="AU6" i="49"/>
  <c r="BU6" i="49" s="1"/>
  <c r="AU2" i="49"/>
  <c r="BU2" i="49" s="1"/>
  <c r="AU119" i="49"/>
  <c r="BU119" i="49" s="1"/>
  <c r="Y120" i="51" s="1"/>
  <c r="AU115" i="49"/>
  <c r="BU115" i="49" s="1"/>
  <c r="AU111" i="49"/>
  <c r="BU111" i="49" s="1"/>
  <c r="AU107" i="49"/>
  <c r="BU107" i="49" s="1"/>
  <c r="AU103" i="49"/>
  <c r="BU103" i="49" s="1"/>
  <c r="AU99" i="49"/>
  <c r="BU99" i="49" s="1"/>
  <c r="AU95" i="49"/>
  <c r="BU95" i="49" s="1"/>
  <c r="AU91" i="49"/>
  <c r="BU91" i="49" s="1"/>
  <c r="AU87" i="49"/>
  <c r="BU87" i="49" s="1"/>
  <c r="AU83" i="49"/>
  <c r="BU83" i="49" s="1"/>
  <c r="AU79" i="49"/>
  <c r="BU79" i="49" s="1"/>
  <c r="AU75" i="49"/>
  <c r="BU75" i="49" s="1"/>
  <c r="AU71" i="49"/>
  <c r="BU71" i="49" s="1"/>
  <c r="AU67" i="49"/>
  <c r="BU67" i="49" s="1"/>
  <c r="AU63" i="49"/>
  <c r="BU63" i="49" s="1"/>
  <c r="AU59" i="49"/>
  <c r="BU59" i="49" s="1"/>
  <c r="AU55" i="49"/>
  <c r="BU55" i="49" s="1"/>
  <c r="AU51" i="49"/>
  <c r="BU51" i="49" s="1"/>
  <c r="AU47" i="49"/>
  <c r="BU47" i="49" s="1"/>
  <c r="AU43" i="49"/>
  <c r="BU43" i="49" s="1"/>
  <c r="AU39" i="49"/>
  <c r="BU39" i="49" s="1"/>
  <c r="AU35" i="49"/>
  <c r="BU35" i="49" s="1"/>
  <c r="AU31" i="49"/>
  <c r="BU31" i="49" s="1"/>
  <c r="AU27" i="49"/>
  <c r="BU27" i="49" s="1"/>
  <c r="AU23" i="49"/>
  <c r="BU23" i="49" s="1"/>
  <c r="AU19" i="49"/>
  <c r="BU19" i="49" s="1"/>
  <c r="AU15" i="49"/>
  <c r="BU15" i="49" s="1"/>
  <c r="AU11" i="49"/>
  <c r="BU11" i="49" s="1"/>
  <c r="AU7" i="49"/>
  <c r="BU7" i="49" s="1"/>
  <c r="AU3" i="49"/>
  <c r="BU3" i="49" s="1"/>
  <c r="AU116" i="49"/>
  <c r="BU116" i="49" s="1"/>
  <c r="AU112" i="49"/>
  <c r="BU112" i="49" s="1"/>
  <c r="AU108" i="49"/>
  <c r="BU108" i="49" s="1"/>
  <c r="AU104" i="49"/>
  <c r="BU104" i="49" s="1"/>
  <c r="AU100" i="49"/>
  <c r="BU100" i="49" s="1"/>
  <c r="AU96" i="49"/>
  <c r="BU96" i="49" s="1"/>
  <c r="AU92" i="49"/>
  <c r="BU92" i="49" s="1"/>
  <c r="AU88" i="49"/>
  <c r="BU88" i="49" s="1"/>
  <c r="AU84" i="49"/>
  <c r="BU84" i="49" s="1"/>
  <c r="AU80" i="49"/>
  <c r="BU80" i="49" s="1"/>
  <c r="AU76" i="49"/>
  <c r="BU76" i="49" s="1"/>
  <c r="AU72" i="49"/>
  <c r="BU72" i="49" s="1"/>
  <c r="AU68" i="49"/>
  <c r="BU68" i="49" s="1"/>
  <c r="AU64" i="49"/>
  <c r="BU64" i="49" s="1"/>
  <c r="AU60" i="49"/>
  <c r="BU60" i="49" s="1"/>
  <c r="AU56" i="49"/>
  <c r="BU56" i="49" s="1"/>
  <c r="AU52" i="49"/>
  <c r="BU52" i="49" s="1"/>
  <c r="AU48" i="49"/>
  <c r="BU48" i="49" s="1"/>
  <c r="AU44" i="49"/>
  <c r="BU44" i="49" s="1"/>
  <c r="AU40" i="49"/>
  <c r="BU40" i="49" s="1"/>
  <c r="AU36" i="49"/>
  <c r="BU36" i="49" s="1"/>
  <c r="AU32" i="49"/>
  <c r="BU32" i="49" s="1"/>
  <c r="AU28" i="49"/>
  <c r="BU28" i="49" s="1"/>
  <c r="AU24" i="49"/>
  <c r="BU24" i="49" s="1"/>
  <c r="AU20" i="49"/>
  <c r="BU20" i="49" s="1"/>
  <c r="AU16" i="49"/>
  <c r="BU16" i="49" s="1"/>
  <c r="AU12" i="49"/>
  <c r="BU12" i="49" s="1"/>
  <c r="AU8" i="49"/>
  <c r="BU8" i="49" s="1"/>
  <c r="AI45" i="49"/>
  <c r="BE45" i="49" s="1"/>
  <c r="AI54" i="49"/>
  <c r="BE54" i="49" s="1"/>
  <c r="AI13" i="49"/>
  <c r="BE13" i="49" s="1"/>
  <c r="AI77" i="49"/>
  <c r="BE77" i="49" s="1"/>
  <c r="AI22" i="49"/>
  <c r="BE22" i="49" s="1"/>
  <c r="AI86" i="49"/>
  <c r="BE86" i="49" s="1"/>
  <c r="AI29" i="49"/>
  <c r="BE29" i="49" s="1"/>
  <c r="AI61" i="49"/>
  <c r="BE61" i="49" s="1"/>
  <c r="AI93" i="49"/>
  <c r="BE93" i="49" s="1"/>
  <c r="AI6" i="49"/>
  <c r="BE6" i="49" s="1"/>
  <c r="AI38" i="49"/>
  <c r="BE38" i="49" s="1"/>
  <c r="AI70" i="49"/>
  <c r="BE70" i="49" s="1"/>
  <c r="AI102" i="49"/>
  <c r="BE102" i="49" s="1"/>
  <c r="AI5" i="49"/>
  <c r="BE5" i="49" s="1"/>
  <c r="AI21" i="49"/>
  <c r="BE21" i="49" s="1"/>
  <c r="AI37" i="49"/>
  <c r="BE37" i="49" s="1"/>
  <c r="AI53" i="49"/>
  <c r="BE53" i="49" s="1"/>
  <c r="AI69" i="49"/>
  <c r="BE69" i="49" s="1"/>
  <c r="AI85" i="49"/>
  <c r="BE85" i="49" s="1"/>
  <c r="AI101" i="49"/>
  <c r="BE101" i="49" s="1"/>
  <c r="AI117" i="49"/>
  <c r="BE117" i="49" s="1"/>
  <c r="AI14" i="49"/>
  <c r="BE14" i="49" s="1"/>
  <c r="AI30" i="49"/>
  <c r="BE30" i="49" s="1"/>
  <c r="AI46" i="49"/>
  <c r="BE46" i="49" s="1"/>
  <c r="AI62" i="49"/>
  <c r="BE62" i="49" s="1"/>
  <c r="AI78" i="49"/>
  <c r="BE78" i="49" s="1"/>
  <c r="AI94" i="49"/>
  <c r="BE94" i="49" s="1"/>
  <c r="AI110" i="49"/>
  <c r="BE110" i="49" s="1"/>
  <c r="AI1" i="49"/>
  <c r="BE1" i="49" s="1"/>
  <c r="AI9" i="49"/>
  <c r="BE9" i="49" s="1"/>
  <c r="AI17" i="49"/>
  <c r="BE17" i="49" s="1"/>
  <c r="AI25" i="49"/>
  <c r="BE25" i="49" s="1"/>
  <c r="AI33" i="49"/>
  <c r="BE33" i="49" s="1"/>
  <c r="AI41" i="49"/>
  <c r="BE41" i="49" s="1"/>
  <c r="AI49" i="49"/>
  <c r="BE49" i="49" s="1"/>
  <c r="AI57" i="49"/>
  <c r="BE57" i="49" s="1"/>
  <c r="AI65" i="49"/>
  <c r="BE65" i="49" s="1"/>
  <c r="AI73" i="49"/>
  <c r="BE73" i="49" s="1"/>
  <c r="AI81" i="49"/>
  <c r="BE81" i="49" s="1"/>
  <c r="AI89" i="49"/>
  <c r="BE89" i="49" s="1"/>
  <c r="AI97" i="49"/>
  <c r="BE97" i="49" s="1"/>
  <c r="AI105" i="49"/>
  <c r="BE105" i="49" s="1"/>
  <c r="AI113" i="49"/>
  <c r="BE113" i="49" s="1"/>
  <c r="AI2" i="49"/>
  <c r="BE2" i="49" s="1"/>
  <c r="AI10" i="49"/>
  <c r="BE10" i="49" s="1"/>
  <c r="AI18" i="49"/>
  <c r="BE18" i="49" s="1"/>
  <c r="AI26" i="49"/>
  <c r="BE26" i="49" s="1"/>
  <c r="AI34" i="49"/>
  <c r="BE34" i="49" s="1"/>
  <c r="AI42" i="49"/>
  <c r="BE42" i="49" s="1"/>
  <c r="AI50" i="49"/>
  <c r="BE50" i="49" s="1"/>
  <c r="AI58" i="49"/>
  <c r="BE58" i="49" s="1"/>
  <c r="AI66" i="49"/>
  <c r="BE66" i="49" s="1"/>
  <c r="AI74" i="49"/>
  <c r="BE74" i="49" s="1"/>
  <c r="AI82" i="49"/>
  <c r="BE82" i="49" s="1"/>
  <c r="AI90" i="49"/>
  <c r="BE90" i="49" s="1"/>
  <c r="AI98" i="49"/>
  <c r="BE98" i="49" s="1"/>
  <c r="AI106" i="49"/>
  <c r="BE106" i="49" s="1"/>
  <c r="AI114" i="49"/>
  <c r="BE114" i="49" s="1"/>
  <c r="AI3" i="49"/>
  <c r="BE3" i="49" s="1"/>
  <c r="AI7" i="49"/>
  <c r="BE7" i="49" s="1"/>
  <c r="AI11" i="49"/>
  <c r="BE11" i="49" s="1"/>
  <c r="AI15" i="49"/>
  <c r="BE15" i="49" s="1"/>
  <c r="AI19" i="49"/>
  <c r="BE19" i="49" s="1"/>
  <c r="AI23" i="49"/>
  <c r="BE23" i="49" s="1"/>
  <c r="AI27" i="49"/>
  <c r="BE27" i="49" s="1"/>
  <c r="AI31" i="49"/>
  <c r="BE31" i="49" s="1"/>
  <c r="AI35" i="49"/>
  <c r="BE35" i="49" s="1"/>
  <c r="AI39" i="49"/>
  <c r="BE39" i="49" s="1"/>
  <c r="AI43" i="49"/>
  <c r="BE43" i="49" s="1"/>
  <c r="AI47" i="49"/>
  <c r="BE47" i="49" s="1"/>
  <c r="AI51" i="49"/>
  <c r="BE51" i="49" s="1"/>
  <c r="AI55" i="49"/>
  <c r="BE55" i="49" s="1"/>
  <c r="AI59" i="49"/>
  <c r="BE59" i="49" s="1"/>
  <c r="AI63" i="49"/>
  <c r="BE63" i="49" s="1"/>
  <c r="AI67" i="49"/>
  <c r="BE67" i="49" s="1"/>
  <c r="AI71" i="49"/>
  <c r="BE71" i="49" s="1"/>
  <c r="AI75" i="49"/>
  <c r="BE75" i="49" s="1"/>
  <c r="AI79" i="49"/>
  <c r="BE79" i="49" s="1"/>
  <c r="AI83" i="49"/>
  <c r="BE83" i="49" s="1"/>
  <c r="AI87" i="49"/>
  <c r="BE87" i="49" s="1"/>
  <c r="AI91" i="49"/>
  <c r="BE91" i="49" s="1"/>
  <c r="AI95" i="49"/>
  <c r="BE95" i="49" s="1"/>
  <c r="AI99" i="49"/>
  <c r="BE99" i="49" s="1"/>
  <c r="AI103" i="49"/>
  <c r="BE103" i="49" s="1"/>
  <c r="AI107" i="49"/>
  <c r="BE107" i="49" s="1"/>
  <c r="AI111" i="49"/>
  <c r="BE111" i="49" s="1"/>
  <c r="AI115" i="49"/>
  <c r="BE115" i="49" s="1"/>
  <c r="AI119" i="49"/>
  <c r="BE119" i="49" s="1"/>
  <c r="AI4" i="49"/>
  <c r="BE4" i="49" s="1"/>
  <c r="AI8" i="49"/>
  <c r="BE8" i="49" s="1"/>
  <c r="AI12" i="49"/>
  <c r="BE12" i="49" s="1"/>
  <c r="AI16" i="49"/>
  <c r="BE16" i="49" s="1"/>
  <c r="AI20" i="49"/>
  <c r="BE20" i="49" s="1"/>
  <c r="AI24" i="49"/>
  <c r="BE24" i="49" s="1"/>
  <c r="AI28" i="49"/>
  <c r="BE28" i="49" s="1"/>
  <c r="AI32" i="49"/>
  <c r="BE32" i="49" s="1"/>
  <c r="AI36" i="49"/>
  <c r="BE36" i="49" s="1"/>
  <c r="AI40" i="49"/>
  <c r="BE40" i="49" s="1"/>
  <c r="AI44" i="49"/>
  <c r="BE44" i="49" s="1"/>
  <c r="AI48" i="49"/>
  <c r="BE48" i="49" s="1"/>
  <c r="AI52" i="49"/>
  <c r="BE52" i="49" s="1"/>
  <c r="AI56" i="49"/>
  <c r="BE56" i="49" s="1"/>
  <c r="AI60" i="49"/>
  <c r="BE60" i="49" s="1"/>
  <c r="AI64" i="49"/>
  <c r="BE64" i="49" s="1"/>
  <c r="AI68" i="49"/>
  <c r="BE68" i="49" s="1"/>
  <c r="AI72" i="49"/>
  <c r="BE72" i="49" s="1"/>
  <c r="AI76" i="49"/>
  <c r="BE76" i="49" s="1"/>
  <c r="AI80" i="49"/>
  <c r="BE80" i="49" s="1"/>
  <c r="AI84" i="49"/>
  <c r="BE84" i="49" s="1"/>
  <c r="AI88" i="49"/>
  <c r="BE88" i="49" s="1"/>
  <c r="AI92" i="49"/>
  <c r="BE92" i="49" s="1"/>
  <c r="AI96" i="49"/>
  <c r="BE96" i="49" s="1"/>
  <c r="AI100" i="49"/>
  <c r="BE100" i="49" s="1"/>
  <c r="AI104" i="49"/>
  <c r="BE104" i="49" s="1"/>
  <c r="AI108" i="49"/>
  <c r="BE108" i="49" s="1"/>
  <c r="AI112" i="49"/>
  <c r="BE112" i="49" s="1"/>
  <c r="AN152" i="49"/>
  <c r="BV16" i="49" l="1"/>
  <c r="Z17" i="51" s="1"/>
  <c r="Y17" i="51"/>
  <c r="BV32" i="49"/>
  <c r="Z33" i="51" s="1"/>
  <c r="Y33" i="51"/>
  <c r="BV48" i="49"/>
  <c r="Z49" i="51" s="1"/>
  <c r="Y49" i="51"/>
  <c r="BV64" i="49"/>
  <c r="Z65" i="51" s="1"/>
  <c r="Y65" i="51"/>
  <c r="BV80" i="49"/>
  <c r="Z81" i="51" s="1"/>
  <c r="Y81" i="51"/>
  <c r="BV96" i="49"/>
  <c r="Z97" i="51" s="1"/>
  <c r="Y97" i="51"/>
  <c r="BV112" i="49"/>
  <c r="Z113" i="51" s="1"/>
  <c r="Y113" i="51"/>
  <c r="BV11" i="49"/>
  <c r="Z12" i="51" s="1"/>
  <c r="Y12" i="51"/>
  <c r="BV27" i="49"/>
  <c r="Z28" i="51" s="1"/>
  <c r="Y28" i="51"/>
  <c r="BV43" i="49"/>
  <c r="Z44" i="51" s="1"/>
  <c r="Y44" i="51"/>
  <c r="BV59" i="49"/>
  <c r="Z60" i="51" s="1"/>
  <c r="Y60" i="51"/>
  <c r="BV75" i="49"/>
  <c r="Z76" i="51" s="1"/>
  <c r="Y76" i="51"/>
  <c r="BV91" i="49"/>
  <c r="Z92" i="51" s="1"/>
  <c r="Y92" i="51"/>
  <c r="BV107" i="49"/>
  <c r="Z108" i="51" s="1"/>
  <c r="Y108" i="51"/>
  <c r="BV2" i="49"/>
  <c r="Z3" i="51" s="1"/>
  <c r="Y3" i="51"/>
  <c r="BV18" i="49"/>
  <c r="Z19" i="51" s="1"/>
  <c r="Y19" i="51"/>
  <c r="BV34" i="49"/>
  <c r="Z35" i="51" s="1"/>
  <c r="Y35" i="51"/>
  <c r="BV50" i="49"/>
  <c r="Z51" i="51" s="1"/>
  <c r="Y51" i="51"/>
  <c r="BV66" i="49"/>
  <c r="Z67" i="51" s="1"/>
  <c r="Y67" i="51"/>
  <c r="BV82" i="49"/>
  <c r="Z83" i="51" s="1"/>
  <c r="Y83" i="51"/>
  <c r="BV98" i="49"/>
  <c r="Z99" i="51" s="1"/>
  <c r="Y99" i="51"/>
  <c r="BV114" i="49"/>
  <c r="Z115" i="51" s="1"/>
  <c r="Y115" i="51"/>
  <c r="BV9" i="49"/>
  <c r="Z10" i="51" s="1"/>
  <c r="Y10" i="51"/>
  <c r="BV25" i="49"/>
  <c r="Z26" i="51" s="1"/>
  <c r="Y26" i="51"/>
  <c r="BV41" i="49"/>
  <c r="Z42" i="51" s="1"/>
  <c r="Y42" i="51"/>
  <c r="BV57" i="49"/>
  <c r="Z58" i="51" s="1"/>
  <c r="Y58" i="51"/>
  <c r="BV73" i="49"/>
  <c r="Z74" i="51" s="1"/>
  <c r="Y74" i="51"/>
  <c r="BV89" i="49"/>
  <c r="Z90" i="51" s="1"/>
  <c r="Y90" i="51"/>
  <c r="BV105" i="49"/>
  <c r="Z106" i="51" s="1"/>
  <c r="Y106" i="51"/>
  <c r="BV20" i="49"/>
  <c r="Z21" i="51" s="1"/>
  <c r="Y21" i="51"/>
  <c r="BV36" i="49"/>
  <c r="Z37" i="51" s="1"/>
  <c r="Y37" i="51"/>
  <c r="BV52" i="49"/>
  <c r="Z53" i="51" s="1"/>
  <c r="Y53" i="51"/>
  <c r="BV68" i="49"/>
  <c r="Z69" i="51" s="1"/>
  <c r="Y69" i="51"/>
  <c r="BV84" i="49"/>
  <c r="Z85" i="51" s="1"/>
  <c r="Y85" i="51"/>
  <c r="BV100" i="49"/>
  <c r="Z101" i="51" s="1"/>
  <c r="Y101" i="51"/>
  <c r="BV116" i="49"/>
  <c r="Z117" i="51" s="1"/>
  <c r="Y117" i="51"/>
  <c r="BV15" i="49"/>
  <c r="Z16" i="51" s="1"/>
  <c r="Y16" i="51"/>
  <c r="BV31" i="49"/>
  <c r="Z32" i="51" s="1"/>
  <c r="Y32" i="51"/>
  <c r="BV47" i="49"/>
  <c r="Z48" i="51" s="1"/>
  <c r="Y48" i="51"/>
  <c r="BV63" i="49"/>
  <c r="Z64" i="51" s="1"/>
  <c r="Y64" i="51"/>
  <c r="BV79" i="49"/>
  <c r="Z80" i="51" s="1"/>
  <c r="Y80" i="51"/>
  <c r="BV95" i="49"/>
  <c r="Z96" i="51" s="1"/>
  <c r="Y96" i="51"/>
  <c r="BV111" i="49"/>
  <c r="Z112" i="51" s="1"/>
  <c r="Y112" i="51"/>
  <c r="BV6" i="49"/>
  <c r="Z7" i="51" s="1"/>
  <c r="Y7" i="51"/>
  <c r="BV22" i="49"/>
  <c r="Z23" i="51" s="1"/>
  <c r="Y23" i="51"/>
  <c r="BV38" i="49"/>
  <c r="Z39" i="51" s="1"/>
  <c r="Y39" i="51"/>
  <c r="BV54" i="49"/>
  <c r="Z55" i="51" s="1"/>
  <c r="Y55" i="51"/>
  <c r="BV70" i="49"/>
  <c r="Z71" i="51" s="1"/>
  <c r="Y71" i="51"/>
  <c r="BV86" i="49"/>
  <c r="Z87" i="51" s="1"/>
  <c r="Y87" i="51"/>
  <c r="BV102" i="49"/>
  <c r="Z103" i="51" s="1"/>
  <c r="Y103" i="51"/>
  <c r="BV13" i="49"/>
  <c r="Z14" i="51" s="1"/>
  <c r="Y14" i="51"/>
  <c r="BV29" i="49"/>
  <c r="Z30" i="51" s="1"/>
  <c r="Y30" i="51"/>
  <c r="BV45" i="49"/>
  <c r="Z46" i="51" s="1"/>
  <c r="Y46" i="51"/>
  <c r="BV61" i="49"/>
  <c r="Z62" i="51" s="1"/>
  <c r="Y62" i="51"/>
  <c r="BV77" i="49"/>
  <c r="Z78" i="51" s="1"/>
  <c r="Y78" i="51"/>
  <c r="BV93" i="49"/>
  <c r="Z94" i="51" s="1"/>
  <c r="Y94" i="51"/>
  <c r="BV109" i="49"/>
  <c r="Z110" i="51" s="1"/>
  <c r="Y110" i="51"/>
  <c r="BV8" i="49"/>
  <c r="Z9" i="51" s="1"/>
  <c r="Y9" i="51"/>
  <c r="BV24" i="49"/>
  <c r="Z25" i="51" s="1"/>
  <c r="Y25" i="51"/>
  <c r="BV40" i="49"/>
  <c r="Z41" i="51" s="1"/>
  <c r="Y41" i="51"/>
  <c r="BV56" i="49"/>
  <c r="Z57" i="51" s="1"/>
  <c r="Y57" i="51"/>
  <c r="BV72" i="49"/>
  <c r="Z73" i="51" s="1"/>
  <c r="Y73" i="51"/>
  <c r="BV88" i="49"/>
  <c r="Z89" i="51" s="1"/>
  <c r="Y89" i="51"/>
  <c r="BV104" i="49"/>
  <c r="Z105" i="51" s="1"/>
  <c r="Y105" i="51"/>
  <c r="BV3" i="49"/>
  <c r="Z4" i="51" s="1"/>
  <c r="Y4" i="51"/>
  <c r="BV19" i="49"/>
  <c r="Z20" i="51" s="1"/>
  <c r="Y20" i="51"/>
  <c r="BV35" i="49"/>
  <c r="Z36" i="51" s="1"/>
  <c r="Y36" i="51"/>
  <c r="BV51" i="49"/>
  <c r="Z52" i="51" s="1"/>
  <c r="Y52" i="51"/>
  <c r="BV67" i="49"/>
  <c r="Z68" i="51" s="1"/>
  <c r="Y68" i="51"/>
  <c r="BV83" i="49"/>
  <c r="Z84" i="51" s="1"/>
  <c r="Y84" i="51"/>
  <c r="BV99" i="49"/>
  <c r="Z100" i="51" s="1"/>
  <c r="Y100" i="51"/>
  <c r="BV115" i="49"/>
  <c r="Z116" i="51" s="1"/>
  <c r="Y116" i="51"/>
  <c r="BV10" i="49"/>
  <c r="Z11" i="51" s="1"/>
  <c r="Y11" i="51"/>
  <c r="BV26" i="49"/>
  <c r="Z27" i="51" s="1"/>
  <c r="Y27" i="51"/>
  <c r="BV42" i="49"/>
  <c r="Z43" i="51" s="1"/>
  <c r="Y43" i="51"/>
  <c r="BV58" i="49"/>
  <c r="Z59" i="51" s="1"/>
  <c r="Y59" i="51"/>
  <c r="BV74" i="49"/>
  <c r="Z75" i="51" s="1"/>
  <c r="Y75" i="51"/>
  <c r="BV90" i="49"/>
  <c r="Z91" i="51" s="1"/>
  <c r="Y91" i="51"/>
  <c r="BV106" i="49"/>
  <c r="Z107" i="51" s="1"/>
  <c r="Y107" i="51"/>
  <c r="BV1" i="49"/>
  <c r="Z2" i="51" s="1"/>
  <c r="Y2" i="51"/>
  <c r="BV17" i="49"/>
  <c r="Z18" i="51" s="1"/>
  <c r="Y18" i="51"/>
  <c r="BV33" i="49"/>
  <c r="Z34" i="51" s="1"/>
  <c r="Y34" i="51"/>
  <c r="BV49" i="49"/>
  <c r="Z50" i="51" s="1"/>
  <c r="Y50" i="51"/>
  <c r="BV65" i="49"/>
  <c r="Z66" i="51" s="1"/>
  <c r="Y66" i="51"/>
  <c r="BV81" i="49"/>
  <c r="Z82" i="51" s="1"/>
  <c r="Y82" i="51"/>
  <c r="BV97" i="49"/>
  <c r="Z98" i="51" s="1"/>
  <c r="Y98" i="51"/>
  <c r="BV113" i="49"/>
  <c r="Z114" i="51" s="1"/>
  <c r="Y114" i="51"/>
  <c r="BV12" i="49"/>
  <c r="Z13" i="51" s="1"/>
  <c r="Y13" i="51"/>
  <c r="BV28" i="49"/>
  <c r="Z29" i="51" s="1"/>
  <c r="Y29" i="51"/>
  <c r="BV44" i="49"/>
  <c r="Z45" i="51" s="1"/>
  <c r="Y45" i="51"/>
  <c r="BV60" i="49"/>
  <c r="Z61" i="51" s="1"/>
  <c r="Y61" i="51"/>
  <c r="BV76" i="49"/>
  <c r="Z77" i="51" s="1"/>
  <c r="Y77" i="51"/>
  <c r="BV92" i="49"/>
  <c r="Z93" i="51" s="1"/>
  <c r="Y93" i="51"/>
  <c r="BV108" i="49"/>
  <c r="Z109" i="51" s="1"/>
  <c r="Y109" i="51"/>
  <c r="BV7" i="49"/>
  <c r="Z8" i="51" s="1"/>
  <c r="Y8" i="51"/>
  <c r="BV23" i="49"/>
  <c r="Z24" i="51" s="1"/>
  <c r="Y24" i="51"/>
  <c r="BV39" i="49"/>
  <c r="Z40" i="51" s="1"/>
  <c r="Y40" i="51"/>
  <c r="BV55" i="49"/>
  <c r="Z56" i="51" s="1"/>
  <c r="Y56" i="51"/>
  <c r="BV71" i="49"/>
  <c r="Z72" i="51" s="1"/>
  <c r="Y72" i="51"/>
  <c r="BV87" i="49"/>
  <c r="Z88" i="51" s="1"/>
  <c r="Y88" i="51"/>
  <c r="BV103" i="49"/>
  <c r="Z104" i="51" s="1"/>
  <c r="Y104" i="51"/>
  <c r="BV14" i="49"/>
  <c r="Z15" i="51" s="1"/>
  <c r="Y15" i="51"/>
  <c r="BV30" i="49"/>
  <c r="Z31" i="51" s="1"/>
  <c r="Y31" i="51"/>
  <c r="BV46" i="49"/>
  <c r="Z47" i="51" s="1"/>
  <c r="Y47" i="51"/>
  <c r="BV62" i="49"/>
  <c r="Z63" i="51" s="1"/>
  <c r="Y63" i="51"/>
  <c r="BV78" i="49"/>
  <c r="Z79" i="51" s="1"/>
  <c r="Y79" i="51"/>
  <c r="BV94" i="49"/>
  <c r="Z95" i="51" s="1"/>
  <c r="Y95" i="51"/>
  <c r="BV110" i="49"/>
  <c r="Z111" i="51" s="1"/>
  <c r="Y111" i="51"/>
  <c r="BV5" i="49"/>
  <c r="Z6" i="51" s="1"/>
  <c r="Y6" i="51"/>
  <c r="BV21" i="49"/>
  <c r="Z22" i="51" s="1"/>
  <c r="Y22" i="51"/>
  <c r="BV37" i="49"/>
  <c r="Z38" i="51" s="1"/>
  <c r="Y38" i="51"/>
  <c r="BV53" i="49"/>
  <c r="Z54" i="51" s="1"/>
  <c r="Y54" i="51"/>
  <c r="BV69" i="49"/>
  <c r="Z70" i="51" s="1"/>
  <c r="Y70" i="51"/>
  <c r="BV85" i="49"/>
  <c r="Z86" i="51" s="1"/>
  <c r="Y86" i="51"/>
  <c r="BV101" i="49"/>
  <c r="Z102" i="51" s="1"/>
  <c r="Y102" i="51"/>
  <c r="BR106" i="49"/>
  <c r="W107" i="51" s="1"/>
  <c r="V107" i="51"/>
  <c r="BR58" i="49"/>
  <c r="W59" i="51" s="1"/>
  <c r="V59" i="51"/>
  <c r="BR113" i="49"/>
  <c r="W114" i="51" s="1"/>
  <c r="V114" i="51"/>
  <c r="BR65" i="49"/>
  <c r="W66" i="51" s="1"/>
  <c r="V66" i="51"/>
  <c r="BR1" i="49"/>
  <c r="W2" i="51" s="1"/>
  <c r="V2" i="51"/>
  <c r="BR115" i="49"/>
  <c r="W116" i="51" s="1"/>
  <c r="V116" i="51"/>
  <c r="BR19" i="49"/>
  <c r="W20" i="51" s="1"/>
  <c r="V20" i="51"/>
  <c r="BR7" i="49"/>
  <c r="W8" i="51" s="1"/>
  <c r="V8" i="51"/>
  <c r="BR104" i="49"/>
  <c r="W105" i="51" s="1"/>
  <c r="V105" i="51"/>
  <c r="BR110" i="49"/>
  <c r="W111" i="51" s="1"/>
  <c r="V111" i="51"/>
  <c r="BR94" i="49"/>
  <c r="W95" i="51" s="1"/>
  <c r="V95" i="51"/>
  <c r="BR78" i="49"/>
  <c r="W79" i="51" s="1"/>
  <c r="V79" i="51"/>
  <c r="BR62" i="49"/>
  <c r="W63" i="51" s="1"/>
  <c r="V63" i="51"/>
  <c r="BR46" i="49"/>
  <c r="W47" i="51" s="1"/>
  <c r="V47" i="51"/>
  <c r="BR30" i="49"/>
  <c r="W31" i="51" s="1"/>
  <c r="V31" i="51"/>
  <c r="BR14" i="49"/>
  <c r="W15" i="51" s="1"/>
  <c r="V15" i="51"/>
  <c r="BR117" i="49"/>
  <c r="W118" i="51" s="1"/>
  <c r="V118" i="51"/>
  <c r="BR101" i="49"/>
  <c r="W102" i="51" s="1"/>
  <c r="V102" i="51"/>
  <c r="BR85" i="49"/>
  <c r="W86" i="51" s="1"/>
  <c r="V86" i="51"/>
  <c r="BR69" i="49"/>
  <c r="W70" i="51" s="1"/>
  <c r="V70" i="51"/>
  <c r="BR53" i="49"/>
  <c r="W54" i="51" s="1"/>
  <c r="V54" i="51"/>
  <c r="BR37" i="49"/>
  <c r="W38" i="51" s="1"/>
  <c r="V38" i="51"/>
  <c r="BR21" i="49"/>
  <c r="W22" i="51" s="1"/>
  <c r="V22" i="51"/>
  <c r="BR5" i="49"/>
  <c r="W6" i="51" s="1"/>
  <c r="V6" i="51"/>
  <c r="BR100" i="49"/>
  <c r="W101" i="51" s="1"/>
  <c r="V101" i="51"/>
  <c r="BR68" i="49"/>
  <c r="W69" i="51" s="1"/>
  <c r="V69" i="51"/>
  <c r="BR36" i="49"/>
  <c r="W37" i="51" s="1"/>
  <c r="V37" i="51"/>
  <c r="BR4" i="49"/>
  <c r="W5" i="51" s="1"/>
  <c r="V5" i="51"/>
  <c r="BR91" i="49"/>
  <c r="W92" i="51" s="1"/>
  <c r="V92" i="51"/>
  <c r="BR59" i="49"/>
  <c r="W60" i="51" s="1"/>
  <c r="V60" i="51"/>
  <c r="BR27" i="49"/>
  <c r="W28" i="51" s="1"/>
  <c r="V28" i="51"/>
  <c r="BR80" i="49"/>
  <c r="W81" i="51" s="1"/>
  <c r="V81" i="51"/>
  <c r="BR32" i="49"/>
  <c r="W33" i="51" s="1"/>
  <c r="V33" i="51"/>
  <c r="BR23" i="49"/>
  <c r="W24" i="51" s="1"/>
  <c r="V24" i="51"/>
  <c r="BR47" i="49"/>
  <c r="W48" i="51" s="1"/>
  <c r="V48" i="51"/>
  <c r="BR8" i="49"/>
  <c r="W9" i="51" s="1"/>
  <c r="V9" i="51"/>
  <c r="BR111" i="49"/>
  <c r="W112" i="51" s="1"/>
  <c r="V112" i="51"/>
  <c r="BR31" i="49"/>
  <c r="W32" i="51" s="1"/>
  <c r="V32" i="51"/>
  <c r="BR40" i="49"/>
  <c r="W41" i="51" s="1"/>
  <c r="V41" i="51"/>
  <c r="BR74" i="49"/>
  <c r="W75" i="51" s="1"/>
  <c r="V75" i="51"/>
  <c r="BR26" i="49"/>
  <c r="W27" i="51" s="1"/>
  <c r="V27" i="51"/>
  <c r="BR10" i="49"/>
  <c r="W11" i="51" s="1"/>
  <c r="V11" i="51"/>
  <c r="BR81" i="49"/>
  <c r="W82" i="51" s="1"/>
  <c r="V82" i="51"/>
  <c r="BR33" i="49"/>
  <c r="W34" i="51" s="1"/>
  <c r="V34" i="51"/>
  <c r="BR92" i="49"/>
  <c r="W93" i="51" s="1"/>
  <c r="V93" i="51"/>
  <c r="BR28" i="49"/>
  <c r="W29" i="51" s="1"/>
  <c r="V29" i="51"/>
  <c r="BR51" i="49"/>
  <c r="W52" i="51" s="1"/>
  <c r="V52" i="51"/>
  <c r="BR119" i="49"/>
  <c r="W120" i="51" s="1"/>
  <c r="V120" i="51"/>
  <c r="BR79" i="49"/>
  <c r="W80" i="51" s="1"/>
  <c r="V80" i="51"/>
  <c r="BR102" i="49"/>
  <c r="W103" i="51" s="1"/>
  <c r="V103" i="51"/>
  <c r="BR86" i="49"/>
  <c r="W87" i="51" s="1"/>
  <c r="V87" i="51"/>
  <c r="BR70" i="49"/>
  <c r="W71" i="51" s="1"/>
  <c r="V71" i="51"/>
  <c r="BR54" i="49"/>
  <c r="W55" i="51" s="1"/>
  <c r="V55" i="51"/>
  <c r="BR38" i="49"/>
  <c r="W39" i="51" s="1"/>
  <c r="V39" i="51"/>
  <c r="BR22" i="49"/>
  <c r="W23" i="51" s="1"/>
  <c r="V23" i="51"/>
  <c r="BR6" i="49"/>
  <c r="W7" i="51" s="1"/>
  <c r="V7" i="51"/>
  <c r="BR109" i="49"/>
  <c r="W110" i="51" s="1"/>
  <c r="V110" i="51"/>
  <c r="BR93" i="49"/>
  <c r="W94" i="51" s="1"/>
  <c r="V94" i="51"/>
  <c r="BR77" i="49"/>
  <c r="W78" i="51" s="1"/>
  <c r="V78" i="51"/>
  <c r="BR61" i="49"/>
  <c r="W62" i="51" s="1"/>
  <c r="V62" i="51"/>
  <c r="BR45" i="49"/>
  <c r="W46" i="51" s="1"/>
  <c r="V46" i="51"/>
  <c r="BR29" i="49"/>
  <c r="W30" i="51" s="1"/>
  <c r="V30" i="51"/>
  <c r="BR13" i="49"/>
  <c r="W14" i="51" s="1"/>
  <c r="V14" i="51"/>
  <c r="BR116" i="49"/>
  <c r="W117" i="51" s="1"/>
  <c r="V117" i="51"/>
  <c r="BR84" i="49"/>
  <c r="W85" i="51" s="1"/>
  <c r="V85" i="51"/>
  <c r="BR52" i="49"/>
  <c r="W53" i="51" s="1"/>
  <c r="V53" i="51"/>
  <c r="BR20" i="49"/>
  <c r="W21" i="51" s="1"/>
  <c r="V21" i="51"/>
  <c r="BR107" i="49"/>
  <c r="W108" i="51" s="1"/>
  <c r="V108" i="51"/>
  <c r="BR75" i="49"/>
  <c r="W76" i="51" s="1"/>
  <c r="V76" i="51"/>
  <c r="BR43" i="49"/>
  <c r="W44" i="51" s="1"/>
  <c r="V44" i="51"/>
  <c r="BR11" i="49"/>
  <c r="W12" i="51" s="1"/>
  <c r="V12" i="51"/>
  <c r="BR72" i="49"/>
  <c r="W73" i="51" s="1"/>
  <c r="V73" i="51"/>
  <c r="BR87" i="49"/>
  <c r="W88" i="51" s="1"/>
  <c r="V88" i="51"/>
  <c r="BR16" i="49"/>
  <c r="W17" i="51" s="1"/>
  <c r="V17" i="51"/>
  <c r="BR112" i="49"/>
  <c r="W113" i="51" s="1"/>
  <c r="V113" i="51"/>
  <c r="BR39" i="49"/>
  <c r="W40" i="51" s="1"/>
  <c r="V40" i="51"/>
  <c r="BR71" i="49"/>
  <c r="W72" i="51" s="1"/>
  <c r="V72" i="51"/>
  <c r="BR96" i="49"/>
  <c r="W97" i="51" s="1"/>
  <c r="V97" i="51"/>
  <c r="BR90" i="49"/>
  <c r="W91" i="51" s="1"/>
  <c r="V91" i="51"/>
  <c r="BR42" i="49"/>
  <c r="W43" i="51" s="1"/>
  <c r="V43" i="51"/>
  <c r="BR97" i="49"/>
  <c r="W98" i="51" s="1"/>
  <c r="V98" i="51"/>
  <c r="BR49" i="49"/>
  <c r="W50" i="51" s="1"/>
  <c r="V50" i="51"/>
  <c r="BR17" i="49"/>
  <c r="W18" i="51" s="1"/>
  <c r="V18" i="51"/>
  <c r="BR60" i="49"/>
  <c r="W61" i="51" s="1"/>
  <c r="V61" i="51"/>
  <c r="BR83" i="49"/>
  <c r="W84" i="51" s="1"/>
  <c r="V84" i="51"/>
  <c r="BR56" i="49"/>
  <c r="W57" i="51" s="1"/>
  <c r="V57" i="51"/>
  <c r="BR103" i="49"/>
  <c r="W104" i="51" s="1"/>
  <c r="V104" i="51"/>
  <c r="BR114" i="49"/>
  <c r="W115" i="51" s="1"/>
  <c r="V115" i="51"/>
  <c r="BR98" i="49"/>
  <c r="W99" i="51" s="1"/>
  <c r="V99" i="51"/>
  <c r="BR82" i="49"/>
  <c r="W83" i="51" s="1"/>
  <c r="V83" i="51"/>
  <c r="BR66" i="49"/>
  <c r="W67" i="51" s="1"/>
  <c r="V67" i="51"/>
  <c r="BR50" i="49"/>
  <c r="W51" i="51" s="1"/>
  <c r="V51" i="51"/>
  <c r="BR34" i="49"/>
  <c r="W35" i="51" s="1"/>
  <c r="V35" i="51"/>
  <c r="BR18" i="49"/>
  <c r="W19" i="51" s="1"/>
  <c r="V19" i="51"/>
  <c r="BR2" i="49"/>
  <c r="W3" i="51" s="1"/>
  <c r="V3" i="51"/>
  <c r="BR105" i="49"/>
  <c r="W106" i="51" s="1"/>
  <c r="V106" i="51"/>
  <c r="BR89" i="49"/>
  <c r="W90" i="51" s="1"/>
  <c r="V90" i="51"/>
  <c r="BR73" i="49"/>
  <c r="W74" i="51" s="1"/>
  <c r="V74" i="51"/>
  <c r="BR57" i="49"/>
  <c r="W58" i="51" s="1"/>
  <c r="V58" i="51"/>
  <c r="BR41" i="49"/>
  <c r="W42" i="51" s="1"/>
  <c r="V42" i="51"/>
  <c r="BR25" i="49"/>
  <c r="W26" i="51" s="1"/>
  <c r="V26" i="51"/>
  <c r="BR9" i="49"/>
  <c r="W10" i="51" s="1"/>
  <c r="V10" i="51"/>
  <c r="BR108" i="49"/>
  <c r="W109" i="51" s="1"/>
  <c r="V109" i="51"/>
  <c r="BR76" i="49"/>
  <c r="W77" i="51" s="1"/>
  <c r="V77" i="51"/>
  <c r="BR44" i="49"/>
  <c r="W45" i="51" s="1"/>
  <c r="V45" i="51"/>
  <c r="BR12" i="49"/>
  <c r="W13" i="51" s="1"/>
  <c r="V13" i="51"/>
  <c r="BR99" i="49"/>
  <c r="W100" i="51" s="1"/>
  <c r="V100" i="51"/>
  <c r="BR67" i="49"/>
  <c r="W68" i="51" s="1"/>
  <c r="V68" i="51"/>
  <c r="BR35" i="49"/>
  <c r="W36" i="51" s="1"/>
  <c r="V36" i="51"/>
  <c r="BR3" i="49"/>
  <c r="W4" i="51" s="1"/>
  <c r="V4" i="51"/>
  <c r="BR88" i="49"/>
  <c r="W89" i="51" s="1"/>
  <c r="V89" i="51"/>
  <c r="BR64" i="49"/>
  <c r="W65" i="51" s="1"/>
  <c r="V65" i="51"/>
  <c r="BR55" i="49"/>
  <c r="W56" i="51" s="1"/>
  <c r="V56" i="51"/>
  <c r="BR95" i="49"/>
  <c r="W96" i="51" s="1"/>
  <c r="V96" i="51"/>
  <c r="BR48" i="49"/>
  <c r="W49" i="51" s="1"/>
  <c r="V49" i="51"/>
  <c r="BR24" i="49"/>
  <c r="W25" i="51" s="1"/>
  <c r="V25" i="51"/>
  <c r="BR63" i="49"/>
  <c r="W64" i="51" s="1"/>
  <c r="V64" i="51"/>
  <c r="BR15" i="49"/>
  <c r="W16" i="51" s="1"/>
  <c r="V16" i="51"/>
  <c r="BJ4" i="49"/>
  <c r="Q5" i="51" s="1"/>
  <c r="P5" i="51"/>
  <c r="BJ15" i="49"/>
  <c r="Q16" i="51" s="1"/>
  <c r="P16" i="51"/>
  <c r="BJ31" i="49"/>
  <c r="Q32" i="51" s="1"/>
  <c r="P32" i="51"/>
  <c r="BJ47" i="49"/>
  <c r="Q48" i="51" s="1"/>
  <c r="P48" i="51"/>
  <c r="BJ63" i="49"/>
  <c r="Q64" i="51" s="1"/>
  <c r="P64" i="51"/>
  <c r="BJ79" i="49"/>
  <c r="Q80" i="51" s="1"/>
  <c r="P80" i="51"/>
  <c r="BJ87" i="49"/>
  <c r="Q88" i="51" s="1"/>
  <c r="P88" i="51"/>
  <c r="BJ103" i="49"/>
  <c r="Q104" i="51" s="1"/>
  <c r="P104" i="51"/>
  <c r="BJ6" i="49"/>
  <c r="Q7" i="51" s="1"/>
  <c r="P7" i="51"/>
  <c r="BJ22" i="49"/>
  <c r="Q23" i="51" s="1"/>
  <c r="P23" i="51"/>
  <c r="BJ38" i="49"/>
  <c r="Q39" i="51" s="1"/>
  <c r="P39" i="51"/>
  <c r="BJ54" i="49"/>
  <c r="Q55" i="51" s="1"/>
  <c r="P55" i="51"/>
  <c r="BJ70" i="49"/>
  <c r="Q71" i="51" s="1"/>
  <c r="P71" i="51"/>
  <c r="BJ78" i="49"/>
  <c r="Q79" i="51" s="1"/>
  <c r="P79" i="51"/>
  <c r="BJ94" i="49"/>
  <c r="Q95" i="51" s="1"/>
  <c r="P95" i="51"/>
  <c r="BJ110" i="49"/>
  <c r="Q111" i="51" s="1"/>
  <c r="P111" i="51"/>
  <c r="BJ9" i="49"/>
  <c r="Q10" i="51" s="1"/>
  <c r="P10" i="51"/>
  <c r="BJ25" i="49"/>
  <c r="Q26" i="51" s="1"/>
  <c r="P26" i="51"/>
  <c r="BJ41" i="49"/>
  <c r="Q42" i="51" s="1"/>
  <c r="P42" i="51"/>
  <c r="BJ49" i="49"/>
  <c r="Q50" i="51" s="1"/>
  <c r="P50" i="51"/>
  <c r="BJ65" i="49"/>
  <c r="Q66" i="51" s="1"/>
  <c r="P66" i="51"/>
  <c r="BJ81" i="49"/>
  <c r="Q82" i="51" s="1"/>
  <c r="P82" i="51"/>
  <c r="BJ97" i="49"/>
  <c r="Q98" i="51" s="1"/>
  <c r="P98" i="51"/>
  <c r="BJ113" i="49"/>
  <c r="Q114" i="51" s="1"/>
  <c r="P114" i="51"/>
  <c r="BJ16" i="49"/>
  <c r="Q17" i="51" s="1"/>
  <c r="P17" i="51"/>
  <c r="BJ32" i="49"/>
  <c r="Q33" i="51" s="1"/>
  <c r="P33" i="51"/>
  <c r="BJ48" i="49"/>
  <c r="Q49" i="51" s="1"/>
  <c r="P49" i="51"/>
  <c r="BJ64" i="49"/>
  <c r="Q65" i="51" s="1"/>
  <c r="P65" i="51"/>
  <c r="BJ80" i="49"/>
  <c r="Q81" i="51" s="1"/>
  <c r="P81" i="51"/>
  <c r="BJ96" i="49"/>
  <c r="Q97" i="51" s="1"/>
  <c r="P97" i="51"/>
  <c r="BJ112" i="49"/>
  <c r="Q113" i="51" s="1"/>
  <c r="P113" i="51"/>
  <c r="BJ5" i="49"/>
  <c r="Q6" i="51" s="1"/>
  <c r="P6" i="51"/>
  <c r="BJ13" i="49"/>
  <c r="Q14" i="51" s="1"/>
  <c r="P14" i="51"/>
  <c r="BJ21" i="49"/>
  <c r="Q22" i="51" s="1"/>
  <c r="P22" i="51"/>
  <c r="BJ29" i="49"/>
  <c r="Q30" i="51" s="1"/>
  <c r="P30" i="51"/>
  <c r="BJ37" i="49"/>
  <c r="Q38" i="51" s="1"/>
  <c r="P38" i="51"/>
  <c r="BJ45" i="49"/>
  <c r="Q46" i="51" s="1"/>
  <c r="P46" i="51"/>
  <c r="BJ53" i="49"/>
  <c r="Q54" i="51" s="1"/>
  <c r="P54" i="51"/>
  <c r="BJ61" i="49"/>
  <c r="Q62" i="51" s="1"/>
  <c r="P62" i="51"/>
  <c r="BJ69" i="49"/>
  <c r="Q70" i="51" s="1"/>
  <c r="P70" i="51"/>
  <c r="BJ77" i="49"/>
  <c r="Q78" i="51" s="1"/>
  <c r="P78" i="51"/>
  <c r="BJ85" i="49"/>
  <c r="Q86" i="51" s="1"/>
  <c r="P86" i="51"/>
  <c r="BJ93" i="49"/>
  <c r="Q94" i="51" s="1"/>
  <c r="P94" i="51"/>
  <c r="BJ101" i="49"/>
  <c r="Q102" i="51" s="1"/>
  <c r="P102" i="51"/>
  <c r="BJ109" i="49"/>
  <c r="Q110" i="51" s="1"/>
  <c r="P110" i="51"/>
  <c r="BJ2" i="49"/>
  <c r="Q3" i="51" s="1"/>
  <c r="P3" i="51"/>
  <c r="BJ12" i="49"/>
  <c r="Q13" i="51" s="1"/>
  <c r="P13" i="51"/>
  <c r="BJ20" i="49"/>
  <c r="Q21" i="51" s="1"/>
  <c r="P21" i="51"/>
  <c r="BJ28" i="49"/>
  <c r="Q29" i="51" s="1"/>
  <c r="P29" i="51"/>
  <c r="BJ36" i="49"/>
  <c r="Q37" i="51" s="1"/>
  <c r="P37" i="51"/>
  <c r="BJ44" i="49"/>
  <c r="Q45" i="51" s="1"/>
  <c r="P45" i="51"/>
  <c r="BJ52" i="49"/>
  <c r="Q53" i="51" s="1"/>
  <c r="P53" i="51"/>
  <c r="BJ60" i="49"/>
  <c r="Q61" i="51" s="1"/>
  <c r="P61" i="51"/>
  <c r="BJ68" i="49"/>
  <c r="Q69" i="51" s="1"/>
  <c r="P69" i="51"/>
  <c r="BJ76" i="49"/>
  <c r="Q77" i="51" s="1"/>
  <c r="P77" i="51"/>
  <c r="BJ84" i="49"/>
  <c r="Q85" i="51" s="1"/>
  <c r="P85" i="51"/>
  <c r="BJ92" i="49"/>
  <c r="Q93" i="51" s="1"/>
  <c r="P93" i="51"/>
  <c r="BJ100" i="49"/>
  <c r="Q101" i="51" s="1"/>
  <c r="P101" i="51"/>
  <c r="BJ108" i="49"/>
  <c r="Q109" i="51" s="1"/>
  <c r="P109" i="51"/>
  <c r="BJ116" i="49"/>
  <c r="Q117" i="51" s="1"/>
  <c r="P117" i="51"/>
  <c r="BJ7" i="49"/>
  <c r="Q8" i="51" s="1"/>
  <c r="P8" i="51"/>
  <c r="BJ23" i="49"/>
  <c r="Q24" i="51" s="1"/>
  <c r="P24" i="51"/>
  <c r="BJ39" i="49"/>
  <c r="Q40" i="51" s="1"/>
  <c r="P40" i="51"/>
  <c r="BJ55" i="49"/>
  <c r="Q56" i="51" s="1"/>
  <c r="P56" i="51"/>
  <c r="BJ71" i="49"/>
  <c r="Q72" i="51" s="1"/>
  <c r="P72" i="51"/>
  <c r="BJ95" i="49"/>
  <c r="Q96" i="51" s="1"/>
  <c r="P96" i="51"/>
  <c r="BJ111" i="49"/>
  <c r="Q112" i="51" s="1"/>
  <c r="P112" i="51"/>
  <c r="BJ14" i="49"/>
  <c r="Q15" i="51" s="1"/>
  <c r="P15" i="51"/>
  <c r="BJ30" i="49"/>
  <c r="Q31" i="51" s="1"/>
  <c r="P31" i="51"/>
  <c r="BJ46" i="49"/>
  <c r="Q47" i="51" s="1"/>
  <c r="P47" i="51"/>
  <c r="BJ62" i="49"/>
  <c r="Q63" i="51" s="1"/>
  <c r="P63" i="51"/>
  <c r="BJ86" i="49"/>
  <c r="Q87" i="51" s="1"/>
  <c r="P87" i="51"/>
  <c r="BJ102" i="49"/>
  <c r="Q103" i="51" s="1"/>
  <c r="P103" i="51"/>
  <c r="BJ1" i="49"/>
  <c r="Q2" i="51" s="1"/>
  <c r="P2" i="51"/>
  <c r="BJ17" i="49"/>
  <c r="Q18" i="51" s="1"/>
  <c r="P18" i="51"/>
  <c r="BJ33" i="49"/>
  <c r="Q34" i="51" s="1"/>
  <c r="P34" i="51"/>
  <c r="BJ57" i="49"/>
  <c r="Q58" i="51" s="1"/>
  <c r="P58" i="51"/>
  <c r="BJ73" i="49"/>
  <c r="Q74" i="51" s="1"/>
  <c r="P74" i="51"/>
  <c r="BJ89" i="49"/>
  <c r="Q90" i="51" s="1"/>
  <c r="P90" i="51"/>
  <c r="BJ105" i="49"/>
  <c r="Q106" i="51" s="1"/>
  <c r="P106" i="51"/>
  <c r="BJ8" i="49"/>
  <c r="Q9" i="51" s="1"/>
  <c r="P9" i="51"/>
  <c r="BJ24" i="49"/>
  <c r="Q25" i="51" s="1"/>
  <c r="P25" i="51"/>
  <c r="BJ40" i="49"/>
  <c r="Q41" i="51" s="1"/>
  <c r="P41" i="51"/>
  <c r="BJ56" i="49"/>
  <c r="Q57" i="51" s="1"/>
  <c r="P57" i="51"/>
  <c r="BJ72" i="49"/>
  <c r="Q73" i="51" s="1"/>
  <c r="P73" i="51"/>
  <c r="BJ88" i="49"/>
  <c r="Q89" i="51" s="1"/>
  <c r="P89" i="51"/>
  <c r="BJ104" i="49"/>
  <c r="Q105" i="51" s="1"/>
  <c r="P105" i="51"/>
  <c r="BJ3" i="49"/>
  <c r="Q4" i="51" s="1"/>
  <c r="P4" i="51"/>
  <c r="BJ11" i="49"/>
  <c r="Q12" i="51" s="1"/>
  <c r="P12" i="51"/>
  <c r="BJ19" i="49"/>
  <c r="Q20" i="51" s="1"/>
  <c r="P20" i="51"/>
  <c r="BJ27" i="49"/>
  <c r="Q28" i="51" s="1"/>
  <c r="P28" i="51"/>
  <c r="BJ35" i="49"/>
  <c r="Q36" i="51" s="1"/>
  <c r="P36" i="51"/>
  <c r="BJ43" i="49"/>
  <c r="Q44" i="51" s="1"/>
  <c r="P44" i="51"/>
  <c r="BJ51" i="49"/>
  <c r="Q52" i="51" s="1"/>
  <c r="P52" i="51"/>
  <c r="BJ59" i="49"/>
  <c r="Q60" i="51" s="1"/>
  <c r="P60" i="51"/>
  <c r="BJ67" i="49"/>
  <c r="Q68" i="51" s="1"/>
  <c r="P68" i="51"/>
  <c r="BJ75" i="49"/>
  <c r="Q76" i="51" s="1"/>
  <c r="P76" i="51"/>
  <c r="BJ83" i="49"/>
  <c r="Q84" i="51" s="1"/>
  <c r="P84" i="51"/>
  <c r="BJ91" i="49"/>
  <c r="Q92" i="51" s="1"/>
  <c r="P92" i="51"/>
  <c r="BJ99" i="49"/>
  <c r="Q100" i="51" s="1"/>
  <c r="P100" i="51"/>
  <c r="BJ107" i="49"/>
  <c r="Q108" i="51" s="1"/>
  <c r="P108" i="51"/>
  <c r="BJ115" i="49"/>
  <c r="Q116" i="51" s="1"/>
  <c r="P116" i="51"/>
  <c r="BJ10" i="49"/>
  <c r="Q11" i="51" s="1"/>
  <c r="P11" i="51"/>
  <c r="BJ18" i="49"/>
  <c r="Q19" i="51" s="1"/>
  <c r="P19" i="51"/>
  <c r="BJ26" i="49"/>
  <c r="Q27" i="51" s="1"/>
  <c r="P27" i="51"/>
  <c r="BJ34" i="49"/>
  <c r="Q35" i="51" s="1"/>
  <c r="P35" i="51"/>
  <c r="BJ42" i="49"/>
  <c r="Q43" i="51" s="1"/>
  <c r="P43" i="51"/>
  <c r="BJ50" i="49"/>
  <c r="Q51" i="51" s="1"/>
  <c r="P51" i="51"/>
  <c r="BJ58" i="49"/>
  <c r="Q59" i="51" s="1"/>
  <c r="P59" i="51"/>
  <c r="BJ66" i="49"/>
  <c r="Q67" i="51" s="1"/>
  <c r="P67" i="51"/>
  <c r="BJ74" i="49"/>
  <c r="Q75" i="51" s="1"/>
  <c r="P75" i="51"/>
  <c r="BJ82" i="49"/>
  <c r="Q83" i="51" s="1"/>
  <c r="P83" i="51"/>
  <c r="BJ90" i="49"/>
  <c r="Q91" i="51" s="1"/>
  <c r="P91" i="51"/>
  <c r="BJ98" i="49"/>
  <c r="Q99" i="51" s="1"/>
  <c r="P99" i="51"/>
  <c r="BJ106" i="49"/>
  <c r="Q107" i="51" s="1"/>
  <c r="P107" i="51"/>
  <c r="BJ114" i="49"/>
  <c r="Q115" i="51" s="1"/>
  <c r="P115" i="51"/>
  <c r="BF112" i="49"/>
  <c r="N113" i="51" s="1"/>
  <c r="M113" i="51"/>
  <c r="BF80" i="49"/>
  <c r="N81" i="51" s="1"/>
  <c r="M81" i="51"/>
  <c r="BF48" i="49"/>
  <c r="N49" i="51" s="1"/>
  <c r="M49" i="51"/>
  <c r="BF16" i="49"/>
  <c r="N17" i="51" s="1"/>
  <c r="M17" i="51"/>
  <c r="BF103" i="49"/>
  <c r="N104" i="51" s="1"/>
  <c r="M104" i="51"/>
  <c r="BF71" i="49"/>
  <c r="N72" i="51" s="1"/>
  <c r="M72" i="51"/>
  <c r="BF39" i="49"/>
  <c r="N40" i="51" s="1"/>
  <c r="M40" i="51"/>
  <c r="BF7" i="49"/>
  <c r="N8" i="51" s="1"/>
  <c r="M8" i="51"/>
  <c r="BF66" i="49"/>
  <c r="N67" i="51" s="1"/>
  <c r="M67" i="51"/>
  <c r="BF2" i="49"/>
  <c r="N3" i="51" s="1"/>
  <c r="M3" i="51"/>
  <c r="BF57" i="49"/>
  <c r="N58" i="51" s="1"/>
  <c r="M58" i="51"/>
  <c r="AC58" i="51" s="1"/>
  <c r="AD58" i="51" s="1"/>
  <c r="BF25" i="49"/>
  <c r="N26" i="51" s="1"/>
  <c r="M26" i="51"/>
  <c r="BF101" i="49"/>
  <c r="N102" i="51" s="1"/>
  <c r="M102" i="51"/>
  <c r="BF70" i="49"/>
  <c r="N71" i="51" s="1"/>
  <c r="M71" i="51"/>
  <c r="BF77" i="49"/>
  <c r="N78" i="51" s="1"/>
  <c r="M78" i="51"/>
  <c r="BF108" i="49"/>
  <c r="N109" i="51" s="1"/>
  <c r="M109" i="51"/>
  <c r="BF76" i="49"/>
  <c r="N77" i="51" s="1"/>
  <c r="M77" i="51"/>
  <c r="BF60" i="49"/>
  <c r="N61" i="51" s="1"/>
  <c r="M61" i="51"/>
  <c r="BF28" i="49"/>
  <c r="N29" i="51" s="1"/>
  <c r="M29" i="51"/>
  <c r="BF115" i="49"/>
  <c r="N116" i="51" s="1"/>
  <c r="M116" i="51"/>
  <c r="BF83" i="49"/>
  <c r="N84" i="51" s="1"/>
  <c r="M84" i="51"/>
  <c r="BF51" i="49"/>
  <c r="N52" i="51" s="1"/>
  <c r="M52" i="51"/>
  <c r="BF19" i="49"/>
  <c r="N20" i="51" s="1"/>
  <c r="M20" i="51"/>
  <c r="BF90" i="49"/>
  <c r="N91" i="51" s="1"/>
  <c r="M91" i="51"/>
  <c r="BF26" i="49"/>
  <c r="N27" i="51" s="1"/>
  <c r="M27" i="51"/>
  <c r="AC27" i="51" s="1"/>
  <c r="AD27" i="51" s="1"/>
  <c r="BF81" i="49"/>
  <c r="N82" i="51" s="1"/>
  <c r="M82" i="51"/>
  <c r="BF94" i="49"/>
  <c r="N95" i="51" s="1"/>
  <c r="M95" i="51"/>
  <c r="BF85" i="49"/>
  <c r="N86" i="51" s="1"/>
  <c r="M86" i="51"/>
  <c r="BF38" i="49"/>
  <c r="N39" i="51" s="1"/>
  <c r="M39" i="51"/>
  <c r="BF13" i="49"/>
  <c r="N14" i="51" s="1"/>
  <c r="M14" i="51"/>
  <c r="BF100" i="49"/>
  <c r="N101" i="51" s="1"/>
  <c r="M101" i="51"/>
  <c r="BF84" i="49"/>
  <c r="N85" i="51" s="1"/>
  <c r="M85" i="51"/>
  <c r="BF68" i="49"/>
  <c r="N69" i="51" s="1"/>
  <c r="M69" i="51"/>
  <c r="BF52" i="49"/>
  <c r="N53" i="51" s="1"/>
  <c r="M53" i="51"/>
  <c r="BF36" i="49"/>
  <c r="N37" i="51" s="1"/>
  <c r="M37" i="51"/>
  <c r="BF20" i="49"/>
  <c r="N21" i="51" s="1"/>
  <c r="M21" i="51"/>
  <c r="BF4" i="49"/>
  <c r="N5" i="51" s="1"/>
  <c r="M5" i="51"/>
  <c r="BF107" i="49"/>
  <c r="N108" i="51" s="1"/>
  <c r="M108" i="51"/>
  <c r="BF91" i="49"/>
  <c r="N92" i="51" s="1"/>
  <c r="M92" i="51"/>
  <c r="BF75" i="49"/>
  <c r="N76" i="51" s="1"/>
  <c r="M76" i="51"/>
  <c r="BF59" i="49"/>
  <c r="N60" i="51" s="1"/>
  <c r="M60" i="51"/>
  <c r="BF43" i="49"/>
  <c r="N44" i="51" s="1"/>
  <c r="M44" i="51"/>
  <c r="BF27" i="49"/>
  <c r="N28" i="51" s="1"/>
  <c r="M28" i="51"/>
  <c r="BF11" i="49"/>
  <c r="N12" i="51" s="1"/>
  <c r="M12" i="51"/>
  <c r="BF106" i="49"/>
  <c r="N107" i="51" s="1"/>
  <c r="M107" i="51"/>
  <c r="BF74" i="49"/>
  <c r="N75" i="51" s="1"/>
  <c r="M75" i="51"/>
  <c r="BF42" i="49"/>
  <c r="N43" i="51" s="1"/>
  <c r="M43" i="51"/>
  <c r="BF10" i="49"/>
  <c r="N11" i="51" s="1"/>
  <c r="M11" i="51"/>
  <c r="BF97" i="49"/>
  <c r="N98" i="51" s="1"/>
  <c r="M98" i="51"/>
  <c r="AC98" i="51" s="1"/>
  <c r="AD98" i="51" s="1"/>
  <c r="BF65" i="49"/>
  <c r="N66" i="51" s="1"/>
  <c r="M66" i="51"/>
  <c r="BF33" i="49"/>
  <c r="N34" i="51" s="1"/>
  <c r="M34" i="51"/>
  <c r="BF1" i="49"/>
  <c r="N2" i="51" s="1"/>
  <c r="M2" i="51"/>
  <c r="BF62" i="49"/>
  <c r="N63" i="51" s="1"/>
  <c r="M63" i="51"/>
  <c r="BF117" i="49"/>
  <c r="N118" i="51" s="1"/>
  <c r="M118" i="51"/>
  <c r="BF53" i="49"/>
  <c r="N54" i="51" s="1"/>
  <c r="M54" i="51"/>
  <c r="BF102" i="49"/>
  <c r="N103" i="51" s="1"/>
  <c r="M103" i="51"/>
  <c r="BF93" i="49"/>
  <c r="N94" i="51" s="1"/>
  <c r="M94" i="51"/>
  <c r="BF22" i="49"/>
  <c r="N23" i="51" s="1"/>
  <c r="M23" i="51"/>
  <c r="BF45" i="49"/>
  <c r="N46" i="51" s="1"/>
  <c r="M46" i="51"/>
  <c r="BF96" i="49"/>
  <c r="N97" i="51" s="1"/>
  <c r="M97" i="51"/>
  <c r="BF64" i="49"/>
  <c r="N65" i="51" s="1"/>
  <c r="M65" i="51"/>
  <c r="BF32" i="49"/>
  <c r="N33" i="51" s="1"/>
  <c r="M33" i="51"/>
  <c r="BF119" i="49"/>
  <c r="N120" i="51" s="1"/>
  <c r="M120" i="51"/>
  <c r="BF87" i="49"/>
  <c r="N88" i="51" s="1"/>
  <c r="M88" i="51"/>
  <c r="BF55" i="49"/>
  <c r="N56" i="51" s="1"/>
  <c r="M56" i="51"/>
  <c r="BF23" i="49"/>
  <c r="N24" i="51" s="1"/>
  <c r="M24" i="51"/>
  <c r="BF98" i="49"/>
  <c r="N99" i="51" s="1"/>
  <c r="M99" i="51"/>
  <c r="BF34" i="49"/>
  <c r="N35" i="51" s="1"/>
  <c r="M35" i="51"/>
  <c r="BF89" i="49"/>
  <c r="N90" i="51" s="1"/>
  <c r="M90" i="51"/>
  <c r="AC90" i="51" s="1"/>
  <c r="AD90" i="51" s="1"/>
  <c r="BF110" i="49"/>
  <c r="N111" i="51" s="1"/>
  <c r="M111" i="51"/>
  <c r="BF46" i="49"/>
  <c r="N47" i="51" s="1"/>
  <c r="M47" i="51"/>
  <c r="BF37" i="49"/>
  <c r="N38" i="51" s="1"/>
  <c r="M38" i="51"/>
  <c r="AC38" i="51" s="1"/>
  <c r="AD38" i="51" s="1"/>
  <c r="BF61" i="49"/>
  <c r="N62" i="51" s="1"/>
  <c r="M62" i="51"/>
  <c r="BF92" i="49"/>
  <c r="N93" i="51" s="1"/>
  <c r="M93" i="51"/>
  <c r="BF44" i="49"/>
  <c r="N45" i="51" s="1"/>
  <c r="M45" i="51"/>
  <c r="AC45" i="51" s="1"/>
  <c r="AD45" i="51" s="1"/>
  <c r="BF12" i="49"/>
  <c r="N13" i="51" s="1"/>
  <c r="M13" i="51"/>
  <c r="BF99" i="49"/>
  <c r="N100" i="51" s="1"/>
  <c r="M100" i="51"/>
  <c r="BF67" i="49"/>
  <c r="N68" i="51" s="1"/>
  <c r="M68" i="51"/>
  <c r="AC68" i="51" s="1"/>
  <c r="AD68" i="51" s="1"/>
  <c r="BF35" i="49"/>
  <c r="N36" i="51" s="1"/>
  <c r="M36" i="51"/>
  <c r="BF3" i="49"/>
  <c r="N4" i="51" s="1"/>
  <c r="M4" i="51"/>
  <c r="AC4" i="51" s="1"/>
  <c r="AD4" i="51" s="1"/>
  <c r="BF58" i="49"/>
  <c r="N59" i="51" s="1"/>
  <c r="M59" i="51"/>
  <c r="BF113" i="49"/>
  <c r="N114" i="51" s="1"/>
  <c r="M114" i="51"/>
  <c r="BF49" i="49"/>
  <c r="N50" i="51" s="1"/>
  <c r="M50" i="51"/>
  <c r="BF17" i="49"/>
  <c r="N18" i="51" s="1"/>
  <c r="M18" i="51"/>
  <c r="BF30" i="49"/>
  <c r="N31" i="51" s="1"/>
  <c r="M31" i="51"/>
  <c r="BF21" i="49"/>
  <c r="N22" i="51" s="1"/>
  <c r="M22" i="51"/>
  <c r="BF29" i="49"/>
  <c r="N30" i="51" s="1"/>
  <c r="M30" i="51"/>
  <c r="BF118" i="49"/>
  <c r="N119" i="51" s="1"/>
  <c r="M119" i="51"/>
  <c r="AC119" i="51" s="1"/>
  <c r="AD119" i="51" s="1"/>
  <c r="BF104" i="49"/>
  <c r="N105" i="51" s="1"/>
  <c r="M105" i="51"/>
  <c r="AC105" i="51" s="1"/>
  <c r="AD105" i="51" s="1"/>
  <c r="BF88" i="49"/>
  <c r="N89" i="51" s="1"/>
  <c r="M89" i="51"/>
  <c r="BF72" i="49"/>
  <c r="N73" i="51" s="1"/>
  <c r="M73" i="51"/>
  <c r="BF56" i="49"/>
  <c r="N57" i="51" s="1"/>
  <c r="M57" i="51"/>
  <c r="AC57" i="51" s="1"/>
  <c r="AD57" i="51" s="1"/>
  <c r="BF40" i="49"/>
  <c r="N41" i="51" s="1"/>
  <c r="M41" i="51"/>
  <c r="AC41" i="51" s="1"/>
  <c r="AD41" i="51" s="1"/>
  <c r="BF24" i="49"/>
  <c r="N25" i="51" s="1"/>
  <c r="M25" i="51"/>
  <c r="AC25" i="51" s="1"/>
  <c r="AD25" i="51" s="1"/>
  <c r="BF8" i="49"/>
  <c r="N9" i="51" s="1"/>
  <c r="M9" i="51"/>
  <c r="BF111" i="49"/>
  <c r="N112" i="51" s="1"/>
  <c r="M112" i="51"/>
  <c r="BF95" i="49"/>
  <c r="N96" i="51" s="1"/>
  <c r="M96" i="51"/>
  <c r="BF79" i="49"/>
  <c r="N80" i="51" s="1"/>
  <c r="M80" i="51"/>
  <c r="BF63" i="49"/>
  <c r="N64" i="51" s="1"/>
  <c r="M64" i="51"/>
  <c r="AC64" i="51" s="1"/>
  <c r="AD64" i="51" s="1"/>
  <c r="BF47" i="49"/>
  <c r="N48" i="51" s="1"/>
  <c r="M48" i="51"/>
  <c r="BF31" i="49"/>
  <c r="N32" i="51" s="1"/>
  <c r="M32" i="51"/>
  <c r="BF15" i="49"/>
  <c r="N16" i="51" s="1"/>
  <c r="M16" i="51"/>
  <c r="AC16" i="51" s="1"/>
  <c r="AD16" i="51" s="1"/>
  <c r="BF114" i="49"/>
  <c r="N115" i="51" s="1"/>
  <c r="M115" i="51"/>
  <c r="BF82" i="49"/>
  <c r="N83" i="51" s="1"/>
  <c r="M83" i="51"/>
  <c r="BF50" i="49"/>
  <c r="N51" i="51" s="1"/>
  <c r="M51" i="51"/>
  <c r="BF18" i="49"/>
  <c r="N19" i="51" s="1"/>
  <c r="M19" i="51"/>
  <c r="BF105" i="49"/>
  <c r="N106" i="51" s="1"/>
  <c r="M106" i="51"/>
  <c r="BF73" i="49"/>
  <c r="N74" i="51" s="1"/>
  <c r="M74" i="51"/>
  <c r="AC74" i="51" s="1"/>
  <c r="AD74" i="51" s="1"/>
  <c r="BF41" i="49"/>
  <c r="N42" i="51" s="1"/>
  <c r="M42" i="51"/>
  <c r="BF9" i="49"/>
  <c r="N10" i="51" s="1"/>
  <c r="M10" i="51"/>
  <c r="BF78" i="49"/>
  <c r="N79" i="51" s="1"/>
  <c r="M79" i="51"/>
  <c r="BF14" i="49"/>
  <c r="N15" i="51" s="1"/>
  <c r="M15" i="51"/>
  <c r="BF69" i="49"/>
  <c r="N70" i="51" s="1"/>
  <c r="M70" i="51"/>
  <c r="BF5" i="49"/>
  <c r="N6" i="51" s="1"/>
  <c r="M6" i="51"/>
  <c r="AC6" i="51" s="1"/>
  <c r="AD6" i="51" s="1"/>
  <c r="BF6" i="49"/>
  <c r="N7" i="51" s="1"/>
  <c r="M7" i="51"/>
  <c r="BF86" i="49"/>
  <c r="N87" i="51" s="1"/>
  <c r="M87" i="51"/>
  <c r="BF54" i="49"/>
  <c r="N55" i="51" s="1"/>
  <c r="M55" i="51"/>
  <c r="BF109" i="49"/>
  <c r="N110" i="51" s="1"/>
  <c r="M110" i="51"/>
  <c r="AM153" i="49"/>
  <c r="AN153" i="49"/>
  <c r="AC7" i="51" l="1"/>
  <c r="AD7" i="51" s="1"/>
  <c r="AC32" i="51"/>
  <c r="AD32" i="51" s="1"/>
  <c r="AC9" i="51"/>
  <c r="AD9" i="51" s="1"/>
  <c r="AC73" i="51"/>
  <c r="AD73" i="51" s="1"/>
  <c r="AC30" i="51"/>
  <c r="AD30" i="51" s="1"/>
  <c r="AC59" i="51"/>
  <c r="AD59" i="51" s="1"/>
  <c r="AC62" i="51"/>
  <c r="AD62" i="51" s="1"/>
  <c r="AC120" i="51"/>
  <c r="AD120" i="51" s="1"/>
  <c r="AC94" i="51"/>
  <c r="AD94" i="51" s="1"/>
  <c r="AC5" i="51"/>
  <c r="AD5" i="51" s="1"/>
  <c r="AC39" i="51"/>
  <c r="AD39" i="51" s="1"/>
  <c r="AC77" i="51"/>
  <c r="AD77" i="51" s="1"/>
  <c r="AC79" i="51"/>
  <c r="AD79" i="51" s="1"/>
  <c r="AC51" i="51"/>
  <c r="AD51" i="51" s="1"/>
  <c r="AC115" i="51"/>
  <c r="AD115" i="51" s="1"/>
  <c r="AC96" i="51"/>
  <c r="AD96" i="51" s="1"/>
  <c r="AC47" i="51"/>
  <c r="AD47" i="51" s="1"/>
  <c r="AC56" i="51"/>
  <c r="AD56" i="51" s="1"/>
  <c r="AC65" i="51"/>
  <c r="AD65" i="51" s="1"/>
  <c r="AC54" i="51"/>
  <c r="AD54" i="51" s="1"/>
  <c r="AC34" i="51"/>
  <c r="AD34" i="51" s="1"/>
  <c r="AC20" i="51"/>
  <c r="AD20" i="51" s="1"/>
  <c r="AC84" i="51"/>
  <c r="AD84" i="51" s="1"/>
  <c r="AC55" i="51"/>
  <c r="AD55" i="51" s="1"/>
  <c r="AC70" i="51"/>
  <c r="AD70" i="51" s="1"/>
  <c r="AC42" i="51"/>
  <c r="AD42" i="51" s="1"/>
  <c r="AC106" i="51"/>
  <c r="AD106" i="51" s="1"/>
  <c r="AC31" i="51"/>
  <c r="AD31" i="51" s="1"/>
  <c r="AC50" i="51"/>
  <c r="AD50" i="51" s="1"/>
  <c r="AC36" i="51"/>
  <c r="AD36" i="51" s="1"/>
  <c r="AC100" i="51"/>
  <c r="AD100" i="51" s="1"/>
  <c r="AC99" i="51"/>
  <c r="AD99" i="51" s="1"/>
  <c r="AC46" i="51"/>
  <c r="AD46" i="51" s="1"/>
  <c r="AC63" i="51"/>
  <c r="AD63" i="51" s="1"/>
  <c r="AC43" i="51"/>
  <c r="AD43" i="51" s="1"/>
  <c r="AC107" i="51"/>
  <c r="AD107" i="51" s="1"/>
  <c r="AC28" i="51"/>
  <c r="AD28" i="51" s="1"/>
  <c r="AC60" i="51"/>
  <c r="AD60" i="51" s="1"/>
  <c r="AC92" i="51"/>
  <c r="AD92" i="51" s="1"/>
  <c r="AC37" i="51"/>
  <c r="AD37" i="51" s="1"/>
  <c r="AC69" i="51"/>
  <c r="AD69" i="51" s="1"/>
  <c r="AC101" i="51"/>
  <c r="AD101" i="51" s="1"/>
  <c r="AC95" i="51"/>
  <c r="AD95" i="51" s="1"/>
  <c r="AC29" i="51"/>
  <c r="AD29" i="51" s="1"/>
  <c r="AC78" i="51"/>
  <c r="AD78" i="51" s="1"/>
  <c r="AC102" i="51"/>
  <c r="AD102" i="51" s="1"/>
  <c r="AC67" i="51"/>
  <c r="AD67" i="51" s="1"/>
  <c r="AC40" i="51"/>
  <c r="AD40" i="51" s="1"/>
  <c r="AC104" i="51"/>
  <c r="AD104" i="51" s="1"/>
  <c r="AC49" i="51"/>
  <c r="AD49" i="51" s="1"/>
  <c r="AC113" i="51"/>
  <c r="AD113" i="51" s="1"/>
  <c r="AC15" i="51"/>
  <c r="AD15" i="51" s="1"/>
  <c r="AC19" i="51"/>
  <c r="AD19" i="51" s="1"/>
  <c r="AC83" i="51"/>
  <c r="AD83" i="51" s="1"/>
  <c r="AC111" i="51"/>
  <c r="AD111" i="51" s="1"/>
  <c r="AC24" i="51"/>
  <c r="AD24" i="51" s="1"/>
  <c r="AC97" i="51"/>
  <c r="AD97" i="51" s="1"/>
  <c r="AC53" i="51"/>
  <c r="AD53" i="51" s="1"/>
  <c r="AC116" i="51"/>
  <c r="AD116" i="51" s="1"/>
  <c r="AC117" i="51"/>
  <c r="AD117" i="51" s="1"/>
  <c r="AC87" i="51"/>
  <c r="AD87" i="51" s="1"/>
  <c r="AC48" i="51"/>
  <c r="AD48" i="51" s="1"/>
  <c r="AC80" i="51"/>
  <c r="AD80" i="51" s="1"/>
  <c r="AC89" i="51"/>
  <c r="AD89" i="51" s="1"/>
  <c r="AC22" i="51"/>
  <c r="AD22" i="51" s="1"/>
  <c r="AC114" i="51"/>
  <c r="AD114" i="51" s="1"/>
  <c r="AC35" i="51"/>
  <c r="AD35" i="51" s="1"/>
  <c r="AC33" i="51"/>
  <c r="AD33" i="51" s="1"/>
  <c r="AC23" i="51"/>
  <c r="AD23" i="51" s="1"/>
  <c r="AC118" i="51"/>
  <c r="AD118" i="51" s="1"/>
  <c r="AC2" i="51"/>
  <c r="AD2" i="51" s="1"/>
  <c r="AC21" i="51"/>
  <c r="AD21" i="51" s="1"/>
  <c r="AC85" i="51"/>
  <c r="AD85" i="51" s="1"/>
  <c r="AC86" i="51"/>
  <c r="AD86" i="51" s="1"/>
  <c r="AC82" i="51"/>
  <c r="AD82" i="51" s="1"/>
  <c r="AC52" i="51"/>
  <c r="AD52" i="51" s="1"/>
  <c r="AC26" i="51"/>
  <c r="AD26" i="51" s="1"/>
  <c r="AC3" i="51"/>
  <c r="AD3" i="51" s="1"/>
  <c r="AC110" i="51"/>
  <c r="AD110" i="51" s="1"/>
  <c r="AC10" i="51"/>
  <c r="AD10" i="51" s="1"/>
  <c r="AC112" i="51"/>
  <c r="AD112" i="51" s="1"/>
  <c r="AC18" i="51"/>
  <c r="AD18" i="51" s="1"/>
  <c r="AC13" i="51"/>
  <c r="AD13" i="51" s="1"/>
  <c r="AC93" i="51"/>
  <c r="AD93" i="51" s="1"/>
  <c r="AC88" i="51"/>
  <c r="AD88" i="51" s="1"/>
  <c r="AC103" i="51"/>
  <c r="AD103" i="51" s="1"/>
  <c r="AC66" i="51"/>
  <c r="AD66" i="51" s="1"/>
  <c r="AC11" i="51"/>
  <c r="AD11" i="51" s="1"/>
  <c r="AC75" i="51"/>
  <c r="AD75" i="51" s="1"/>
  <c r="AC12" i="51"/>
  <c r="AD12" i="51" s="1"/>
  <c r="AC44" i="51"/>
  <c r="AD44" i="51" s="1"/>
  <c r="AC76" i="51"/>
  <c r="AD76" i="51" s="1"/>
  <c r="AC108" i="51"/>
  <c r="AD108" i="51" s="1"/>
  <c r="AC14" i="51"/>
  <c r="AD14" i="51" s="1"/>
  <c r="AC91" i="51"/>
  <c r="AD91" i="51" s="1"/>
  <c r="AC61" i="51"/>
  <c r="AD61" i="51" s="1"/>
  <c r="AC109" i="51"/>
  <c r="AD109" i="51" s="1"/>
  <c r="AC71" i="51"/>
  <c r="AD71" i="51" s="1"/>
  <c r="AC8" i="51"/>
  <c r="AD8" i="51" s="1"/>
  <c r="AC72" i="51"/>
  <c r="AD72" i="51" s="1"/>
  <c r="AC17" i="51"/>
  <c r="AD17" i="51" s="1"/>
  <c r="AC81" i="51"/>
  <c r="AD81" i="51" s="1"/>
  <c r="AM154" i="49"/>
  <c r="AN154" i="49"/>
  <c r="AM155" i="49" l="1"/>
  <c r="AN155" i="49"/>
  <c r="AM156" i="49" l="1"/>
  <c r="AN156" i="49"/>
  <c r="AM157" i="49" l="1"/>
  <c r="AN157" i="49"/>
  <c r="AM158" i="49" l="1"/>
  <c r="AN158" i="49"/>
  <c r="AM159" i="49" l="1"/>
  <c r="AN159" i="49"/>
  <c r="AM160" i="49" l="1"/>
  <c r="AN160" i="49"/>
  <c r="AM161" i="49" l="1"/>
  <c r="AN161" i="49"/>
  <c r="AM162" i="49" l="1"/>
  <c r="AN162" i="49"/>
  <c r="AM163" i="49" l="1"/>
  <c r="AN163" i="49"/>
  <c r="AM164" i="49" l="1"/>
  <c r="AN164" i="49"/>
  <c r="AM165" i="49" l="1"/>
  <c r="AN165" i="49"/>
  <c r="AM166" i="49" l="1"/>
  <c r="AN166" i="49"/>
  <c r="AM167" i="49" l="1"/>
  <c r="AN167" i="49"/>
  <c r="AM168" i="49" l="1"/>
  <c r="AN168" i="49"/>
  <c r="AM169" i="49" l="1"/>
  <c r="AN169" i="49"/>
  <c r="AM170" i="49" l="1"/>
  <c r="AN170" i="49"/>
  <c r="AM171" i="49" l="1"/>
  <c r="AN171" i="49"/>
  <c r="AM172" i="49" l="1"/>
  <c r="AN172" i="49"/>
  <c r="AM173" i="49" l="1"/>
  <c r="AN173" i="49"/>
  <c r="AM174" i="49" l="1"/>
  <c r="AN174" i="49"/>
  <c r="AM175" i="49" l="1"/>
  <c r="AN175" i="49"/>
  <c r="AM176" i="49" l="1"/>
  <c r="AN176" i="49"/>
  <c r="AM177" i="49" l="1"/>
  <c r="AN177" i="49"/>
  <c r="AM178" i="49" l="1"/>
  <c r="AN178" i="49"/>
  <c r="AM179" i="49" l="1"/>
  <c r="AN179" i="49"/>
  <c r="AM180" i="49" l="1"/>
  <c r="AN180" i="49"/>
  <c r="AM181" i="49" l="1"/>
  <c r="AN181" i="49"/>
  <c r="AM182" i="49" l="1"/>
  <c r="AN182" i="49"/>
  <c r="AM183" i="49" l="1"/>
  <c r="AN183" i="49"/>
  <c r="AM184" i="49" l="1"/>
  <c r="AN184" i="49"/>
  <c r="AM185" i="49" l="1"/>
  <c r="AN185" i="49"/>
  <c r="AM186" i="49" l="1"/>
  <c r="AN186" i="49"/>
  <c r="AM187" i="49" l="1"/>
  <c r="AN187" i="49"/>
  <c r="AM188" i="49" l="1"/>
  <c r="AN188" i="49"/>
  <c r="AM189" i="49" l="1"/>
  <c r="AN189" i="49"/>
  <c r="AM190" i="49" l="1"/>
  <c r="AN190" i="49"/>
  <c r="AM191" i="49" l="1"/>
  <c r="AN191" i="49"/>
  <c r="AM192" i="49" l="1"/>
  <c r="AN192" i="49"/>
  <c r="AM193" i="49" l="1"/>
  <c r="AN193" i="49"/>
  <c r="AM194" i="49" l="1"/>
  <c r="AN194" i="49"/>
  <c r="AM195" i="49" l="1"/>
  <c r="AN195" i="49"/>
  <c r="AM196" i="49" l="1"/>
  <c r="AN196" i="49"/>
  <c r="AM197" i="49" l="1"/>
  <c r="AN197" i="49"/>
  <c r="AM198" i="49" l="1"/>
  <c r="AN198" i="49"/>
  <c r="AM199" i="49" l="1"/>
  <c r="AN199" i="49"/>
  <c r="AM200" i="49" l="1"/>
  <c r="AN200" i="49"/>
  <c r="AM201" i="49" l="1"/>
  <c r="AN201" i="49"/>
  <c r="AM202" i="49" l="1"/>
  <c r="AN202" i="49"/>
  <c r="AM203" i="49" l="1"/>
  <c r="AN203" i="49"/>
  <c r="AM204" i="49" l="1"/>
  <c r="AN204" i="49"/>
  <c r="AM205" i="49" l="1"/>
  <c r="AN205" i="49"/>
  <c r="AM206" i="49" l="1"/>
  <c r="AN206" i="49"/>
  <c r="AM207" i="49" l="1"/>
  <c r="AN207" i="49"/>
  <c r="AM208" i="49" l="1"/>
  <c r="AN208" i="49"/>
  <c r="AM209" i="49" l="1"/>
  <c r="AN209" i="49"/>
  <c r="AM210" i="49" l="1"/>
  <c r="AN210" i="49"/>
  <c r="AM211" i="49" l="1"/>
  <c r="AN211" i="49"/>
  <c r="AM212" i="49" l="1"/>
  <c r="AN212" i="49"/>
  <c r="AM213" i="49" l="1"/>
  <c r="AN213" i="49"/>
  <c r="AM214" i="49" l="1"/>
  <c r="AN214" i="49"/>
  <c r="AM215" i="49" l="1"/>
  <c r="AN215" i="49"/>
  <c r="AM216" i="49" l="1"/>
  <c r="AN216" i="49"/>
  <c r="AM217" i="49" l="1"/>
  <c r="AN217" i="49"/>
  <c r="AM218" i="49" l="1"/>
  <c r="AN218" i="49"/>
  <c r="AM219" i="49" l="1"/>
  <c r="AN219" i="49"/>
  <c r="AM220" i="49" l="1"/>
  <c r="AN220" i="49"/>
  <c r="AM221" i="49" l="1"/>
  <c r="AN221" i="49"/>
  <c r="AM222" i="49" l="1"/>
  <c r="AN222" i="49"/>
  <c r="AM223" i="49" l="1"/>
  <c r="AN223" i="49"/>
  <c r="AM224" i="49" l="1"/>
  <c r="AN224" i="49"/>
  <c r="AM225" i="49" l="1"/>
  <c r="AN225" i="49"/>
  <c r="AM226" i="49" l="1"/>
  <c r="AN226" i="49"/>
  <c r="AM227" i="49" l="1"/>
  <c r="AN227" i="49"/>
  <c r="AM228" i="49" l="1"/>
  <c r="AN228" i="49"/>
  <c r="AM229" i="49" l="1"/>
  <c r="AN229" i="49"/>
  <c r="AM230" i="49" l="1"/>
  <c r="AN230" i="49"/>
  <c r="AM231" i="49" l="1"/>
  <c r="AN231" i="49"/>
  <c r="AM232" i="49" l="1"/>
  <c r="AN232" i="49"/>
  <c r="AM233" i="49" l="1"/>
  <c r="AN233" i="49"/>
  <c r="AM234" i="49" l="1"/>
  <c r="AN234" i="49"/>
  <c r="AM235" i="49" l="1"/>
  <c r="AN235" i="49"/>
  <c r="AM236" i="49" l="1"/>
  <c r="AN236" i="49"/>
  <c r="AM237" i="49" l="1"/>
  <c r="AN237" i="49"/>
  <c r="AM238" i="49" l="1"/>
  <c r="AN238" i="49"/>
  <c r="AM239" i="49" l="1"/>
  <c r="AN239" i="49"/>
  <c r="AM240" i="49" l="1"/>
  <c r="AN240" i="49"/>
  <c r="AM241" i="49" l="1"/>
  <c r="AN241" i="49"/>
  <c r="AM242" i="49" l="1"/>
  <c r="AN242" i="49"/>
  <c r="AM243" i="49" l="1"/>
  <c r="AN243" i="49"/>
  <c r="AM244" i="49" l="1"/>
  <c r="AN244" i="49"/>
  <c r="AM245" i="49" l="1"/>
  <c r="AN245" i="49"/>
  <c r="AM246" i="49" l="1"/>
  <c r="AN246" i="49"/>
  <c r="AM247" i="49" l="1"/>
  <c r="AN247" i="49"/>
  <c r="AM248" i="49" l="1"/>
  <c r="AN248" i="49"/>
  <c r="AM249" i="49" l="1"/>
  <c r="AN249" i="49"/>
  <c r="AM250" i="49" l="1"/>
  <c r="AN250" i="49"/>
  <c r="AM251" i="49" l="1"/>
  <c r="AN251" i="49"/>
  <c r="AM252" i="49" l="1"/>
  <c r="AM253" i="49"/>
  <c r="AN252" i="49"/>
  <c r="AN253" i="49"/>
  <c r="AM254" i="49" l="1"/>
  <c r="AN254" i="49"/>
  <c r="AM255" i="49" l="1"/>
  <c r="AN255" i="49"/>
  <c r="AO117" i="49" l="1"/>
  <c r="BM117" i="49" s="1"/>
  <c r="S118" i="51" s="1"/>
  <c r="AO23" i="49"/>
  <c r="BM23" i="49" s="1"/>
  <c r="AO27" i="49"/>
  <c r="BM27" i="49" s="1"/>
  <c r="AO94" i="49"/>
  <c r="BM94" i="49" s="1"/>
  <c r="AO57" i="49"/>
  <c r="BM57" i="49" s="1"/>
  <c r="AO26" i="49"/>
  <c r="BM26" i="49" s="1"/>
  <c r="AO115" i="49"/>
  <c r="BM115" i="49" s="1"/>
  <c r="AO60" i="49"/>
  <c r="BM60" i="49" s="1"/>
  <c r="AO31" i="49"/>
  <c r="BM31" i="49" s="1"/>
  <c r="AO69" i="49"/>
  <c r="BM69" i="49" s="1"/>
  <c r="AO40" i="49"/>
  <c r="BM40" i="49" s="1"/>
  <c r="AO7" i="49"/>
  <c r="BM7" i="49" s="1"/>
  <c r="AO63" i="49"/>
  <c r="BM63" i="49" s="1"/>
  <c r="AO67" i="49"/>
  <c r="BM67" i="49" s="1"/>
  <c r="AO13" i="49"/>
  <c r="BM13" i="49" s="1"/>
  <c r="AO77" i="49"/>
  <c r="BM77" i="49" s="1"/>
  <c r="AO66" i="49"/>
  <c r="BM66" i="49" s="1"/>
  <c r="AO119" i="49"/>
  <c r="BM119" i="49" s="1"/>
  <c r="S120" i="51" s="1"/>
  <c r="AO64" i="49"/>
  <c r="BM64" i="49" s="1"/>
  <c r="AO54" i="49"/>
  <c r="BM54" i="49" s="1"/>
  <c r="AO70" i="49"/>
  <c r="BM70" i="49" s="1"/>
  <c r="AO17" i="49"/>
  <c r="BM17" i="49" s="1"/>
  <c r="AO81" i="49"/>
  <c r="BM81" i="49" s="1"/>
  <c r="AO74" i="49"/>
  <c r="BM74" i="49" s="1"/>
  <c r="AO20" i="49"/>
  <c r="BM20" i="49" s="1"/>
  <c r="AO84" i="49"/>
  <c r="BM84" i="49" s="1"/>
  <c r="AO22" i="49"/>
  <c r="BM22" i="49" s="1"/>
  <c r="AO51" i="49"/>
  <c r="BM51" i="49" s="1"/>
  <c r="AO53" i="49"/>
  <c r="BM53" i="49" s="1"/>
  <c r="AO6" i="49"/>
  <c r="BM6" i="49" s="1"/>
  <c r="AO41" i="49"/>
  <c r="BM41" i="49" s="1"/>
  <c r="AO99" i="49"/>
  <c r="BM99" i="49" s="1"/>
  <c r="AO108" i="49"/>
  <c r="BM108" i="49" s="1"/>
  <c r="AO111" i="49"/>
  <c r="BM111" i="49" s="1"/>
  <c r="AO35" i="49"/>
  <c r="BM35" i="49" s="1"/>
  <c r="AO61" i="49"/>
  <c r="BM61" i="49" s="1"/>
  <c r="AO48" i="49"/>
  <c r="BM48" i="49" s="1"/>
  <c r="AO79" i="49"/>
  <c r="BM79" i="49" s="1"/>
  <c r="AO86" i="49"/>
  <c r="BM86" i="49" s="1"/>
  <c r="AO91" i="49"/>
  <c r="BM91" i="49" s="1"/>
  <c r="AO9" i="49"/>
  <c r="BM9" i="49" s="1"/>
  <c r="AO89" i="49"/>
  <c r="BM89" i="49" s="1"/>
  <c r="AO58" i="49"/>
  <c r="BM58" i="49" s="1"/>
  <c r="AO28" i="49"/>
  <c r="BM28" i="49" s="1"/>
  <c r="AO76" i="49"/>
  <c r="BM76" i="49" s="1"/>
  <c r="AO5" i="49"/>
  <c r="BM5" i="49" s="1"/>
  <c r="AO18" i="49"/>
  <c r="BM18" i="49" s="1"/>
  <c r="AO104" i="49"/>
  <c r="BM104" i="49" s="1"/>
  <c r="AO55" i="49"/>
  <c r="BM55" i="49" s="1"/>
  <c r="AO38" i="49"/>
  <c r="BM38" i="49" s="1"/>
  <c r="AO46" i="49"/>
  <c r="BM46" i="49" s="1"/>
  <c r="AO29" i="49"/>
  <c r="BM29" i="49" s="1"/>
  <c r="AO2" i="49"/>
  <c r="BM2" i="49" s="1"/>
  <c r="AO98" i="49"/>
  <c r="BM98" i="49" s="1"/>
  <c r="AO16" i="49"/>
  <c r="BM16" i="49" s="1"/>
  <c r="AO96" i="49"/>
  <c r="BM96" i="49" s="1"/>
  <c r="AO87" i="49"/>
  <c r="BM87" i="49" s="1"/>
  <c r="AO33" i="49"/>
  <c r="BM33" i="49" s="1"/>
  <c r="AO106" i="49"/>
  <c r="BM106" i="49" s="1"/>
  <c r="AO100" i="49"/>
  <c r="BM100" i="49" s="1"/>
  <c r="AO14" i="49"/>
  <c r="BM14" i="49" s="1"/>
  <c r="AO30" i="49"/>
  <c r="BM30" i="49" s="1"/>
  <c r="AO113" i="49"/>
  <c r="BM113" i="49" s="1"/>
  <c r="AO44" i="49"/>
  <c r="BM44" i="49" s="1"/>
  <c r="AO37" i="49"/>
  <c r="BM37" i="49" s="1"/>
  <c r="AO71" i="49"/>
  <c r="BM71" i="49" s="1"/>
  <c r="AO118" i="49"/>
  <c r="BM118" i="49" s="1"/>
  <c r="S119" i="51" s="1"/>
  <c r="AO110" i="49"/>
  <c r="BM110" i="49" s="1"/>
  <c r="AO34" i="49"/>
  <c r="BM34" i="49" s="1"/>
  <c r="AO112" i="49"/>
  <c r="BM112" i="49" s="1"/>
  <c r="AO75" i="49"/>
  <c r="BM75" i="49" s="1"/>
  <c r="AO1" i="49"/>
  <c r="BM1" i="49" s="1"/>
  <c r="AO42" i="49"/>
  <c r="BM42" i="49" s="1"/>
  <c r="AO68" i="49"/>
  <c r="BM68" i="49" s="1"/>
  <c r="AO19" i="49"/>
  <c r="BM19" i="49" s="1"/>
  <c r="AO50" i="49"/>
  <c r="BM50" i="49" s="1"/>
  <c r="AO24" i="49"/>
  <c r="BM24" i="49" s="1"/>
  <c r="AO47" i="49"/>
  <c r="BM47" i="49" s="1"/>
  <c r="AO59" i="49"/>
  <c r="BM59" i="49" s="1"/>
  <c r="AO25" i="49"/>
  <c r="BM25" i="49" s="1"/>
  <c r="AO73" i="49"/>
  <c r="BM73" i="49" s="1"/>
  <c r="AO90" i="49"/>
  <c r="BM90" i="49" s="1"/>
  <c r="AO12" i="49"/>
  <c r="BM12" i="49" s="1"/>
  <c r="AO92" i="49"/>
  <c r="BM92" i="49" s="1"/>
  <c r="AO83" i="49"/>
  <c r="BM83" i="49" s="1"/>
  <c r="AO82" i="49"/>
  <c r="BM82" i="49" s="1"/>
  <c r="AO72" i="49"/>
  <c r="BM72" i="49" s="1"/>
  <c r="AO3" i="49"/>
  <c r="BM3" i="49" s="1"/>
  <c r="AO101" i="49"/>
  <c r="BM101" i="49" s="1"/>
  <c r="AO45" i="49"/>
  <c r="BM45" i="49" s="1"/>
  <c r="AO93" i="49"/>
  <c r="BM93" i="49" s="1"/>
  <c r="AO103" i="49"/>
  <c r="BM103" i="49" s="1"/>
  <c r="AO32" i="49"/>
  <c r="BM32" i="49" s="1"/>
  <c r="AO80" i="49"/>
  <c r="BM80" i="49" s="1"/>
  <c r="AO15" i="49"/>
  <c r="BM15" i="49" s="1"/>
  <c r="AO11" i="49"/>
  <c r="BM11" i="49" s="1"/>
  <c r="AO49" i="49"/>
  <c r="BM49" i="49" s="1"/>
  <c r="AO97" i="49"/>
  <c r="BM97" i="49" s="1"/>
  <c r="AO107" i="49"/>
  <c r="BM107" i="49" s="1"/>
  <c r="AO36" i="49"/>
  <c r="BM36" i="49" s="1"/>
  <c r="AO109" i="49"/>
  <c r="BM109" i="49" s="1"/>
  <c r="AO95" i="49"/>
  <c r="BM95" i="49" s="1"/>
  <c r="AO78" i="49"/>
  <c r="BM78" i="49" s="1"/>
  <c r="AO85" i="49"/>
  <c r="BM85" i="49" s="1"/>
  <c r="AO8" i="49"/>
  <c r="BM8" i="49" s="1"/>
  <c r="AO43" i="49"/>
  <c r="BM43" i="49" s="1"/>
  <c r="AO62" i="49"/>
  <c r="BM62" i="49" s="1"/>
  <c r="AO65" i="49"/>
  <c r="BM65" i="49" s="1"/>
  <c r="AO10" i="49"/>
  <c r="BM10" i="49" s="1"/>
  <c r="AO4" i="49"/>
  <c r="BM4" i="49" s="1"/>
  <c r="AO52" i="49"/>
  <c r="BM52" i="49" s="1"/>
  <c r="AO39" i="49"/>
  <c r="BM39" i="49" s="1"/>
  <c r="AO102" i="49"/>
  <c r="BM102" i="49" s="1"/>
  <c r="AO21" i="49"/>
  <c r="BM21" i="49" s="1"/>
  <c r="AO105" i="49"/>
  <c r="BM105" i="49" s="1"/>
  <c r="AO114" i="49"/>
  <c r="BM114" i="49" s="1"/>
  <c r="AO56" i="49"/>
  <c r="BM56" i="49" s="1"/>
  <c r="AO88" i="49"/>
  <c r="BM88" i="49" s="1"/>
  <c r="AO116" i="49"/>
  <c r="BM116" i="49" s="1"/>
  <c r="BN88" i="49" l="1"/>
  <c r="T89" i="51" s="1"/>
  <c r="S89" i="51"/>
  <c r="BN21" i="49"/>
  <c r="T22" i="51" s="1"/>
  <c r="S22" i="51"/>
  <c r="BN43" i="49"/>
  <c r="T44" i="51" s="1"/>
  <c r="S44" i="51"/>
  <c r="BN97" i="49"/>
  <c r="T98" i="51" s="1"/>
  <c r="S98" i="51"/>
  <c r="BN45" i="49"/>
  <c r="T46" i="51" s="1"/>
  <c r="S46" i="51"/>
  <c r="BN90" i="49"/>
  <c r="T91" i="51" s="1"/>
  <c r="S91" i="51"/>
  <c r="BN68" i="49"/>
  <c r="T69" i="51" s="1"/>
  <c r="S69" i="51"/>
  <c r="BN71" i="49"/>
  <c r="T72" i="51" s="1"/>
  <c r="S72" i="51"/>
  <c r="BN33" i="49"/>
  <c r="T34" i="51" s="1"/>
  <c r="S34" i="51"/>
  <c r="BN38" i="49"/>
  <c r="T39" i="51" s="1"/>
  <c r="S39" i="51"/>
  <c r="BN89" i="49"/>
  <c r="T90" i="51" s="1"/>
  <c r="S90" i="51"/>
  <c r="BN79" i="49"/>
  <c r="T80" i="51" s="1"/>
  <c r="S80" i="51"/>
  <c r="BN6" i="49"/>
  <c r="T7" i="51" s="1"/>
  <c r="S7" i="51"/>
  <c r="BN17" i="49"/>
  <c r="T18" i="51" s="1"/>
  <c r="S18" i="51"/>
  <c r="BN67" i="49"/>
  <c r="T68" i="51" s="1"/>
  <c r="S68" i="51"/>
  <c r="BN69" i="49"/>
  <c r="T70" i="51" s="1"/>
  <c r="S70" i="51"/>
  <c r="BN27" i="49"/>
  <c r="T28" i="51" s="1"/>
  <c r="S28" i="51"/>
  <c r="BN102" i="49"/>
  <c r="T103" i="51" s="1"/>
  <c r="S103" i="51"/>
  <c r="BN8" i="49"/>
  <c r="T9" i="51" s="1"/>
  <c r="S9" i="51"/>
  <c r="BN32" i="49"/>
  <c r="T33" i="51" s="1"/>
  <c r="S33" i="51"/>
  <c r="BN83" i="49"/>
  <c r="T84" i="51" s="1"/>
  <c r="S84" i="51"/>
  <c r="BN24" i="49"/>
  <c r="T25" i="51" s="1"/>
  <c r="S25" i="51"/>
  <c r="BN34" i="49"/>
  <c r="T35" i="51" s="1"/>
  <c r="S35" i="51"/>
  <c r="BN14" i="49"/>
  <c r="T15" i="51" s="1"/>
  <c r="S15" i="51"/>
  <c r="BN2" i="49"/>
  <c r="T3" i="51" s="1"/>
  <c r="S3" i="51"/>
  <c r="BN9" i="49"/>
  <c r="T10" i="51" s="1"/>
  <c r="S10" i="51"/>
  <c r="BN48" i="49"/>
  <c r="T49" i="51" s="1"/>
  <c r="S49" i="51"/>
  <c r="BN53" i="49"/>
  <c r="T54" i="51" s="1"/>
  <c r="S54" i="51"/>
  <c r="BN70" i="49"/>
  <c r="T71" i="51" s="1"/>
  <c r="S71" i="51"/>
  <c r="BN63" i="49"/>
  <c r="T64" i="51" s="1"/>
  <c r="S64" i="51"/>
  <c r="BN23" i="49"/>
  <c r="T24" i="51" s="1"/>
  <c r="S24" i="51"/>
  <c r="BN39" i="49"/>
  <c r="T40" i="51" s="1"/>
  <c r="S40" i="51"/>
  <c r="BN116" i="49"/>
  <c r="T117" i="51" s="1"/>
  <c r="S117" i="51"/>
  <c r="BN105" i="49"/>
  <c r="T106" i="51" s="1"/>
  <c r="S106" i="51"/>
  <c r="BN52" i="49"/>
  <c r="T53" i="51" s="1"/>
  <c r="S53" i="51"/>
  <c r="BN62" i="49"/>
  <c r="T63" i="51" s="1"/>
  <c r="S63" i="51"/>
  <c r="BN78" i="49"/>
  <c r="T79" i="51" s="1"/>
  <c r="S79" i="51"/>
  <c r="BN107" i="49"/>
  <c r="T108" i="51" s="1"/>
  <c r="S108" i="51"/>
  <c r="BN15" i="49"/>
  <c r="T16" i="51" s="1"/>
  <c r="S16" i="51"/>
  <c r="BN93" i="49"/>
  <c r="T94" i="51" s="1"/>
  <c r="S94" i="51"/>
  <c r="BN72" i="49"/>
  <c r="T73" i="51" s="1"/>
  <c r="S73" i="51"/>
  <c r="BN12" i="49"/>
  <c r="T13" i="51" s="1"/>
  <c r="S13" i="51"/>
  <c r="BN59" i="49"/>
  <c r="T60" i="51" s="1"/>
  <c r="S60" i="51"/>
  <c r="BN19" i="49"/>
  <c r="T20" i="51" s="1"/>
  <c r="S20" i="51"/>
  <c r="BN75" i="49"/>
  <c r="T76" i="51" s="1"/>
  <c r="S76" i="51"/>
  <c r="BN113" i="49"/>
  <c r="T114" i="51" s="1"/>
  <c r="S114" i="51"/>
  <c r="BN106" i="49"/>
  <c r="T107" i="51" s="1"/>
  <c r="S107" i="51"/>
  <c r="BN16" i="49"/>
  <c r="T17" i="51" s="1"/>
  <c r="S17" i="51"/>
  <c r="BN46" i="49"/>
  <c r="T47" i="51" s="1"/>
  <c r="S47" i="51"/>
  <c r="BN18" i="49"/>
  <c r="T19" i="51" s="1"/>
  <c r="S19" i="51"/>
  <c r="BN58" i="49"/>
  <c r="T59" i="51" s="1"/>
  <c r="S59" i="51"/>
  <c r="BN86" i="49"/>
  <c r="T87" i="51" s="1"/>
  <c r="S87" i="51"/>
  <c r="BN35" i="49"/>
  <c r="T36" i="51" s="1"/>
  <c r="S36" i="51"/>
  <c r="BN41" i="49"/>
  <c r="T42" i="51" s="1"/>
  <c r="S42" i="51"/>
  <c r="BN22" i="49"/>
  <c r="T23" i="51" s="1"/>
  <c r="S23" i="51"/>
  <c r="BN81" i="49"/>
  <c r="T82" i="51" s="1"/>
  <c r="S82" i="51"/>
  <c r="BN64" i="49"/>
  <c r="T65" i="51" s="1"/>
  <c r="S65" i="51"/>
  <c r="BN13" i="49"/>
  <c r="T14" i="51" s="1"/>
  <c r="S14" i="51"/>
  <c r="BN40" i="49"/>
  <c r="T41" i="51" s="1"/>
  <c r="S41" i="51"/>
  <c r="BN115" i="49"/>
  <c r="T116" i="51" s="1"/>
  <c r="S116" i="51"/>
  <c r="BN4" i="49"/>
  <c r="T5" i="51" s="1"/>
  <c r="S5" i="51"/>
  <c r="BN95" i="49"/>
  <c r="T96" i="51" s="1"/>
  <c r="S96" i="51"/>
  <c r="BN80" i="49"/>
  <c r="T81" i="51" s="1"/>
  <c r="S81" i="51"/>
  <c r="BN82" i="49"/>
  <c r="T83" i="51" s="1"/>
  <c r="S83" i="51"/>
  <c r="BN47" i="49"/>
  <c r="T48" i="51" s="1"/>
  <c r="S48" i="51"/>
  <c r="BN112" i="49"/>
  <c r="T113" i="51" s="1"/>
  <c r="S113" i="51"/>
  <c r="BN30" i="49"/>
  <c r="T31" i="51" s="1"/>
  <c r="S31" i="51"/>
  <c r="BN98" i="49"/>
  <c r="T99" i="51" s="1"/>
  <c r="S99" i="51"/>
  <c r="BN5" i="49"/>
  <c r="T6" i="51" s="1"/>
  <c r="S6" i="51"/>
  <c r="BN111" i="49"/>
  <c r="T112" i="51" s="1"/>
  <c r="S112" i="51"/>
  <c r="BN84" i="49"/>
  <c r="T85" i="51" s="1"/>
  <c r="S85" i="51"/>
  <c r="BN26" i="49"/>
  <c r="T27" i="51" s="1"/>
  <c r="S27" i="51"/>
  <c r="BN56" i="49"/>
  <c r="T57" i="51" s="1"/>
  <c r="S57" i="51"/>
  <c r="BN10" i="49"/>
  <c r="T11" i="51" s="1"/>
  <c r="S11" i="51"/>
  <c r="BN109" i="49"/>
  <c r="T110" i="51" s="1"/>
  <c r="S110" i="51"/>
  <c r="BN49" i="49"/>
  <c r="T50" i="51" s="1"/>
  <c r="S50" i="51"/>
  <c r="BN101" i="49"/>
  <c r="T102" i="51" s="1"/>
  <c r="S102" i="51"/>
  <c r="BN73" i="49"/>
  <c r="T74" i="51" s="1"/>
  <c r="S74" i="51"/>
  <c r="BN42" i="49"/>
  <c r="T43" i="51" s="1"/>
  <c r="S43" i="51"/>
  <c r="BN37" i="49"/>
  <c r="T38" i="51" s="1"/>
  <c r="S38" i="51"/>
  <c r="BN87" i="49"/>
  <c r="T88" i="51" s="1"/>
  <c r="S88" i="51"/>
  <c r="BN55" i="49"/>
  <c r="T56" i="51" s="1"/>
  <c r="S56" i="51"/>
  <c r="BN76" i="49"/>
  <c r="T77" i="51" s="1"/>
  <c r="S77" i="51"/>
  <c r="BN108" i="49"/>
  <c r="T109" i="51" s="1"/>
  <c r="S109" i="51"/>
  <c r="BN20" i="49"/>
  <c r="T21" i="51" s="1"/>
  <c r="S21" i="51"/>
  <c r="BN66" i="49"/>
  <c r="T67" i="51" s="1"/>
  <c r="S67" i="51"/>
  <c r="BN31" i="49"/>
  <c r="T32" i="51" s="1"/>
  <c r="S32" i="51"/>
  <c r="BN57" i="49"/>
  <c r="T58" i="51" s="1"/>
  <c r="S58" i="51"/>
  <c r="BN114" i="49"/>
  <c r="T115" i="51" s="1"/>
  <c r="S115" i="51"/>
  <c r="BN65" i="49"/>
  <c r="T66" i="51" s="1"/>
  <c r="S66" i="51"/>
  <c r="BN85" i="49"/>
  <c r="T86" i="51" s="1"/>
  <c r="S86" i="51"/>
  <c r="BN36" i="49"/>
  <c r="T37" i="51" s="1"/>
  <c r="S37" i="51"/>
  <c r="BN11" i="49"/>
  <c r="T12" i="51" s="1"/>
  <c r="S12" i="51"/>
  <c r="BN103" i="49"/>
  <c r="T104" i="51" s="1"/>
  <c r="S104" i="51"/>
  <c r="BN3" i="49"/>
  <c r="T4" i="51" s="1"/>
  <c r="S4" i="51"/>
  <c r="BN92" i="49"/>
  <c r="T93" i="51" s="1"/>
  <c r="S93" i="51"/>
  <c r="BN25" i="49"/>
  <c r="T26" i="51" s="1"/>
  <c r="S26" i="51"/>
  <c r="BN50" i="49"/>
  <c r="T51" i="51" s="1"/>
  <c r="S51" i="51"/>
  <c r="BN1" i="49"/>
  <c r="T2" i="51" s="1"/>
  <c r="S2" i="51"/>
  <c r="BN110" i="49"/>
  <c r="T111" i="51" s="1"/>
  <c r="S111" i="51"/>
  <c r="BN44" i="49"/>
  <c r="T45" i="51" s="1"/>
  <c r="S45" i="51"/>
  <c r="BN100" i="49"/>
  <c r="T101" i="51" s="1"/>
  <c r="S101" i="51"/>
  <c r="BN96" i="49"/>
  <c r="T97" i="51" s="1"/>
  <c r="S97" i="51"/>
  <c r="BN29" i="49"/>
  <c r="T30" i="51" s="1"/>
  <c r="S30" i="51"/>
  <c r="BN104" i="49"/>
  <c r="T105" i="51" s="1"/>
  <c r="S105" i="51"/>
  <c r="BN28" i="49"/>
  <c r="T29" i="51" s="1"/>
  <c r="S29" i="51"/>
  <c r="BN91" i="49"/>
  <c r="T92" i="51" s="1"/>
  <c r="S92" i="51"/>
  <c r="BN61" i="49"/>
  <c r="T62" i="51" s="1"/>
  <c r="S62" i="51"/>
  <c r="BN99" i="49"/>
  <c r="T100" i="51" s="1"/>
  <c r="S100" i="51"/>
  <c r="BN51" i="49"/>
  <c r="T52" i="51" s="1"/>
  <c r="S52" i="51"/>
  <c r="BN74" i="49"/>
  <c r="T75" i="51" s="1"/>
  <c r="S75" i="51"/>
  <c r="BN54" i="49"/>
  <c r="T55" i="51" s="1"/>
  <c r="S55" i="51"/>
  <c r="BN77" i="49"/>
  <c r="T78" i="51" s="1"/>
  <c r="S78" i="51"/>
  <c r="BN7" i="49"/>
  <c r="T8" i="51" s="1"/>
  <c r="S8" i="51"/>
  <c r="BN60" i="49"/>
  <c r="T61" i="51" s="1"/>
  <c r="S61" i="51"/>
  <c r="BN94" i="49"/>
  <c r="T95" i="51" s="1"/>
  <c r="S95" i="51"/>
</calcChain>
</file>

<file path=xl/comments1.xml><?xml version="1.0" encoding="utf-8"?>
<comments xmlns="http://schemas.openxmlformats.org/spreadsheetml/2006/main">
  <authors>
    <author>Ganesh Palaniappan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</text>
    </comment>
    <comment ref="I4" authorId="0">
      <text>
        <r>
          <rPr>
            <sz val="8"/>
            <color indexed="81"/>
            <rFont val="Tahoma"/>
            <family val="2"/>
          </rPr>
          <t>This checkbox resolves a conflict between the R or C used in the R1C1 and A1 reference styles - tick this option to use the R1C1 reference style</t>
        </r>
      </text>
    </comment>
    <comment ref="D5" authorId="0">
      <text>
        <r>
          <rPr>
            <sz val="8"/>
            <color indexed="81"/>
            <rFont val="Tahoma"/>
            <family val="2"/>
          </rPr>
          <t>R - Row Titles
C - Column Titles
H - Request Headings
T - Transpose returned Data 
$ - Include currency
A - Annualise accounts (CAF only)
X - Data only
E - Display expression 1st series as title
N – Display expression title as title
K - hyperlink to metadata</t>
        </r>
      </text>
    </comment>
    <comment ref="E5" authorId="0">
      <text>
        <r>
          <rPr>
            <sz val="8"/>
            <color indexed="81"/>
            <rFont val="Tahoma"/>
            <family val="2"/>
          </rPr>
          <t>Insert any Datastream Series or list mnemonics (ie U:PMK) into this column.</t>
        </r>
      </text>
    </comment>
    <comment ref="F5" authorId="0">
      <text>
        <r>
          <rPr>
            <sz val="8"/>
            <color indexed="81"/>
            <rFont val="Tahoma"/>
            <family val="2"/>
          </rPr>
          <t>Expressions only available with Static requests
CAF accounts only for company accounts</t>
        </r>
      </text>
    </comment>
    <comment ref="G5" authorId="0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>
      <text>
        <r>
          <rPr>
            <sz val="8"/>
            <color indexed="81"/>
            <rFont val="Tahoma"/>
            <family val="2"/>
          </rPr>
          <t>Not applicable for Static requests</t>
        </r>
      </text>
    </comment>
    <comment ref="I5" author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>
      <text>
        <r>
          <rPr>
            <sz val="8"/>
            <color indexed="81"/>
            <rFont val="Tahoma"/>
            <family val="2"/>
          </rPr>
          <t>Use this column for user entered descriptions of request</t>
        </r>
      </text>
    </comment>
    <comment ref="E9" authorId="0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</text>
    </comment>
  </commentList>
</comments>
</file>

<file path=xl/comments2.xml><?xml version="1.0" encoding="utf-8"?>
<comments xmlns="http://schemas.openxmlformats.org/spreadsheetml/2006/main">
  <authors>
    <author>A9610251</author>
    <author>a9610251</author>
  </authors>
  <commentList>
    <comment ref="A1" authorId="0">
      <text>
        <r>
          <rPr>
            <sz val="8"/>
            <color indexed="81"/>
            <rFont val="Tahoma"/>
            <family val="2"/>
          </rPr>
          <t>Source: DATASTREAM
30.08.2013 14:45:43
Rows:128,Cols:1
Request Table</t>
        </r>
      </text>
    </comment>
    <comment ref="B1" authorId="0">
      <text>
        <r>
          <rPr>
            <sz val="8"/>
            <color indexed="81"/>
            <rFont val="Tahoma"/>
            <family val="2"/>
          </rPr>
          <t>Source: DATASTREAM
30.08.2013 14:45:46
Rows:128,Cols:1
Request Table</t>
        </r>
      </text>
    </comment>
    <comment ref="C1" authorId="1">
      <text>
        <r>
          <rPr>
            <sz val="9"/>
            <color indexed="81"/>
            <rFont val="Tahoma"/>
            <family val="2"/>
          </rPr>
          <t>Source: DATASTREAM
30.08.2013 14:45:50
Rows:128,Cols:1
Request Table</t>
        </r>
      </text>
    </comment>
    <comment ref="E1" authorId="0">
      <text>
        <r>
          <rPr>
            <sz val="8"/>
            <color indexed="81"/>
            <rFont val="Tahoma"/>
            <family val="2"/>
          </rPr>
          <t>Source: DATASTREAM
30.08.2013 14:45:42
Rows:128,Cols:1
Request Table</t>
        </r>
      </text>
    </comment>
    <comment ref="F1" authorId="0">
      <text>
        <r>
          <rPr>
            <sz val="8"/>
            <color indexed="81"/>
            <rFont val="Tahoma"/>
            <family val="2"/>
          </rPr>
          <t>Source: DATASTREAM
30.08.2013 14:45:46
Rows:128,Cols:1
Request Table</t>
        </r>
      </text>
    </comment>
    <comment ref="G1" authorId="0">
      <text>
        <r>
          <rPr>
            <sz val="8"/>
            <color indexed="81"/>
            <rFont val="Tahoma"/>
            <family val="2"/>
          </rPr>
          <t>Source: DATASTREAM
30.08.2013 14:45:50
Rows:128,Cols:1
Request Table</t>
        </r>
      </text>
    </comment>
    <comment ref="J1" authorId="0">
      <text>
        <r>
          <rPr>
            <sz val="8"/>
            <color indexed="81"/>
            <rFont val="Tahoma"/>
            <family val="2"/>
          </rPr>
          <t>Source: DATASTREAM
30.08.2013 14:45:42
Rows:128,Cols:1
Request Table</t>
        </r>
      </text>
    </comment>
    <comment ref="K1" authorId="0">
      <text>
        <r>
          <rPr>
            <sz val="8"/>
            <color indexed="81"/>
            <rFont val="Tahoma"/>
            <family val="2"/>
          </rPr>
          <t>Source: DATASTREAM
30.08.2013 14:45:47
Rows:128,Cols:1
Request Table</t>
        </r>
      </text>
    </comment>
    <comment ref="L1" authorId="0">
      <text>
        <r>
          <rPr>
            <sz val="8"/>
            <color indexed="81"/>
            <rFont val="Tahoma"/>
            <family val="2"/>
          </rPr>
          <t>Source: DATASTREAM
30.08.2013 14:45:51
Rows:128,Cols:1
Request Table</t>
        </r>
      </text>
    </comment>
    <comment ref="N1" authorId="0">
      <text>
        <r>
          <rPr>
            <sz val="8"/>
            <color indexed="81"/>
            <rFont val="Tahoma"/>
            <family val="2"/>
          </rPr>
          <t>Source: DATASTREAM
30.08.2013 14:45:43
Rows:128,Cols:1
Request Table</t>
        </r>
      </text>
    </comment>
    <comment ref="O1" authorId="0">
      <text>
        <r>
          <rPr>
            <sz val="8"/>
            <color indexed="81"/>
            <rFont val="Tahoma"/>
            <family val="2"/>
          </rPr>
          <t>Source: DATASTREAM
30.08.2013 14:45:47
Rows:128,Cols:1
Request Table</t>
        </r>
      </text>
    </comment>
    <comment ref="P1" authorId="0">
      <text>
        <r>
          <rPr>
            <sz val="8"/>
            <color indexed="81"/>
            <rFont val="Tahoma"/>
            <family val="2"/>
          </rPr>
          <t>Source: DATASTREAM
30.08.2013 14:45:51
Rows:128,Cols:1
Request Table</t>
        </r>
      </text>
    </comment>
    <comment ref="R1" authorId="0">
      <text>
        <r>
          <rPr>
            <sz val="8"/>
            <color indexed="81"/>
            <rFont val="Tahoma"/>
            <family val="2"/>
          </rPr>
          <t>Source: DATASTREAM
29.01.2013 17:06:29
Rows:121,Cols:1
Request Table</t>
        </r>
      </text>
    </comment>
    <comment ref="S1" authorId="0">
      <text>
        <r>
          <rPr>
            <sz val="8"/>
            <color indexed="81"/>
            <rFont val="Tahoma"/>
            <family val="2"/>
          </rPr>
          <t>Source: DATASTREAM
30.08.2013 14:45:48
Rows:128,Cols:1
Request Table</t>
        </r>
      </text>
    </comment>
    <comment ref="T1" authorId="0">
      <text>
        <r>
          <rPr>
            <sz val="8"/>
            <color indexed="81"/>
            <rFont val="Tahoma"/>
            <family val="2"/>
          </rPr>
          <t>Source: DATASTREAM
30.08.2013 14:45:52
Rows:128,Cols:1
Request Table</t>
        </r>
      </text>
    </comment>
    <comment ref="V1" authorId="0">
      <text>
        <r>
          <rPr>
            <sz val="8"/>
            <color indexed="81"/>
            <rFont val="Tahoma"/>
            <family val="2"/>
          </rPr>
          <t>Source: DATASTREAM
30.08.2013 14:45:44
Rows:128,Cols:1
Request Table</t>
        </r>
      </text>
    </comment>
    <comment ref="W1" authorId="0">
      <text>
        <r>
          <rPr>
            <sz val="8"/>
            <color indexed="81"/>
            <rFont val="Tahoma"/>
            <family val="2"/>
          </rPr>
          <t>Source: DATASTREAM
30.08.2013 14:45:48
Rows:128,Cols:1
Request Table</t>
        </r>
      </text>
    </comment>
    <comment ref="X1" authorId="0">
      <text>
        <r>
          <rPr>
            <sz val="8"/>
            <color indexed="81"/>
            <rFont val="Tahoma"/>
            <family val="2"/>
          </rPr>
          <t>Source: DATASTREAM
30.08.2013 14:45:53
Rows:128,Cols:1
Request Table</t>
        </r>
      </text>
    </comment>
    <comment ref="Z1" authorId="0">
      <text>
        <r>
          <rPr>
            <sz val="8"/>
            <color indexed="81"/>
            <rFont val="Tahoma"/>
            <family val="2"/>
          </rPr>
          <t>Source: DATASTREAM
30.08.2013 14:45:45
Rows:128,Cols:1
Request Table</t>
        </r>
      </text>
    </comment>
    <comment ref="AA1" authorId="0">
      <text>
        <r>
          <rPr>
            <sz val="8"/>
            <color indexed="81"/>
            <rFont val="Tahoma"/>
            <family val="2"/>
          </rPr>
          <t>Source: DATASTREAM
30.08.2013 14:45:49
Rows:128,Cols:1
Request Table</t>
        </r>
      </text>
    </comment>
    <comment ref="AB1" authorId="0">
      <text>
        <r>
          <rPr>
            <sz val="8"/>
            <color indexed="81"/>
            <rFont val="Tahoma"/>
            <family val="2"/>
          </rPr>
          <t>Source: DATASTREAM
30.08.2013 14:45:53
Rows:128,Cols:1
Request Table</t>
        </r>
      </text>
    </comment>
    <comment ref="AF1" authorId="0">
      <text>
        <r>
          <rPr>
            <sz val="8"/>
            <color indexed="81"/>
            <rFont val="Tahoma"/>
            <family val="2"/>
          </rPr>
          <t>Source: DATASTREAM
30.08.2013 14:45:55
Rows:128,Cols:2
Request Table</t>
        </r>
      </text>
    </comment>
    <comment ref="AM1" authorId="0">
      <text>
        <r>
          <rPr>
            <sz val="8"/>
            <color indexed="81"/>
            <rFont val="Tahoma"/>
            <family val="2"/>
          </rPr>
          <t>Source: DATASTREAM
30.08.2013 14:45:58
Rows:128,Cols:1
Request Table</t>
        </r>
      </text>
    </comment>
    <comment ref="AN1" authorId="0">
      <text>
        <r>
          <rPr>
            <sz val="8"/>
            <color indexed="81"/>
            <rFont val="Tahoma"/>
            <family val="2"/>
          </rPr>
          <t>Source: DATASTREAM
18.02.2013 11:09:06
Rows:122,Cols:1
Request Table</t>
        </r>
      </text>
    </comment>
    <comment ref="AP1" authorId="0">
      <text>
        <r>
          <rPr>
            <sz val="8"/>
            <color indexed="81"/>
            <rFont val="Tahoma"/>
            <family val="2"/>
          </rPr>
          <t>Source: DATASTREAM
30.08.2013 14:45:58
Rows:128,Cols:1
Request Table</t>
        </r>
      </text>
    </comment>
    <comment ref="AQ1" authorId="0">
      <text>
        <r>
          <rPr>
            <sz val="8"/>
            <color indexed="81"/>
            <rFont val="Tahoma"/>
            <family val="2"/>
          </rPr>
          <t>Source: DATASTREAM
18.02.2013 11:09:07
Rows:122,Cols:1
Request Table</t>
        </r>
      </text>
    </comment>
    <comment ref="AS1" authorId="0">
      <text>
        <r>
          <rPr>
            <sz val="8"/>
            <color indexed="81"/>
            <rFont val="Tahoma"/>
            <family val="2"/>
          </rPr>
          <t>Source: DATASTREAM
11/19/2012 4:04:57 PM
Rows:119,Cols:1
Request Table</t>
        </r>
      </text>
    </comment>
    <comment ref="AT1" authorId="0">
      <text>
        <r>
          <rPr>
            <sz val="8"/>
            <color indexed="81"/>
            <rFont val="Tahoma"/>
            <family val="2"/>
          </rPr>
          <t>Source: DATASTREAM
29.01.2013 17:06:44
Rows:121,Cols:1
Request Table</t>
        </r>
      </text>
    </comment>
    <comment ref="AV1" authorId="0">
      <text>
        <r>
          <rPr>
            <sz val="8"/>
            <color indexed="81"/>
            <rFont val="Tahoma"/>
            <family val="2"/>
          </rPr>
          <t>Source: DATASTREAM
30.08.2013 14:45:54
Rows:128,Cols:1
Request Table</t>
        </r>
      </text>
    </comment>
    <comment ref="AJ140" authorId="0">
      <text>
        <r>
          <rPr>
            <sz val="8"/>
            <color indexed="81"/>
            <rFont val="Tahoma"/>
            <family val="2"/>
          </rPr>
          <t>Source: DATASTREAM
30.08.2013 14:45:57
Rows:43,Cols:2
Request Table</t>
        </r>
      </text>
    </comment>
  </commentList>
</comments>
</file>

<file path=xl/comments3.xml><?xml version="1.0" encoding="utf-8"?>
<comments xmlns="http://schemas.openxmlformats.org/spreadsheetml/2006/main">
  <authors>
    <author>Halvorsen, Jørn Inge</author>
  </authors>
  <commentList>
    <comment ref="A1" authorId="0">
      <text>
        <r>
          <rPr>
            <sz val="9"/>
            <color indexed="81"/>
            <rFont val="Tahoma"/>
            <family val="2"/>
          </rPr>
          <t>Source: DATASTREAM
30.08.2013 14:46:00
Rows:224,Cols:2
Request Table</t>
        </r>
      </text>
    </comment>
    <comment ref="F1" authorId="0">
      <text>
        <r>
          <rPr>
            <sz val="9"/>
            <color indexed="81"/>
            <rFont val="Tahoma"/>
            <family val="2"/>
          </rPr>
          <t>Source: DATASTREAM
30.08.2013 14:46:01
Rows:224,Cols:2
Request Table</t>
        </r>
      </text>
    </comment>
    <comment ref="J1" authorId="0">
      <text>
        <r>
          <rPr>
            <sz val="9"/>
            <color indexed="81"/>
            <rFont val="Tahoma"/>
            <family val="2"/>
          </rPr>
          <t>Source: DATASTREAM
30.08.2013 14:46:01
Rows:224,Cols:2
Request Table</t>
        </r>
      </text>
    </comment>
    <comment ref="O1" authorId="0">
      <text>
        <r>
          <rPr>
            <sz val="9"/>
            <color indexed="81"/>
            <rFont val="Tahoma"/>
            <family val="2"/>
          </rPr>
          <t>Source: DATASTREAM
30.08.2013 14:46:02
Rows:224,Cols:2
Request Table</t>
        </r>
      </text>
    </comment>
    <comment ref="Q1" authorId="0">
      <text>
        <r>
          <rPr>
            <sz val="9"/>
            <color indexed="81"/>
            <rFont val="Tahoma"/>
            <family val="2"/>
          </rPr>
          <t>Source: DATASTREAM
30.08.2013 14:46:03
Rows:224,Cols:2
Request Table</t>
        </r>
      </text>
    </comment>
    <comment ref="AA1" authorId="0">
      <text>
        <r>
          <rPr>
            <sz val="9"/>
            <color indexed="81"/>
            <rFont val="Tahoma"/>
            <family val="2"/>
          </rPr>
          <t>Source: DATASTREAM
30.08.2013 14:46:04
Rows:224,Cols:2
Request Table</t>
        </r>
      </text>
    </comment>
  </commentList>
</comments>
</file>

<file path=xl/comments4.xml><?xml version="1.0" encoding="utf-8"?>
<comments xmlns="http://schemas.openxmlformats.org/spreadsheetml/2006/main">
  <authors>
    <author>Halvorsen, Jørn Inge</author>
  </authors>
  <commentList>
    <comment ref="A1" authorId="0">
      <text>
        <r>
          <rPr>
            <sz val="9"/>
            <color indexed="81"/>
            <rFont val="Tahoma"/>
            <family val="2"/>
          </rPr>
          <t>Source: DATASTREAM
30.08.2013 14:46:05
Rows:11,Cols:2
Request Table</t>
        </r>
      </text>
    </comment>
    <comment ref="F1" authorId="0">
      <text>
        <r>
          <rPr>
            <sz val="9"/>
            <color indexed="81"/>
            <rFont val="Tahoma"/>
            <family val="2"/>
          </rPr>
          <t>Source: DATASTREAM
30.08.2013 14:46:05
Rows:11,Cols:2
Request Table</t>
        </r>
      </text>
    </comment>
    <comment ref="J1" authorId="0">
      <text>
        <r>
          <rPr>
            <sz val="9"/>
            <color indexed="81"/>
            <rFont val="Tahoma"/>
            <family val="2"/>
          </rPr>
          <t>Source: DATASTREAM
30.08.2013 14:46:06
Rows:11,Cols:2
Request Table</t>
        </r>
      </text>
    </comment>
    <comment ref="O1" authorId="0">
      <text>
        <r>
          <rPr>
            <sz val="9"/>
            <color indexed="81"/>
            <rFont val="Tahoma"/>
            <family val="2"/>
          </rPr>
          <t>Source: DATASTREAM
30.08.2013 14:46:06
Rows:11,Cols:2
Request Table</t>
        </r>
      </text>
    </comment>
    <comment ref="Q1" authorId="0">
      <text>
        <r>
          <rPr>
            <sz val="9"/>
            <color indexed="81"/>
            <rFont val="Tahoma"/>
            <family val="2"/>
          </rPr>
          <t>Source: DATASTREAM
30.08.2013 14:46:07
Rows:11,Cols:2
Request Table</t>
        </r>
      </text>
    </comment>
  </commentList>
</comments>
</file>

<file path=xl/comments5.xml><?xml version="1.0" encoding="utf-8"?>
<comments xmlns="http://schemas.openxmlformats.org/spreadsheetml/2006/main">
  <authors>
    <author>A9610251</author>
  </authors>
  <commentList>
    <comment ref="A2" authorId="0">
      <text>
        <r>
          <rPr>
            <sz val="8"/>
            <color indexed="81"/>
            <rFont val="Tahoma"/>
            <family val="2"/>
          </rPr>
          <t>Source: DATASTREAM
18.02.2013 14:16:31
Rows:122,Cols:2
Request Table</t>
        </r>
      </text>
    </comment>
  </commentList>
</comments>
</file>

<file path=xl/comments6.xml><?xml version="1.0" encoding="utf-8"?>
<comments xmlns="http://schemas.openxmlformats.org/spreadsheetml/2006/main">
  <authors>
    <author>Halvorsen, Jørn Inge</author>
    <author>A9610251</author>
  </authors>
  <commentList>
    <comment ref="B1" authorId="0">
      <text>
        <r>
          <rPr>
            <sz val="9"/>
            <color indexed="81"/>
            <rFont val="Tahoma"/>
            <family val="2"/>
          </rPr>
          <t>Source: DATASTREAM
29.01.2013 18:50:56
Rows:11,Cols:1
Request Table</t>
        </r>
      </text>
    </comment>
    <comment ref="A2" authorId="1">
      <text>
        <r>
          <rPr>
            <sz val="8"/>
            <color indexed="81"/>
            <rFont val="Tahoma"/>
            <family val="2"/>
          </rPr>
          <t>Source: DATASTREAM
29.01.2013 18:50:56
Rows:11,Cols:2
Request Table</t>
        </r>
      </text>
    </comment>
    <comment ref="Q2" authorId="0">
      <text>
        <r>
          <rPr>
            <sz val="9"/>
            <color indexed="81"/>
            <rFont val="Tahoma"/>
            <family val="2"/>
          </rPr>
          <t>Source: DATASTREAM
29.01.2013 17:47:36
Rows:121,Cols:1
Request Table</t>
        </r>
      </text>
    </comment>
  </commentList>
</comments>
</file>

<file path=xl/comments7.xml><?xml version="1.0" encoding="utf-8"?>
<comments xmlns="http://schemas.openxmlformats.org/spreadsheetml/2006/main">
  <authors>
    <author>a9610251</author>
  </authors>
  <commentList>
    <comment ref="D2" authorId="0">
      <text>
        <r>
          <rPr>
            <sz val="9"/>
            <color indexed="81"/>
            <rFont val="Tahoma"/>
            <family val="2"/>
          </rPr>
          <t>Source: DATASTREAM
30.08.2013 14:45:50
Rows:128,Cols:1
Request Table</t>
        </r>
      </text>
    </comment>
  </commentList>
</comments>
</file>

<file path=xl/sharedStrings.xml><?xml version="1.0" encoding="utf-8"?>
<sst xmlns="http://schemas.openxmlformats.org/spreadsheetml/2006/main" count="522" uniqueCount="182">
  <si>
    <t/>
  </si>
  <si>
    <t xml:space="preserve">     Last Refreshed: </t>
  </si>
  <si>
    <t>Update</t>
  </si>
  <si>
    <t>Request Type</t>
  </si>
  <si>
    <t>Format</t>
  </si>
  <si>
    <t>Series Lookup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</si>
  <si>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</si>
  <si>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</si>
  <si>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</si>
  <si>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</si>
  <si>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</si>
  <si>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</si>
  <si>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</si>
  <si>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</si>
  <si>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</si>
  <si>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</si>
  <si>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</si>
  <si>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</si>
  <si>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</si>
  <si>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Screen/Calc</t>
  </si>
  <si>
    <t>Datatype Range</t>
  </si>
  <si>
    <t>Datatype/Expressions/CAF/Search Lookup</t>
  </si>
  <si>
    <t>REQUEST_TABLE</t>
  </si>
  <si>
    <t>YES</t>
  </si>
  <si>
    <t>IRI12EKSA</t>
  </si>
  <si>
    <t>ON</t>
  </si>
  <si>
    <t>NO</t>
  </si>
  <si>
    <t>FNI12EKSA</t>
  </si>
  <si>
    <t>TS</t>
  </si>
  <si>
    <t>OK</t>
  </si>
  <si>
    <t>NA</t>
  </si>
  <si>
    <t xml:space="preserve">Utenriksregnskapet for Hellas (motsatt for Tyskland) </t>
  </si>
  <si>
    <t>Bank.Res.</t>
  </si>
  <si>
    <t>Res.Euro</t>
  </si>
  <si>
    <t>Innskudd</t>
  </si>
  <si>
    <t>Egenkapial</t>
  </si>
  <si>
    <t>Spania</t>
  </si>
  <si>
    <t>Hellas</t>
  </si>
  <si>
    <t xml:space="preserve">Italia </t>
  </si>
  <si>
    <t>Portugal</t>
  </si>
  <si>
    <t>Tyskland (Euro)</t>
  </si>
  <si>
    <t>Hellas (Euro)</t>
  </si>
  <si>
    <t>Finland</t>
  </si>
  <si>
    <t>"Vekslingskurs" 1:1</t>
  </si>
  <si>
    <t>Tyskland</t>
  </si>
  <si>
    <t>Merk: Tallene betyr endringer i balansene</t>
  </si>
  <si>
    <t>Utenriksregnskapet for USA (motsatt for Vest Tyskland)</t>
  </si>
  <si>
    <t>Endringer i reserver i form av gull og statsobligasjoner</t>
  </si>
  <si>
    <t>Obligasjoner</t>
  </si>
  <si>
    <t>Basispenger</t>
  </si>
  <si>
    <t>Bank lån</t>
  </si>
  <si>
    <t>Res. Dollar</t>
  </si>
  <si>
    <t>Gjeld&amp;Egenkapital</t>
  </si>
  <si>
    <t>Eiendeler</t>
  </si>
  <si>
    <t>Nasjonal sentralbank</t>
  </si>
  <si>
    <t>Inskudd</t>
  </si>
  <si>
    <t>Reserver</t>
  </si>
  <si>
    <t>Forretningsbank</t>
  </si>
  <si>
    <t>Bank Tyskland</t>
  </si>
  <si>
    <t>Egenkapital</t>
  </si>
  <si>
    <t>FDI</t>
  </si>
  <si>
    <t>Bank Hellas</t>
  </si>
  <si>
    <t>Bankkinskudd</t>
  </si>
  <si>
    <t>Banklån</t>
  </si>
  <si>
    <t>Husholdning</t>
  </si>
  <si>
    <t>Vest Tyskland (Tyske mark)</t>
  </si>
  <si>
    <t>"Vekslingskurs" 1/1</t>
  </si>
  <si>
    <t>Vekslingskurs: 1/4</t>
  </si>
  <si>
    <t>Initialt: Basispengemengdevekst</t>
  </si>
  <si>
    <t>BDI12EKSA</t>
  </si>
  <si>
    <t>PTI12EKSA</t>
  </si>
  <si>
    <t>ITI12EKSA</t>
  </si>
  <si>
    <t>GRI12EKSA</t>
  </si>
  <si>
    <t>ESI12EKSA</t>
  </si>
  <si>
    <t>FNI14A.KA</t>
  </si>
  <si>
    <t>BDI14A.KA</t>
  </si>
  <si>
    <t>BDI14M.KA</t>
  </si>
  <si>
    <t>IRI14A.KA</t>
  </si>
  <si>
    <t>ITI14A.KA</t>
  </si>
  <si>
    <t>GRI14A.KA</t>
  </si>
  <si>
    <t>ESI14A.KA</t>
  </si>
  <si>
    <t>PTI14A.KA</t>
  </si>
  <si>
    <t>FNI14M.KA</t>
  </si>
  <si>
    <t>GRI14M.KA</t>
  </si>
  <si>
    <t>ESI14M.KA</t>
  </si>
  <si>
    <t>ITI14M.KA</t>
  </si>
  <si>
    <t>PTI14M.KA</t>
  </si>
  <si>
    <t>IRI14M.KA</t>
  </si>
  <si>
    <t>=Dataserier!B1</t>
  </si>
  <si>
    <t>=Dataserier!A1</t>
  </si>
  <si>
    <t>=Dataserier!C1</t>
  </si>
  <si>
    <t>X</t>
  </si>
  <si>
    <t>=Dataserier!E1</t>
  </si>
  <si>
    <t>=Dataserier!F1</t>
  </si>
  <si>
    <t>=Dataserier!G1</t>
  </si>
  <si>
    <t>=Dataserier!L1</t>
  </si>
  <si>
    <t>=Dataserier!J1</t>
  </si>
  <si>
    <t>=Dataserier!K1</t>
  </si>
  <si>
    <t>=Dataserier!N1</t>
  </si>
  <si>
    <t>=Dataserier!O1</t>
  </si>
  <si>
    <t>=Dataserier!P1</t>
  </si>
  <si>
    <t>=Dataserier!R1</t>
  </si>
  <si>
    <t>=Dataserier!S1</t>
  </si>
  <si>
    <t>=Dataserier!T1</t>
  </si>
  <si>
    <t>=Dataserier!W1</t>
  </si>
  <si>
    <t>=Dataserier!X1</t>
  </si>
  <si>
    <t>=Dataserier!V1</t>
  </si>
  <si>
    <t>=Dataserier!Z1</t>
  </si>
  <si>
    <t>=Dataserier!AA1</t>
  </si>
  <si>
    <t>=Dataserier!AB1</t>
  </si>
  <si>
    <t>01/01/03</t>
  </si>
  <si>
    <t>Today</t>
  </si>
  <si>
    <t>ESOCFGM%</t>
  </si>
  <si>
    <t>PTOCFGM%</t>
  </si>
  <si>
    <t>ITOCFGM%</t>
  </si>
  <si>
    <t>IROCFGM%</t>
  </si>
  <si>
    <t>GROCFGM%</t>
  </si>
  <si>
    <t>R</t>
  </si>
  <si>
    <t>Irland</t>
  </si>
  <si>
    <t>Italia</t>
  </si>
  <si>
    <t>Dato</t>
  </si>
  <si>
    <t>=Dataserier!AF1</t>
  </si>
  <si>
    <t>PTCURBALA</t>
  </si>
  <si>
    <t>ITCURCAPA</t>
  </si>
  <si>
    <t>IRCURBALA</t>
  </si>
  <si>
    <t>GRCURBALA</t>
  </si>
  <si>
    <t>DR Portugal</t>
  </si>
  <si>
    <t>TARGET Portugal</t>
  </si>
  <si>
    <t>KA Portugal</t>
  </si>
  <si>
    <t>KA Irland</t>
  </si>
  <si>
    <t>DR Italia</t>
  </si>
  <si>
    <t>TARGET Italia</t>
  </si>
  <si>
    <t>KA Italia</t>
  </si>
  <si>
    <t>DR Hellas</t>
  </si>
  <si>
    <t>TARGET Hellas</t>
  </si>
  <si>
    <t>KA Hellas</t>
  </si>
  <si>
    <t>DR Spania</t>
  </si>
  <si>
    <t>TARGET Spania</t>
  </si>
  <si>
    <t>KA Spania</t>
  </si>
  <si>
    <t>TARGET Irland</t>
  </si>
  <si>
    <t>=Dataserier!AJ132</t>
  </si>
  <si>
    <t>Target PIGS</t>
  </si>
  <si>
    <t>KA PIGS</t>
  </si>
  <si>
    <t>DR PIGS</t>
  </si>
  <si>
    <t>DR Irland</t>
  </si>
  <si>
    <t xml:space="preserve">PIIGS </t>
  </si>
  <si>
    <t>BDEU4710A</t>
  </si>
  <si>
    <t>=Dataserier!AV1</t>
  </si>
  <si>
    <t>Utl.investering</t>
  </si>
  <si>
    <t>Kreditt Hush.</t>
  </si>
  <si>
    <t>ESB (sluttoppgjør)</t>
  </si>
  <si>
    <t>FED (sluttoppgjør)</t>
  </si>
  <si>
    <t>Endring i TARGET-gjeld og fordringer</t>
  </si>
  <si>
    <t>5.1.0.967</t>
  </si>
  <si>
    <t>USA (Dollar)</t>
  </si>
  <si>
    <t>IRESEFIGR</t>
  </si>
  <si>
    <t>ITESEFIGR</t>
  </si>
  <si>
    <t>ESESEFIGR</t>
  </si>
  <si>
    <t>BDESEFIGR</t>
  </si>
  <si>
    <t>=Sheet1!A1</t>
  </si>
  <si>
    <t xml:space="preserve">PTESEFIGR </t>
  </si>
  <si>
    <t>=Sheet1!F1</t>
  </si>
  <si>
    <t>=Sheet1!J1</t>
  </si>
  <si>
    <t>=Sheet1!O1</t>
  </si>
  <si>
    <t>GRESEFIGR</t>
  </si>
  <si>
    <t>=Sheet1!Q1</t>
  </si>
  <si>
    <t>=Sheet1!AA1</t>
  </si>
  <si>
    <t>=Sheet2!A1</t>
  </si>
  <si>
    <t>=Sheet2!F1</t>
  </si>
  <si>
    <t>=Sheet2!J1</t>
  </si>
  <si>
    <t>=Sheet2!O1</t>
  </si>
  <si>
    <t>=Sheet2!Q1</t>
  </si>
  <si>
    <t>01/01/95</t>
  </si>
  <si>
    <t>Inititalt: Endrede innskuddspreferanser</t>
  </si>
  <si>
    <t>Ref. lån</t>
  </si>
  <si>
    <t>Bank. Res.</t>
  </si>
  <si>
    <t>=Dataserier!AM1</t>
  </si>
  <si>
    <t>=Dataserier!AP1</t>
  </si>
  <si>
    <t>Bil</t>
  </si>
  <si>
    <t>dTR=1000=(DRI+KRI)=(-750-250)</t>
  </si>
  <si>
    <t>RES=-1000=DR+KR=(-750-250)</t>
  </si>
  <si>
    <t>dTR=-500=(DRI+KRI)=(0-500)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</si>
</sst>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i/>
      <sz val="10"/>
      <name val="Helv"/>
    </font>
    <font>
      <sz val="10"/>
      <name val="Arial"/>
      <family val="2"/>
    </font>
    <font>
      <sz val="10"/>
      <color indexed="18"/>
      <name val="Arial"/>
      <family val="2"/>
    </font>
    <font>
      <sz val="10"/>
      <color indexed="8"/>
      <name val="Arial"/>
      <family val="2"/>
    </font>
    <font>
      <sz val="12"/>
      <name val="Arial"/>
      <family val="2"/>
    </font>
    <font>
      <sz val="10"/>
      <color indexed="9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9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MS Sans Serif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273D49"/>
      <name val="Arial"/>
      <family val="2"/>
    </font>
    <font>
      <sz val="10"/>
      <color rgb="FFFF0000"/>
      <name val="Arial"/>
      <family val="2"/>
    </font>
    <font>
      <sz val="8"/>
      <color rgb="FF333333"/>
      <name val="MS Sans Serif"/>
      <family val="2"/>
    </font>
    <font>
      <u/>
      <sz val="8"/>
      <color rgb="FF333333"/>
      <name val="MS Sans Serif"/>
      <family val="2"/>
    </font>
    <font>
      <sz val="10"/>
      <color rgb="FF333333"/>
      <name val="Arial"/>
      <family val="2"/>
    </font>
    <font>
      <sz val="8"/>
      <color rgb="FF000000"/>
      <name val="Tahoma"/>
      <family val="2"/>
    </font>
    <font>
      <sz val="9"/>
      <color indexed="8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5"/>
        <bgColor indexed="23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/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/>
      <top/>
      <bottom style="thin">
        <color indexed="23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64"/>
      </bottom>
      <diagonal/>
    </border>
  </borders>
  <cellStyleXfs count="46">
    <xf numFmtId="0" fontId="0" fillId="0" borderId="0"/>
    <xf numFmtId="0" fontId="20" fillId="2" borderId="0" applyNumberFormat="0" applyBorder="0" applyAlignment="0" applyProtection="0"/>
    <xf numFmtId="0" fontId="20" fillId="3" borderId="0" applyNumberFormat="0" applyBorder="0" applyAlignment="0" applyProtection="0"/>
    <xf numFmtId="0" fontId="20" fillId="4" borderId="0" applyNumberFormat="0" applyBorder="0" applyAlignment="0" applyProtection="0"/>
    <xf numFmtId="0" fontId="20" fillId="5" borderId="0" applyNumberFormat="0" applyBorder="0" applyAlignment="0" applyProtection="0"/>
    <xf numFmtId="0" fontId="20" fillId="6" borderId="0" applyNumberFormat="0" applyBorder="0" applyAlignment="0" applyProtection="0"/>
    <xf numFmtId="0" fontId="20" fillId="7" borderId="0" applyNumberFormat="0" applyBorder="0" applyAlignment="0" applyProtection="0"/>
    <xf numFmtId="0" fontId="20" fillId="8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5" borderId="0" applyNumberFormat="0" applyBorder="0" applyAlignment="0" applyProtection="0"/>
    <xf numFmtId="0" fontId="20" fillId="8" borderId="0" applyNumberFormat="0" applyBorder="0" applyAlignment="0" applyProtection="0"/>
    <xf numFmtId="0" fontId="20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9" borderId="0" applyNumberFormat="0" applyBorder="0" applyAlignment="0" applyProtection="0"/>
    <xf numFmtId="0" fontId="21" fillId="10" borderId="0" applyNumberFormat="0" applyBorder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21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21" fillId="18" borderId="0" applyNumberFormat="0" applyBorder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21" fillId="19" borderId="0" applyNumberFormat="0" applyBorder="0" applyAlignment="0" applyProtection="0"/>
    <xf numFmtId="0" fontId="22" fillId="3" borderId="0" applyNumberFormat="0" applyBorder="0" applyAlignment="0" applyProtection="0"/>
    <xf numFmtId="0" fontId="23" fillId="20" borderId="1" applyNumberFormat="0" applyAlignment="0" applyProtection="0"/>
    <xf numFmtId="0" fontId="24" fillId="21" borderId="2" applyNumberFormat="0" applyAlignment="0" applyProtection="0"/>
    <xf numFmtId="0" fontId="25" fillId="0" borderId="0" applyNumberFormat="0" applyFill="0" applyBorder="0" applyAlignment="0" applyProtection="0"/>
    <xf numFmtId="0" fontId="26" fillId="4" borderId="0" applyNumberFormat="0" applyBorder="0" applyAlignment="0" applyProtection="0"/>
    <xf numFmtId="0" fontId="27" fillId="0" borderId="3" applyNumberFormat="0" applyFill="0" applyAlignment="0" applyProtection="0"/>
    <xf numFmtId="0" fontId="28" fillId="0" borderId="4" applyNumberFormat="0" applyFill="0" applyAlignment="0" applyProtection="0"/>
    <xf numFmtId="0" fontId="29" fillId="0" borderId="5" applyNumberFormat="0" applyFill="0" applyAlignment="0" applyProtection="0"/>
    <xf numFmtId="0" fontId="29" fillId="0" borderId="0" applyNumberFormat="0" applyFill="0" applyBorder="0" applyAlignment="0" applyProtection="0"/>
    <xf numFmtId="0" fontId="30" fillId="7" borderId="1" applyNumberFormat="0" applyAlignment="0" applyProtection="0"/>
    <xf numFmtId="0" fontId="31" fillId="0" borderId="6" applyNumberFormat="0" applyFill="0" applyAlignment="0" applyProtection="0"/>
    <xf numFmtId="0" fontId="32" fillId="22" borderId="0" applyNumberFormat="0" applyBorder="0" applyAlignment="0" applyProtection="0"/>
    <xf numFmtId="0" fontId="12" fillId="0" borderId="0"/>
    <xf numFmtId="0" fontId="38" fillId="0" borderId="0"/>
    <xf numFmtId="0" fontId="12" fillId="23" borderId="7" applyNumberFormat="0" applyFont="0" applyAlignment="0" applyProtection="0"/>
    <xf numFmtId="0" fontId="11" fillId="0" borderId="8"/>
    <xf numFmtId="0" fontId="33" fillId="20" borderId="9" applyNumberFormat="0" applyAlignment="0" applyProtection="0"/>
    <xf numFmtId="0" fontId="34" fillId="0" borderId="0" applyNumberFormat="0" applyFill="0" applyBorder="0" applyAlignment="0" applyProtection="0"/>
    <xf numFmtId="0" fontId="35" fillId="0" borderId="10" applyNumberFormat="0" applyFill="0" applyAlignment="0" applyProtection="0"/>
    <xf numFmtId="0" fontId="36" fillId="0" borderId="0" applyNumberFormat="0" applyFill="0" applyBorder="0" applyAlignment="0" applyProtection="0"/>
    <xf numFmtId="0" fontId="3" fillId="0" borderId="0"/>
  </cellStyleXfs>
  <cellXfs count="172">
    <xf numFmtId="0" fontId="0" fillId="0" borderId="0" xfId="0"/>
    <xf numFmtId="0" fontId="0" fillId="0" borderId="0" xfId="0" applyAlignment="1">
      <alignment vertical="center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ill="1"/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0" xfId="0" quotePrefix="1" applyNumberFormat="1" applyBorder="1" applyAlignment="1">
      <alignment horizontal="left" vertical="center"/>
    </xf>
    <xf numFmtId="49" fontId="0" fillId="0" borderId="0" xfId="0" quotePrefix="1" applyNumberFormat="1" applyBorder="1" applyAlignment="1">
      <alignment horizontal="left"/>
    </xf>
    <xf numFmtId="0" fontId="12" fillId="0" borderId="0" xfId="0" applyFont="1" applyBorder="1"/>
    <xf numFmtId="49" fontId="0" fillId="0" borderId="0" xfId="0" applyNumberFormat="1" applyBorder="1" applyAlignment="1">
      <alignment horizontal="left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0" fontId="13" fillId="0" borderId="0" xfId="0" applyFont="1" applyFill="1" applyBorder="1" applyAlignment="1">
      <alignment horizontal="left" vertical="center"/>
    </xf>
    <xf numFmtId="0" fontId="12" fillId="0" borderId="0" xfId="0" applyFont="1" applyFill="1" applyBorder="1"/>
    <xf numFmtId="0" fontId="12" fillId="24" borderId="0" xfId="0" applyFont="1" applyFill="1" applyBorder="1" applyAlignment="1">
      <alignment horizontal="center" vertical="top"/>
    </xf>
    <xf numFmtId="0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NumberFormat="1" applyFill="1" applyBorder="1" applyAlignment="1">
      <alignment horizontal="left"/>
    </xf>
    <xf numFmtId="0" fontId="10" fillId="0" borderId="0" xfId="0" applyNumberFormat="1" applyFont="1" applyFill="1" applyBorder="1" applyAlignment="1">
      <alignment horizontal="left"/>
    </xf>
    <xf numFmtId="49" fontId="10" fillId="0" borderId="0" xfId="0" applyNumberFormat="1" applyFont="1" applyFill="1" applyBorder="1" applyAlignment="1">
      <alignment horizontal="center" vertical="center"/>
    </xf>
    <xf numFmtId="49" fontId="10" fillId="0" borderId="0" xfId="0" applyNumberFormat="1" applyFont="1" applyFill="1" applyBorder="1" applyAlignment="1">
      <alignment horizontal="left"/>
    </xf>
    <xf numFmtId="49" fontId="14" fillId="0" borderId="0" xfId="0" applyNumberFormat="1" applyFont="1" applyFill="1" applyBorder="1" applyAlignment="1">
      <alignment horizontal="left" vertical="center"/>
    </xf>
    <xf numFmtId="0" fontId="12" fillId="0" borderId="0" xfId="0" applyFont="1" applyFill="1"/>
    <xf numFmtId="0" fontId="15" fillId="0" borderId="0" xfId="0" applyFont="1" applyBorder="1"/>
    <xf numFmtId="0" fontId="12" fillId="0" borderId="0" xfId="0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horizontal="left"/>
    </xf>
    <xf numFmtId="0" fontId="12" fillId="0" borderId="0" xfId="0" applyNumberFormat="1" applyFont="1" applyFill="1" applyBorder="1" applyAlignment="1">
      <alignment horizontal="left"/>
    </xf>
    <xf numFmtId="0" fontId="12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left" vertical="center"/>
    </xf>
    <xf numFmtId="0" fontId="15" fillId="0" borderId="0" xfId="0" applyFont="1"/>
    <xf numFmtId="0" fontId="12" fillId="0" borderId="0" xfId="0" applyFont="1"/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vertical="center"/>
    </xf>
    <xf numFmtId="49" fontId="12" fillId="0" borderId="0" xfId="0" applyNumberFormat="1" applyFont="1" applyBorder="1" applyAlignment="1">
      <alignment horizontal="left"/>
    </xf>
    <xf numFmtId="0" fontId="12" fillId="0" borderId="0" xfId="0" applyNumberFormat="1" applyFont="1" applyBorder="1" applyAlignment="1">
      <alignment horizontal="left"/>
    </xf>
    <xf numFmtId="0" fontId="12" fillId="0" borderId="0" xfId="0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49" fontId="12" fillId="0" borderId="0" xfId="0" applyNumberFormat="1" applyFont="1" applyAlignment="1">
      <alignment horizontal="left"/>
    </xf>
    <xf numFmtId="0" fontId="12" fillId="0" borderId="0" xfId="0" applyNumberFormat="1" applyFont="1" applyAlignment="1">
      <alignment horizontal="left"/>
    </xf>
    <xf numFmtId="0" fontId="12" fillId="0" borderId="0" xfId="0" applyFont="1" applyAlignment="1">
      <alignment horizontal="center" vertical="center"/>
    </xf>
    <xf numFmtId="0" fontId="16" fillId="0" borderId="0" xfId="0" applyFont="1" applyFill="1"/>
    <xf numFmtId="0" fontId="0" fillId="0" borderId="0" xfId="0" applyBorder="1" applyAlignment="1">
      <alignment vertical="center"/>
    </xf>
    <xf numFmtId="0" fontId="16" fillId="25" borderId="1" xfId="0" applyFont="1" applyFill="1" applyBorder="1"/>
    <xf numFmtId="0" fontId="16" fillId="25" borderId="11" xfId="0" applyFont="1" applyFill="1" applyBorder="1"/>
    <xf numFmtId="49" fontId="12" fillId="0" borderId="12" xfId="0" applyNumberFormat="1" applyFont="1" applyFill="1" applyBorder="1" applyAlignment="1">
      <alignment vertical="center"/>
    </xf>
    <xf numFmtId="1" fontId="12" fillId="0" borderId="12" xfId="0" quotePrefix="1" applyNumberFormat="1" applyFont="1" applyFill="1" applyBorder="1" applyAlignment="1">
      <alignment horizontal="left"/>
    </xf>
    <xf numFmtId="0" fontId="12" fillId="0" borderId="12" xfId="0" applyFont="1" applyFill="1" applyBorder="1"/>
    <xf numFmtId="21" fontId="12" fillId="0" borderId="12" xfId="0" applyNumberFormat="1" applyFont="1" applyFill="1" applyBorder="1" applyAlignment="1">
      <alignment horizontal="center"/>
    </xf>
    <xf numFmtId="49" fontId="12" fillId="0" borderId="12" xfId="0" applyNumberFormat="1" applyFont="1" applyFill="1" applyBorder="1" applyAlignment="1">
      <alignment horizontal="center" vertical="center"/>
    </xf>
    <xf numFmtId="0" fontId="12" fillId="0" borderId="12" xfId="0" applyFont="1" applyFill="1" applyBorder="1" applyAlignment="1">
      <alignment horizontal="center"/>
    </xf>
    <xf numFmtId="49" fontId="10" fillId="25" borderId="1" xfId="0" applyNumberFormat="1" applyFont="1" applyFill="1" applyBorder="1" applyAlignment="1">
      <alignment horizontal="center" vertical="center"/>
    </xf>
    <xf numFmtId="21" fontId="12" fillId="0" borderId="13" xfId="0" applyNumberFormat="1" applyFont="1" applyFill="1" applyBorder="1" applyAlignment="1">
      <alignment horizontal="center"/>
    </xf>
    <xf numFmtId="0" fontId="19" fillId="25" borderId="1" xfId="0" applyFont="1" applyFill="1" applyBorder="1" applyAlignment="1">
      <alignment horizontal="center" vertical="top"/>
    </xf>
    <xf numFmtId="0" fontId="19" fillId="25" borderId="1" xfId="0" applyNumberFormat="1" applyFont="1" applyFill="1" applyBorder="1" applyAlignment="1">
      <alignment horizontal="center" vertical="top"/>
    </xf>
    <xf numFmtId="0" fontId="19" fillId="25" borderId="1" xfId="0" applyFont="1" applyFill="1" applyBorder="1" applyAlignment="1">
      <alignment horizontal="left" vertical="top"/>
    </xf>
    <xf numFmtId="14" fontId="19" fillId="25" borderId="1" xfId="0" applyNumberFormat="1" applyFont="1" applyFill="1" applyBorder="1" applyAlignment="1">
      <alignment horizontal="left" vertical="top"/>
    </xf>
    <xf numFmtId="0" fontId="19" fillId="25" borderId="14" xfId="0" applyFont="1" applyFill="1" applyBorder="1" applyAlignment="1">
      <alignment horizontal="center" vertical="top"/>
    </xf>
    <xf numFmtId="0" fontId="19" fillId="25" borderId="15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9" fillId="26" borderId="1" xfId="0" applyFont="1" applyFill="1" applyBorder="1" applyAlignment="1">
      <alignment horizontal="center" vertical="top"/>
    </xf>
    <xf numFmtId="49" fontId="19" fillId="26" borderId="1" xfId="0" applyNumberFormat="1" applyFont="1" applyFill="1" applyBorder="1" applyAlignment="1">
      <alignment horizontal="center" vertical="top"/>
    </xf>
    <xf numFmtId="0" fontId="0" fillId="24" borderId="0" xfId="0" applyFill="1" applyBorder="1" applyAlignment="1">
      <alignment horizontal="left" vertical="top"/>
    </xf>
    <xf numFmtId="0" fontId="16" fillId="0" borderId="0" xfId="0" applyFont="1" applyFill="1" applyAlignment="1">
      <alignment horizontal="center" vertical="top"/>
    </xf>
    <xf numFmtId="0" fontId="0" fillId="0" borderId="0" xfId="0" applyAlignment="1">
      <alignment horizontal="center" vertical="top"/>
    </xf>
    <xf numFmtId="0" fontId="12" fillId="0" borderId="0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12" fillId="0" borderId="0" xfId="0" applyFont="1" applyBorder="1" applyAlignment="1">
      <alignment vertical="top"/>
    </xf>
    <xf numFmtId="0" fontId="37" fillId="0" borderId="16" xfId="0" applyFont="1" applyFill="1" applyBorder="1"/>
    <xf numFmtId="0" fontId="19" fillId="25" borderId="17" xfId="0" applyFont="1" applyFill="1" applyBorder="1" applyAlignment="1">
      <alignment horizontal="center" vertical="center"/>
    </xf>
    <xf numFmtId="0" fontId="19" fillId="25" borderId="1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49" fontId="10" fillId="0" borderId="13" xfId="0" applyNumberFormat="1" applyFont="1" applyFill="1" applyBorder="1" applyAlignment="1">
      <alignment vertical="center"/>
    </xf>
    <xf numFmtId="49" fontId="14" fillId="0" borderId="12" xfId="0" applyNumberFormat="1" applyFont="1" applyFill="1" applyBorder="1" applyAlignment="1">
      <alignment horizontal="center" vertical="center"/>
    </xf>
    <xf numFmtId="49" fontId="14" fillId="0" borderId="12" xfId="0" applyNumberFormat="1" applyFont="1" applyFill="1" applyBorder="1" applyAlignment="1">
      <alignment vertical="center"/>
    </xf>
    <xf numFmtId="49" fontId="14" fillId="0" borderId="13" xfId="0" applyNumberFormat="1" applyFont="1" applyFill="1" applyBorder="1" applyAlignment="1">
      <alignment vertical="center"/>
    </xf>
    <xf numFmtId="49" fontId="10" fillId="0" borderId="12" xfId="0" applyNumberFormat="1" applyFont="1" applyFill="1" applyBorder="1" applyAlignment="1">
      <alignment vertical="center"/>
    </xf>
    <xf numFmtId="0" fontId="10" fillId="0" borderId="0" xfId="0" applyFont="1" applyFill="1" applyBorder="1"/>
    <xf numFmtId="0" fontId="38" fillId="27" borderId="0" xfId="38" applyFill="1"/>
    <xf numFmtId="0" fontId="38" fillId="27" borderId="0" xfId="38" quotePrefix="1" applyFill="1"/>
    <xf numFmtId="0" fontId="38" fillId="27" borderId="0" xfId="38" applyFill="1" applyBorder="1"/>
    <xf numFmtId="0" fontId="38" fillId="27" borderId="19" xfId="38" applyFill="1" applyBorder="1"/>
    <xf numFmtId="0" fontId="38" fillId="27" borderId="20" xfId="38" applyFill="1" applyBorder="1"/>
    <xf numFmtId="0" fontId="38" fillId="27" borderId="21" xfId="38" applyFill="1" applyBorder="1"/>
    <xf numFmtId="0" fontId="38" fillId="27" borderId="22" xfId="38" applyFill="1" applyBorder="1"/>
    <xf numFmtId="0" fontId="38" fillId="27" borderId="23" xfId="38" applyFill="1" applyBorder="1"/>
    <xf numFmtId="0" fontId="38" fillId="27" borderId="24" xfId="38" applyFill="1" applyBorder="1"/>
    <xf numFmtId="0" fontId="38" fillId="27" borderId="0" xfId="38" applyNumberFormat="1" applyFill="1" applyBorder="1"/>
    <xf numFmtId="0" fontId="39" fillId="27" borderId="0" xfId="38" applyFont="1" applyFill="1" applyBorder="1"/>
    <xf numFmtId="0" fontId="38" fillId="27" borderId="25" xfId="38" applyFill="1" applyBorder="1"/>
    <xf numFmtId="0" fontId="38" fillId="27" borderId="26" xfId="38" applyFill="1" applyBorder="1"/>
    <xf numFmtId="0" fontId="38" fillId="27" borderId="27" xfId="38" applyFill="1" applyBorder="1"/>
    <xf numFmtId="0" fontId="38" fillId="27" borderId="28" xfId="38" applyFill="1" applyBorder="1"/>
    <xf numFmtId="0" fontId="38" fillId="27" borderId="29" xfId="38" applyFill="1" applyBorder="1"/>
    <xf numFmtId="0" fontId="39" fillId="27" borderId="30" xfId="38" applyFont="1" applyFill="1" applyBorder="1"/>
    <xf numFmtId="0" fontId="39" fillId="27" borderId="0" xfId="38" applyFont="1" applyFill="1"/>
    <xf numFmtId="0" fontId="38" fillId="27" borderId="31" xfId="38" applyFill="1" applyBorder="1"/>
    <xf numFmtId="0" fontId="14" fillId="0" borderId="0" xfId="0" applyNumberFormat="1" applyFont="1" applyAlignment="1">
      <alignment horizontal="left"/>
    </xf>
    <xf numFmtId="49" fontId="14" fillId="0" borderId="13" xfId="0" applyNumberFormat="1" applyFont="1" applyFill="1" applyBorder="1" applyAlignment="1">
      <alignment horizontal="center" vertical="center"/>
    </xf>
    <xf numFmtId="49" fontId="12" fillId="0" borderId="13" xfId="0" applyNumberFormat="1" applyFont="1" applyFill="1" applyBorder="1" applyAlignment="1">
      <alignment vertical="center"/>
    </xf>
    <xf numFmtId="1" fontId="12" fillId="0" borderId="13" xfId="0" quotePrefix="1" applyNumberFormat="1" applyFont="1" applyFill="1" applyBorder="1" applyAlignment="1">
      <alignment horizontal="left"/>
    </xf>
    <xf numFmtId="0" fontId="12" fillId="0" borderId="13" xfId="0" applyFont="1" applyFill="1" applyBorder="1"/>
    <xf numFmtId="0" fontId="12" fillId="0" borderId="13" xfId="0" applyFont="1" applyFill="1" applyBorder="1" applyAlignment="1">
      <alignment horizontal="center"/>
    </xf>
    <xf numFmtId="49" fontId="14" fillId="0" borderId="32" xfId="0" applyNumberFormat="1" applyFont="1" applyFill="1" applyBorder="1" applyAlignment="1">
      <alignment horizontal="center" vertical="center"/>
    </xf>
    <xf numFmtId="49" fontId="14" fillId="0" borderId="32" xfId="0" applyNumberFormat="1" applyFont="1" applyFill="1" applyBorder="1" applyAlignment="1">
      <alignment vertical="center"/>
    </xf>
    <xf numFmtId="49" fontId="12" fillId="0" borderId="32" xfId="0" applyNumberFormat="1" applyFont="1" applyFill="1" applyBorder="1" applyAlignment="1">
      <alignment vertical="center"/>
    </xf>
    <xf numFmtId="1" fontId="12" fillId="0" borderId="32" xfId="0" quotePrefix="1" applyNumberFormat="1" applyFont="1" applyFill="1" applyBorder="1" applyAlignment="1">
      <alignment horizontal="left"/>
    </xf>
    <xf numFmtId="0" fontId="12" fillId="0" borderId="32" xfId="0" applyFont="1" applyFill="1" applyBorder="1"/>
    <xf numFmtId="21" fontId="12" fillId="0" borderId="32" xfId="0" applyNumberFormat="1" applyFont="1" applyFill="1" applyBorder="1" applyAlignment="1">
      <alignment horizontal="center"/>
    </xf>
    <xf numFmtId="0" fontId="12" fillId="0" borderId="32" xfId="0" applyFont="1" applyFill="1" applyBorder="1" applyAlignment="1">
      <alignment horizontal="center"/>
    </xf>
    <xf numFmtId="0" fontId="14" fillId="0" borderId="0" xfId="0" applyFont="1" applyFill="1" applyBorder="1"/>
    <xf numFmtId="14" fontId="0" fillId="0" borderId="0" xfId="0" applyNumberFormat="1"/>
    <xf numFmtId="0" fontId="0" fillId="28" borderId="0" xfId="0" applyFill="1"/>
    <xf numFmtId="0" fontId="40" fillId="27" borderId="0" xfId="38" applyFont="1" applyFill="1" applyBorder="1"/>
    <xf numFmtId="0" fontId="10" fillId="0" borderId="0" xfId="0" applyFont="1"/>
    <xf numFmtId="17" fontId="0" fillId="0" borderId="0" xfId="0" applyNumberFormat="1"/>
    <xf numFmtId="0" fontId="10" fillId="27" borderId="0" xfId="0" applyFont="1" applyFill="1"/>
    <xf numFmtId="0" fontId="0" fillId="27" borderId="0" xfId="0" applyFill="1"/>
    <xf numFmtId="0" fontId="0" fillId="0" borderId="0" xfId="0" applyNumberFormat="1"/>
    <xf numFmtId="0" fontId="0" fillId="29" borderId="0" xfId="0" applyFill="1"/>
    <xf numFmtId="0" fontId="10" fillId="28" borderId="0" xfId="0" applyFont="1" applyFill="1"/>
    <xf numFmtId="14" fontId="0" fillId="30" borderId="0" xfId="0" applyNumberFormat="1" applyFill="1"/>
    <xf numFmtId="0" fontId="0" fillId="30" borderId="0" xfId="0" applyFill="1"/>
    <xf numFmtId="0" fontId="42" fillId="28" borderId="0" xfId="0" applyFont="1" applyFill="1"/>
    <xf numFmtId="0" fontId="42" fillId="0" borderId="0" xfId="0" applyFont="1"/>
    <xf numFmtId="0" fontId="8" fillId="27" borderId="24" xfId="38" applyFont="1" applyFill="1" applyBorder="1"/>
    <xf numFmtId="0" fontId="7" fillId="27" borderId="0" xfId="38" applyFont="1" applyFill="1" applyBorder="1"/>
    <xf numFmtId="0" fontId="6" fillId="27" borderId="0" xfId="38" applyFont="1" applyFill="1" applyBorder="1"/>
    <xf numFmtId="1" fontId="10" fillId="0" borderId="12" xfId="0" quotePrefix="1" applyNumberFormat="1" applyFont="1" applyFill="1" applyBorder="1" applyAlignment="1">
      <alignment horizontal="left"/>
    </xf>
    <xf numFmtId="0" fontId="10" fillId="0" borderId="12" xfId="0" applyFont="1" applyFill="1" applyBorder="1"/>
    <xf numFmtId="21" fontId="10" fillId="0" borderId="12" xfId="0" applyNumberFormat="1" applyFont="1" applyFill="1" applyBorder="1" applyAlignment="1">
      <alignment horizontal="center"/>
    </xf>
    <xf numFmtId="0" fontId="10" fillId="0" borderId="12" xfId="0" applyFont="1" applyFill="1" applyBorder="1" applyAlignment="1">
      <alignment horizontal="center"/>
    </xf>
    <xf numFmtId="0" fontId="5" fillId="27" borderId="0" xfId="38" applyFont="1" applyFill="1" applyBorder="1"/>
    <xf numFmtId="0" fontId="10" fillId="29" borderId="0" xfId="0" applyFont="1" applyFill="1"/>
    <xf numFmtId="0" fontId="0" fillId="27" borderId="0" xfId="0" applyFill="1" applyBorder="1"/>
    <xf numFmtId="0" fontId="0" fillId="32" borderId="0" xfId="0" applyFill="1"/>
    <xf numFmtId="0" fontId="41" fillId="32" borderId="0" xfId="0" applyFont="1" applyFill="1"/>
    <xf numFmtId="0" fontId="0" fillId="31" borderId="0" xfId="0" applyFill="1"/>
    <xf numFmtId="0" fontId="10" fillId="32" borderId="0" xfId="0" applyFont="1" applyFill="1"/>
    <xf numFmtId="14" fontId="0" fillId="32" borderId="0" xfId="0" applyNumberFormat="1" applyFill="1"/>
    <xf numFmtId="0" fontId="41" fillId="31" borderId="0" xfId="0" applyFont="1" applyFill="1"/>
    <xf numFmtId="14" fontId="0" fillId="31" borderId="0" xfId="0" applyNumberFormat="1" applyFill="1"/>
    <xf numFmtId="0" fontId="10" fillId="31" borderId="0" xfId="0" applyFont="1" applyFill="1"/>
    <xf numFmtId="10" fontId="38" fillId="27" borderId="0" xfId="38" applyNumberFormat="1" applyFill="1" applyBorder="1"/>
    <xf numFmtId="0" fontId="9" fillId="27" borderId="0" xfId="38" applyFont="1" applyFill="1" applyBorder="1"/>
    <xf numFmtId="0" fontId="39" fillId="27" borderId="0" xfId="38" applyFont="1" applyFill="1" applyBorder="1" applyAlignment="1">
      <alignment horizontal="right"/>
    </xf>
    <xf numFmtId="0" fontId="4" fillId="27" borderId="0" xfId="38" quotePrefix="1" applyFont="1" applyFill="1" applyBorder="1"/>
    <xf numFmtId="0" fontId="0" fillId="29" borderId="23" xfId="0" applyFill="1" applyBorder="1"/>
    <xf numFmtId="0" fontId="0" fillId="28" borderId="23" xfId="0" applyFill="1" applyBorder="1"/>
    <xf numFmtId="0" fontId="0" fillId="0" borderId="23" xfId="0" applyBorder="1"/>
    <xf numFmtId="2" fontId="10" fillId="0" borderId="0" xfId="45" applyNumberFormat="1" applyFont="1" applyFill="1" applyBorder="1" applyAlignment="1">
      <alignment horizontal="center" vertical="top" wrapText="1"/>
    </xf>
    <xf numFmtId="2" fontId="10" fillId="0" borderId="0" xfId="45" applyNumberFormat="1" applyFont="1" applyFill="1" applyBorder="1" applyAlignment="1">
      <alignment horizontal="center"/>
    </xf>
    <xf numFmtId="0" fontId="3" fillId="27" borderId="24" xfId="38" applyFont="1" applyFill="1" applyBorder="1"/>
    <xf numFmtId="0" fontId="2" fillId="27" borderId="0" xfId="38" applyFont="1" applyFill="1" applyBorder="1"/>
    <xf numFmtId="0" fontId="1" fillId="27" borderId="0" xfId="38" applyFont="1" applyFill="1" applyBorder="1"/>
    <xf numFmtId="0" fontId="0" fillId="33" borderId="0" xfId="0" applyFill="1"/>
    <xf numFmtId="0" fontId="0" fillId="33" borderId="0" xfId="0" applyFill="1" applyBorder="1"/>
    <xf numFmtId="14" fontId="0" fillId="33" borderId="0" xfId="0" applyNumberFormat="1" applyFill="1"/>
    <xf numFmtId="0" fontId="41" fillId="33" borderId="0" xfId="0" applyFont="1" applyFill="1"/>
    <xf numFmtId="0" fontId="10" fillId="33" borderId="0" xfId="0" applyFont="1" applyFill="1"/>
    <xf numFmtId="14" fontId="0" fillId="30" borderId="23" xfId="0" applyNumberFormat="1" applyFill="1" applyBorder="1"/>
    <xf numFmtId="0" fontId="0" fillId="31" borderId="23" xfId="0" applyFill="1" applyBorder="1"/>
    <xf numFmtId="0" fontId="0" fillId="32" borderId="23" xfId="0" applyFill="1" applyBorder="1"/>
    <xf numFmtId="2" fontId="10" fillId="33" borderId="0" xfId="45" applyNumberFormat="1" applyFont="1" applyFill="1" applyBorder="1" applyAlignment="1">
      <alignment horizontal="center" vertical="top" wrapText="1"/>
    </xf>
    <xf numFmtId="0" fontId="19" fillId="25" borderId="1" xfId="0" applyFont="1" applyFill="1" applyBorder="1" applyAlignment="1">
      <alignment horizontal="center" vertical="center"/>
    </xf>
  </cellXfs>
  <cellStyles count="4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/>
    <cellStyle name="Normal 3" xfId="38"/>
    <cellStyle name="Note" xfId="39" builtinId="10" customBuiltin="1"/>
    <cellStyle name="Notes" xfId="40"/>
    <cellStyle name="Output" xfId="41" builtinId="21" customBuiltin="1"/>
    <cellStyle name="Standard 2" xfId="45"/>
    <cellStyle name="Title" xfId="42" builtinId="15" customBuiltin="1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AEAD439-A817-11D3-84A7-0090271BAC75}" ax:persistence="persistPropertyBag">
  <ax:ocxPr ax:name="_ExtentX" ax:value="1931"/>
  <ax:ocxPr ax:name="_ExtentY" ax:value="688"/>
  <ax:ocxPr ax:name="Value" ax:value="PTI12EKSA"/>
</ax:ocx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A797CA62-4045-11D4-B638-002035F072AA}" ax:persistence="persistPropertyBag">
  <ax:ocxPr ax:name="_ExtentX" ax:value="767"/>
  <ax:ocxPr ax:name="_ExtentY" ax:value="635"/>
  <ax:ocxPr ax:name="CodeRange" ax:value="$A$1"/>
  <ax:ocxPr ax:name="StatusCell" ax:value="$A$1"/>
  <ax:ocxPr ax:name="WriteToCell" ax:value="-1"/>
  <ax:ocxPr ax:name="CreateNewList" ax:value="-1"/>
  <ax:ocxPr ax:name="ListLHarsh" ax:value=""/>
  <ax:ocxPr ax:name="ListDescription" ax:value=""/>
</ax:ocx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4</xdr:row>
      <xdr:rowOff>9525</xdr:rowOff>
    </xdr:from>
    <xdr:to>
      <xdr:col>8</xdr:col>
      <xdr:colOff>704850</xdr:colOff>
      <xdr:row>4</xdr:row>
      <xdr:rowOff>161925</xdr:rowOff>
    </xdr:to>
    <xdr:sp macro="[0]!setfreq" textlink="">
      <xdr:nvSpPr>
        <xdr:cNvPr id="2169" name="Text 22"/>
        <xdr:cNvSpPr txBox="1">
          <a:spLocks noChangeArrowheads="1"/>
        </xdr:cNvSpPr>
      </xdr:nvSpPr>
      <xdr:spPr bwMode="auto">
        <a:xfrm>
          <a:off x="10839450" y="1171575"/>
          <a:ext cx="695325" cy="1333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5</xdr:row>
          <xdr:rowOff>0</xdr:rowOff>
        </xdr:from>
        <xdr:to>
          <xdr:col>21</xdr:col>
          <xdr:colOff>9525</xdr:colOff>
          <xdr:row>6</xdr:row>
          <xdr:rowOff>19050</xdr:rowOff>
        </xdr:to>
        <xdr:sp macro="" textlink="">
          <xdr:nvSpPr>
            <xdr:cNvPr id="2049" name="btnSpecialRequest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9525</xdr:colOff>
          <xdr:row>6</xdr:row>
          <xdr:rowOff>19050</xdr:rowOff>
        </xdr:to>
        <xdr:sp macro="" textlink="">
          <xdr:nvSpPr>
            <xdr:cNvPr id="2050" name="btnOnOff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190500</xdr:rowOff>
        </xdr:from>
        <xdr:to>
          <xdr:col>11</xdr:col>
          <xdr:colOff>0</xdr:colOff>
          <xdr:row>6</xdr:row>
          <xdr:rowOff>9525</xdr:rowOff>
        </xdr:to>
        <xdr:sp macro="" textlink="">
          <xdr:nvSpPr>
            <xdr:cNvPr id="2051" name="btnDataDest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5</xdr:row>
          <xdr:rowOff>28575</xdr:rowOff>
        </xdr:from>
        <xdr:to>
          <xdr:col>10</xdr:col>
          <xdr:colOff>19050</xdr:colOff>
          <xdr:row>6</xdr:row>
          <xdr:rowOff>0</xdr:rowOff>
        </xdr:to>
        <xdr:sp macro="" textlink="">
          <xdr:nvSpPr>
            <xdr:cNvPr id="2052" name="lstFreq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2295525</xdr:colOff>
          <xdr:row>5</xdr:row>
          <xdr:rowOff>0</xdr:rowOff>
        </xdr:from>
        <xdr:to>
          <xdr:col>6</xdr:col>
          <xdr:colOff>0</xdr:colOff>
          <xdr:row>6</xdr:row>
          <xdr:rowOff>19050</xdr:rowOff>
        </xdr:to>
        <xdr:sp macro="" textlink="">
          <xdr:nvSpPr>
            <xdr:cNvPr id="2053" name="btnSCHLookup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1514475</xdr:colOff>
          <xdr:row>5</xdr:row>
          <xdr:rowOff>0</xdr:rowOff>
        </xdr:from>
        <xdr:to>
          <xdr:col>5</xdr:col>
          <xdr:colOff>2295525</xdr:colOff>
          <xdr:row>6</xdr:row>
          <xdr:rowOff>19050</xdr:rowOff>
        </xdr:to>
        <xdr:sp macro="" textlink="">
          <xdr:nvSpPr>
            <xdr:cNvPr id="2054" name="btnCAFLookup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742950</xdr:colOff>
          <xdr:row>5</xdr:row>
          <xdr:rowOff>0</xdr:rowOff>
        </xdr:from>
        <xdr:to>
          <xdr:col>5</xdr:col>
          <xdr:colOff>1524000</xdr:colOff>
          <xdr:row>6</xdr:row>
          <xdr:rowOff>19050</xdr:rowOff>
        </xdr:to>
        <xdr:sp macro="" textlink="">
          <xdr:nvSpPr>
            <xdr:cNvPr id="2055" name="btnExpressionsLookup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2343150</xdr:colOff>
          <xdr:row>5</xdr:row>
          <xdr:rowOff>0</xdr:rowOff>
        </xdr:from>
        <xdr:to>
          <xdr:col>5</xdr:col>
          <xdr:colOff>762000</xdr:colOff>
          <xdr:row>6</xdr:row>
          <xdr:rowOff>19050</xdr:rowOff>
        </xdr:to>
        <xdr:sp macro="" textlink="">
          <xdr:nvSpPr>
            <xdr:cNvPr id="2056" name="btnDatatype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1190625</xdr:colOff>
          <xdr:row>5</xdr:row>
          <xdr:rowOff>0</xdr:rowOff>
        </xdr:from>
        <xdr:to>
          <xdr:col>5</xdr:col>
          <xdr:colOff>9525</xdr:colOff>
          <xdr:row>6</xdr:row>
          <xdr:rowOff>19050</xdr:rowOff>
        </xdr:to>
        <xdr:sp macro="" textlink="">
          <xdr:nvSpPr>
            <xdr:cNvPr id="2057" name="btnListViewerLookup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4</xdr:col>
          <xdr:colOff>1190625</xdr:colOff>
          <xdr:row>6</xdr:row>
          <xdr:rowOff>19050</xdr:rowOff>
        </xdr:to>
        <xdr:sp macro="" textlink="">
          <xdr:nvSpPr>
            <xdr:cNvPr id="2058" name="btnSeriesLookup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1752600</xdr:colOff>
          <xdr:row>5</xdr:row>
          <xdr:rowOff>0</xdr:rowOff>
        </xdr:from>
        <xdr:to>
          <xdr:col>4</xdr:col>
          <xdr:colOff>9525</xdr:colOff>
          <xdr:row>6</xdr:row>
          <xdr:rowOff>19050</xdr:rowOff>
        </xdr:to>
        <xdr:sp macro="" textlink="">
          <xdr:nvSpPr>
            <xdr:cNvPr id="2059" name="btnSelectFormat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1457325</xdr:colOff>
          <xdr:row>5</xdr:row>
          <xdr:rowOff>0</xdr:rowOff>
        </xdr:from>
        <xdr:to>
          <xdr:col>3</xdr:col>
          <xdr:colOff>9525</xdr:colOff>
          <xdr:row>6</xdr:row>
          <xdr:rowOff>19050</xdr:rowOff>
        </xdr:to>
        <xdr:sp macro="" textlink="">
          <xdr:nvSpPr>
            <xdr:cNvPr id="2060" name="btnSCH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1190625</xdr:colOff>
          <xdr:row>5</xdr:row>
          <xdr:rowOff>0</xdr:rowOff>
        </xdr:from>
        <xdr:to>
          <xdr:col>2</xdr:col>
          <xdr:colOff>1466850</xdr:colOff>
          <xdr:row>6</xdr:row>
          <xdr:rowOff>19050</xdr:rowOff>
        </xdr:to>
        <xdr:sp macro="" textlink="">
          <xdr:nvSpPr>
            <xdr:cNvPr id="2061" name="btnCH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5</xdr:row>
          <xdr:rowOff>0</xdr:rowOff>
        </xdr:from>
        <xdr:to>
          <xdr:col>2</xdr:col>
          <xdr:colOff>1190625</xdr:colOff>
          <xdr:row>6</xdr:row>
          <xdr:rowOff>19050</xdr:rowOff>
        </xdr:to>
        <xdr:sp macro="" textlink="">
          <xdr:nvSpPr>
            <xdr:cNvPr id="2062" name="btnCAF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5</xdr:row>
          <xdr:rowOff>0</xdr:rowOff>
        </xdr:from>
        <xdr:to>
          <xdr:col>2</xdr:col>
          <xdr:colOff>876300</xdr:colOff>
          <xdr:row>6</xdr:row>
          <xdr:rowOff>19050</xdr:rowOff>
        </xdr:to>
        <xdr:sp macro="" textlink="">
          <xdr:nvSpPr>
            <xdr:cNvPr id="2063" name="btnTSL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0</xdr:rowOff>
        </xdr:from>
        <xdr:to>
          <xdr:col>2</xdr:col>
          <xdr:colOff>581025</xdr:colOff>
          <xdr:row>6</xdr:row>
          <xdr:rowOff>19050</xdr:rowOff>
        </xdr:to>
        <xdr:sp macro="" textlink="">
          <xdr:nvSpPr>
            <xdr:cNvPr id="2064" name="btnTS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733425</xdr:colOff>
          <xdr:row>5</xdr:row>
          <xdr:rowOff>0</xdr:rowOff>
        </xdr:from>
        <xdr:to>
          <xdr:col>2</xdr:col>
          <xdr:colOff>295275</xdr:colOff>
          <xdr:row>6</xdr:row>
          <xdr:rowOff>19050</xdr:rowOff>
        </xdr:to>
        <xdr:sp macro="" textlink="">
          <xdr:nvSpPr>
            <xdr:cNvPr id="2065" name="btnStatic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1</xdr:col>
          <xdr:colOff>733425</xdr:colOff>
          <xdr:row>6</xdr:row>
          <xdr:rowOff>19050</xdr:rowOff>
        </xdr:to>
        <xdr:sp macro="" textlink="">
          <xdr:nvSpPr>
            <xdr:cNvPr id="2066" name="btnN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5</xdr:row>
          <xdr:rowOff>0</xdr:rowOff>
        </xdr:from>
        <xdr:to>
          <xdr:col>1</xdr:col>
          <xdr:colOff>504825</xdr:colOff>
          <xdr:row>6</xdr:row>
          <xdr:rowOff>19050</xdr:rowOff>
        </xdr:to>
        <xdr:sp macro="" textlink="">
          <xdr:nvSpPr>
            <xdr:cNvPr id="2067" name="btnYesNo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19050</xdr:rowOff>
        </xdr:to>
        <xdr:sp macro="" textlink="">
          <xdr:nvSpPr>
            <xdr:cNvPr id="2068" name="btnY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0</xdr:row>
          <xdr:rowOff>104775</xdr:rowOff>
        </xdr:from>
        <xdr:to>
          <xdr:col>2</xdr:col>
          <xdr:colOff>1381125</xdr:colOff>
          <xdr:row>1</xdr:row>
          <xdr:rowOff>266700</xdr:rowOff>
        </xdr:to>
        <xdr:sp macro="" textlink="">
          <xdr:nvSpPr>
            <xdr:cNvPr id="2069" name="Image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1476375</xdr:colOff>
          <xdr:row>0</xdr:row>
          <xdr:rowOff>114300</xdr:rowOff>
        </xdr:from>
        <xdr:to>
          <xdr:col>4</xdr:col>
          <xdr:colOff>1209675</xdr:colOff>
          <xdr:row>1</xdr:row>
          <xdr:rowOff>238125</xdr:rowOff>
        </xdr:to>
        <xdr:sp macro="" textlink="">
          <xdr:nvSpPr>
            <xdr:cNvPr id="2070" name="Image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0</xdr:rowOff>
        </xdr:from>
        <xdr:to>
          <xdr:col>2</xdr:col>
          <xdr:colOff>209550</xdr:colOff>
          <xdr:row>2</xdr:row>
          <xdr:rowOff>228600</xdr:rowOff>
        </xdr:to>
        <xdr:sp macro="" textlink="">
          <xdr:nvSpPr>
            <xdr:cNvPr id="2071" name="btnUpdate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nb-NO" sz="800" b="0" i="0" u="none" strike="noStrike" baseline="0">
                  <a:solidFill>
                    <a:srgbClr val="333333"/>
                  </a:solidFill>
                  <a:latin typeface="MS Sans Serif"/>
                </a:rPr>
                <a:t>P</a:t>
              </a:r>
              <a:r>
                <a:rPr lang="nb-NO" sz="800" b="0" i="0" u="sng" strike="noStrike" baseline="0">
                  <a:solidFill>
                    <a:srgbClr val="333333"/>
                  </a:solidFill>
                  <a:latin typeface="MS Sans Serif"/>
                </a:rPr>
                <a:t>r</a:t>
              </a:r>
              <a:r>
                <a:rPr lang="nb-NO" sz="800" b="0" i="0" u="none" strike="noStrike" baseline="0">
                  <a:solidFill>
                    <a:srgbClr val="333333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3</xdr:row>
          <xdr:rowOff>0</xdr:rowOff>
        </xdr:from>
        <xdr:to>
          <xdr:col>2</xdr:col>
          <xdr:colOff>1200150</xdr:colOff>
          <xdr:row>3</xdr:row>
          <xdr:rowOff>171450</xdr:rowOff>
        </xdr:to>
        <xdr:sp macro="" textlink="">
          <xdr:nvSpPr>
            <xdr:cNvPr id="2072" name="Label5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390525</xdr:colOff>
          <xdr:row>2</xdr:row>
          <xdr:rowOff>0</xdr:rowOff>
        </xdr:from>
        <xdr:to>
          <xdr:col>2</xdr:col>
          <xdr:colOff>1343025</xdr:colOff>
          <xdr:row>2</xdr:row>
          <xdr:rowOff>228600</xdr:rowOff>
        </xdr:to>
        <xdr:sp macro="" textlink="">
          <xdr:nvSpPr>
            <xdr:cNvPr id="2073" name="btnOptions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nb-NO" sz="800" b="0" i="0" u="none" strike="noStrike" baseline="0">
                  <a:solidFill>
                    <a:srgbClr val="333333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1495425</xdr:colOff>
          <xdr:row>2</xdr:row>
          <xdr:rowOff>0</xdr:rowOff>
        </xdr:from>
        <xdr:to>
          <xdr:col>3</xdr:col>
          <xdr:colOff>628650</xdr:colOff>
          <xdr:row>2</xdr:row>
          <xdr:rowOff>228600</xdr:rowOff>
        </xdr:to>
        <xdr:sp macro="" textlink="">
          <xdr:nvSpPr>
            <xdr:cNvPr id="2074" name="btnSchedule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333333"/>
                  </a:solidFill>
                  <a:latin typeface="Arial"/>
                  <a:cs typeface="Arial"/>
                </a:rPr>
                <a:t>Schedule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752475</xdr:colOff>
          <xdr:row>2</xdr:row>
          <xdr:rowOff>0</xdr:rowOff>
        </xdr:from>
        <xdr:to>
          <xdr:col>4</xdr:col>
          <xdr:colOff>428625</xdr:colOff>
          <xdr:row>2</xdr:row>
          <xdr:rowOff>228600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333333"/>
                  </a:solidFill>
                  <a:latin typeface="Arial"/>
                  <a:cs typeface="Arial"/>
                </a:rPr>
                <a:t>Options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2</xdr:row>
          <xdr:rowOff>0</xdr:rowOff>
        </xdr:from>
        <xdr:to>
          <xdr:col>4</xdr:col>
          <xdr:colOff>1438275</xdr:colOff>
          <xdr:row>2</xdr:row>
          <xdr:rowOff>228600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333333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1666875</xdr:colOff>
          <xdr:row>2</xdr:row>
          <xdr:rowOff>0</xdr:rowOff>
        </xdr:from>
        <xdr:to>
          <xdr:col>5</xdr:col>
          <xdr:colOff>0</xdr:colOff>
          <xdr:row>3</xdr:row>
          <xdr:rowOff>9525</xdr:rowOff>
        </xdr:to>
        <xdr:sp macro="" textlink="">
          <xdr:nvSpPr>
            <xdr:cNvPr id="2077" name="CodeToCell1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1314450</xdr:colOff>
          <xdr:row>0</xdr:row>
          <xdr:rowOff>133350</xdr:rowOff>
        </xdr:from>
        <xdr:to>
          <xdr:col>4</xdr:col>
          <xdr:colOff>2333625</xdr:colOff>
          <xdr:row>1</xdr:row>
          <xdr:rowOff>114300</xdr:rowOff>
        </xdr:to>
        <xdr:sp macro="" textlink="">
          <xdr:nvSpPr>
            <xdr:cNvPr id="2080" name="TextBox1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142875</xdr:colOff>
          <xdr:row>2</xdr:row>
          <xdr:rowOff>0</xdr:rowOff>
        </xdr:from>
        <xdr:to>
          <xdr:col>5</xdr:col>
          <xdr:colOff>419100</xdr:colOff>
          <xdr:row>2</xdr:row>
          <xdr:rowOff>228600</xdr:rowOff>
        </xdr:to>
        <xdr:sp macro="" textlink="">
          <xdr:nvSpPr>
            <xdr:cNvPr id="2081" name="ListFromCodes1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742950</xdr:colOff>
          <xdr:row>0</xdr:row>
          <xdr:rowOff>171450</xdr:rowOff>
        </xdr:from>
        <xdr:to>
          <xdr:col>5</xdr:col>
          <xdr:colOff>1809750</xdr:colOff>
          <xdr:row>1</xdr:row>
          <xdr:rowOff>114300</xdr:rowOff>
        </xdr:to>
        <xdr:sp macro="" textlink="">
          <xdr:nvSpPr>
            <xdr:cNvPr id="2082" name="Label1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742950</xdr:colOff>
          <xdr:row>1</xdr:row>
          <xdr:rowOff>142875</xdr:rowOff>
        </xdr:from>
        <xdr:to>
          <xdr:col>5</xdr:col>
          <xdr:colOff>1704975</xdr:colOff>
          <xdr:row>1</xdr:row>
          <xdr:rowOff>342900</xdr:rowOff>
        </xdr:to>
        <xdr:sp macro="" textlink="">
          <xdr:nvSpPr>
            <xdr:cNvPr id="2083" name="Label4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742950</xdr:colOff>
          <xdr:row>1</xdr:row>
          <xdr:rowOff>371475</xdr:rowOff>
        </xdr:from>
        <xdr:to>
          <xdr:col>5</xdr:col>
          <xdr:colOff>1628775</xdr:colOff>
          <xdr:row>2</xdr:row>
          <xdr:rowOff>114300</xdr:rowOff>
        </xdr:to>
        <xdr:sp macro="" textlink="">
          <xdr:nvSpPr>
            <xdr:cNvPr id="2084" name="Label2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1885950</xdr:colOff>
          <xdr:row>0</xdr:row>
          <xdr:rowOff>152400</xdr:rowOff>
        </xdr:from>
        <xdr:to>
          <xdr:col>5</xdr:col>
          <xdr:colOff>2990850</xdr:colOff>
          <xdr:row>1</xdr:row>
          <xdr:rowOff>95250</xdr:rowOff>
        </xdr:to>
        <xdr:sp macro="" textlink="">
          <xdr:nvSpPr>
            <xdr:cNvPr id="2085" name="TextBox2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1885950</xdr:colOff>
          <xdr:row>1</xdr:row>
          <xdr:rowOff>352425</xdr:rowOff>
        </xdr:from>
        <xdr:to>
          <xdr:col>5</xdr:col>
          <xdr:colOff>2990850</xdr:colOff>
          <xdr:row>2</xdr:row>
          <xdr:rowOff>95250</xdr:rowOff>
        </xdr:to>
        <xdr:sp macro="" textlink="">
          <xdr:nvSpPr>
            <xdr:cNvPr id="2086" name="txtMacroName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1885950</xdr:colOff>
          <xdr:row>1</xdr:row>
          <xdr:rowOff>123825</xdr:rowOff>
        </xdr:from>
        <xdr:to>
          <xdr:col>5</xdr:col>
          <xdr:colOff>2990850</xdr:colOff>
          <xdr:row>1</xdr:row>
          <xdr:rowOff>323850</xdr:rowOff>
        </xdr:to>
        <xdr:sp macro="" textlink="">
          <xdr:nvSpPr>
            <xdr:cNvPr id="2087" name="TxtPreRequestMacroName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0</xdr:row>
          <xdr:rowOff>57150</xdr:rowOff>
        </xdr:from>
        <xdr:to>
          <xdr:col>7</xdr:col>
          <xdr:colOff>714375</xdr:colOff>
          <xdr:row>1</xdr:row>
          <xdr:rowOff>19050</xdr:rowOff>
        </xdr:to>
        <xdr:sp macro="" textlink="">
          <xdr:nvSpPr>
            <xdr:cNvPr id="2091" name="chkRTCurrencyOption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Always Return Currency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1</xdr:row>
          <xdr:rowOff>142875</xdr:rowOff>
        </xdr:from>
        <xdr:to>
          <xdr:col>8</xdr:col>
          <xdr:colOff>695325</xdr:colOff>
          <xdr:row>1</xdr:row>
          <xdr:rowOff>361950</xdr:rowOff>
        </xdr:to>
        <xdr:sp macro="" textlink="">
          <xdr:nvSpPr>
            <xdr:cNvPr id="2093" name="chkScrAutoRefresh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ScreenRefresh/Auto-calc 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1</xdr:row>
          <xdr:rowOff>304800</xdr:rowOff>
        </xdr:from>
        <xdr:to>
          <xdr:col>8</xdr:col>
          <xdr:colOff>695325</xdr:colOff>
          <xdr:row>2</xdr:row>
          <xdr:rowOff>66675</xdr:rowOff>
        </xdr:to>
        <xdr:sp macro="" textlink="">
          <xdr:nvSpPr>
            <xdr:cNvPr id="2094" name="chkShowStats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2</xdr:row>
          <xdr:rowOff>19050</xdr:rowOff>
        </xdr:from>
        <xdr:to>
          <xdr:col>8</xdr:col>
          <xdr:colOff>695325</xdr:colOff>
          <xdr:row>3</xdr:row>
          <xdr:rowOff>0</xdr:rowOff>
        </xdr:to>
        <xdr:sp macro="" textlink="">
          <xdr:nvSpPr>
            <xdr:cNvPr id="2095" name="link_data_destination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2</xdr:row>
          <xdr:rowOff>180975</xdr:rowOff>
        </xdr:from>
        <xdr:to>
          <xdr:col>8</xdr:col>
          <xdr:colOff>647700</xdr:colOff>
          <xdr:row>3</xdr:row>
          <xdr:rowOff>161925</xdr:rowOff>
        </xdr:to>
        <xdr:sp macro="" textlink="">
          <xdr:nvSpPr>
            <xdr:cNvPr id="2096" name="chkR1C1DataDestination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19050</xdr:rowOff>
        </xdr:from>
        <xdr:to>
          <xdr:col>12</xdr:col>
          <xdr:colOff>1581150</xdr:colOff>
          <xdr:row>0</xdr:row>
          <xdr:rowOff>200025</xdr:rowOff>
        </xdr:to>
        <xdr:sp macro="" textlink="">
          <xdr:nvSpPr>
            <xdr:cNvPr id="2101" name="lblTotalRequests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</xdr:row>
          <xdr:rowOff>9525</xdr:rowOff>
        </xdr:from>
        <xdr:to>
          <xdr:col>12</xdr:col>
          <xdr:colOff>1581150</xdr:colOff>
          <xdr:row>1</xdr:row>
          <xdr:rowOff>190500</xdr:rowOff>
        </xdr:to>
        <xdr:sp macro="" textlink="">
          <xdr:nvSpPr>
            <xdr:cNvPr id="2102" name="lblLiveRequests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38100</xdr:rowOff>
        </xdr:from>
        <xdr:to>
          <xdr:col>12</xdr:col>
          <xdr:colOff>1571625</xdr:colOff>
          <xdr:row>2</xdr:row>
          <xdr:rowOff>219075</xdr:rowOff>
        </xdr:to>
        <xdr:sp macro="" textlink="">
          <xdr:nvSpPr>
            <xdr:cNvPr id="2103" name="lblTotalTimeTaken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0</xdr:row>
          <xdr:rowOff>228600</xdr:rowOff>
        </xdr:from>
        <xdr:to>
          <xdr:col>8</xdr:col>
          <xdr:colOff>352425</xdr:colOff>
          <xdr:row>1</xdr:row>
          <xdr:rowOff>190500</xdr:rowOff>
        </xdr:to>
        <xdr:sp macro="" textlink="">
          <xdr:nvSpPr>
            <xdr:cNvPr id="2106" name="chkFormatSeries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Format Series Column as "General"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4.xml"/><Relationship Id="rId76" Type="http://schemas.openxmlformats.org/officeDocument/2006/relationships/ctrlProp" Target="../ctrlProps/ctrlProp5.xml"/><Relationship Id="rId7" Type="http://schemas.openxmlformats.org/officeDocument/2006/relationships/image" Target="../media/image2.emf"/><Relationship Id="rId71" Type="http://schemas.openxmlformats.org/officeDocument/2006/relationships/image" Target="../media/image33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3.xml"/><Relationship Id="rId74" Type="http://schemas.openxmlformats.org/officeDocument/2006/relationships/ctrlProp" Target="../ctrlProps/ctrlProp3.xml"/><Relationship Id="rId79" Type="http://schemas.openxmlformats.org/officeDocument/2006/relationships/ctrlProp" Target="../ctrlProps/ctrlProp8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82" Type="http://schemas.openxmlformats.org/officeDocument/2006/relationships/ctrlProp" Target="../ctrlProps/ctrlProp1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2.xml"/><Relationship Id="rId78" Type="http://schemas.openxmlformats.org/officeDocument/2006/relationships/ctrlProp" Target="../ctrlProps/ctrlProp7.xml"/><Relationship Id="rId81" Type="http://schemas.openxmlformats.org/officeDocument/2006/relationships/ctrlProp" Target="../ctrlProps/ctrlProp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2.emf"/><Relationship Id="rId77" Type="http://schemas.openxmlformats.org/officeDocument/2006/relationships/ctrlProp" Target="../ctrlProps/ctrlProp6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1.xml"/><Relationship Id="rId80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1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5.xml"/><Relationship Id="rId75" Type="http://schemas.openxmlformats.org/officeDocument/2006/relationships/ctrlProp" Target="../ctrlProps/ctrlProp4.xml"/><Relationship Id="rId83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CL1739"/>
  <sheetViews>
    <sheetView showGridLines="0" showZeros="0" workbookViewId="0">
      <pane ySplit="6" topLeftCell="A7" activePane="bottomLeft" state="frozen"/>
      <selection pane="bottomLeft" activeCell="K7" sqref="K7"/>
    </sheetView>
  </sheetViews>
  <sheetFormatPr defaultRowHeight="12.75" x14ac:dyDescent="0.2"/>
  <cols>
    <col min="1" max="1" width="3.28515625" style="35" customWidth="1"/>
    <col min="2" max="2" width="11.140625" style="42" customWidth="1"/>
    <col min="3" max="3" width="26.42578125" style="42" customWidth="1"/>
    <col min="4" max="4" width="17.140625" style="42" customWidth="1"/>
    <col min="5" max="5" width="35.42578125" style="43" customWidth="1"/>
    <col min="6" max="6" width="46.140625" style="44" customWidth="1"/>
    <col min="7" max="8" width="11.42578125" style="45" customWidth="1"/>
    <col min="9" max="9" width="11" style="45" customWidth="1"/>
    <col min="10" max="10" width="13.85546875" style="35" hidden="1" customWidth="1"/>
    <col min="11" max="11" width="49" style="41" bestFit="1" customWidth="1"/>
    <col min="12" max="12" width="14.42578125" style="41" bestFit="1" customWidth="1"/>
    <col min="13" max="13" width="60.140625" style="45" customWidth="1"/>
    <col min="14" max="14" width="5.5703125" style="35" customWidth="1"/>
    <col min="15" max="15" width="4.7109375" style="35" customWidth="1"/>
    <col min="16" max="16" width="8.85546875" style="35" customWidth="1"/>
    <col min="17" max="17" width="8.140625" style="35" customWidth="1"/>
    <col min="18" max="19" width="8" style="35" customWidth="1"/>
    <col min="20" max="20" width="11.42578125" style="35" customWidth="1"/>
    <col min="21" max="21" width="15.140625" style="35" customWidth="1"/>
    <col min="22" max="22" width="1.85546875" style="35" customWidth="1"/>
    <col min="23" max="23" width="4.28515625" style="35" customWidth="1"/>
    <col min="24" max="24" width="3.7109375" style="35" customWidth="1"/>
    <col min="25" max="25" width="8.5703125" style="35" customWidth="1"/>
    <col min="26" max="26" width="8" style="35" customWidth="1"/>
    <col min="27" max="27" width="8.140625" style="35" hidden="1" customWidth="1"/>
    <col min="28" max="28" width="10" style="35" customWidth="1"/>
    <col min="29" max="29" width="8" style="35" customWidth="1"/>
    <col min="30" max="30" width="25.28515625" style="35" customWidth="1"/>
    <col min="31" max="31" width="25.28515625" style="35" bestFit="1" customWidth="1"/>
    <col min="32" max="32" width="16.42578125" style="35" bestFit="1" customWidth="1"/>
    <col min="33" max="33" width="9.85546875" style="35" customWidth="1"/>
    <col min="34" max="16384" width="9.140625" style="35"/>
  </cols>
  <sheetData>
    <row r="1" spans="1:90" customFormat="1" ht="20.25" customHeight="1" x14ac:dyDescent="0.2">
      <c r="B1" s="1"/>
      <c r="C1" s="1"/>
      <c r="D1" s="1"/>
      <c r="E1" s="2"/>
      <c r="F1" s="2"/>
      <c r="G1" s="76"/>
      <c r="H1" s="3"/>
      <c r="I1" s="3"/>
      <c r="K1" s="4"/>
      <c r="L1" s="4"/>
      <c r="M1" s="3"/>
    </row>
    <row r="2" spans="1:90" s="5" customFormat="1" ht="36" customHeight="1" x14ac:dyDescent="0.2">
      <c r="A2" s="46" t="s">
        <v>153</v>
      </c>
      <c r="B2" s="1"/>
      <c r="C2" s="6"/>
      <c r="D2" s="1"/>
      <c r="E2" s="7"/>
      <c r="F2" s="7"/>
      <c r="G2" s="77"/>
      <c r="H2" s="8"/>
      <c r="I2" s="8"/>
      <c r="K2" s="9"/>
      <c r="L2" s="9"/>
      <c r="M2" s="8"/>
      <c r="CL2"/>
    </row>
    <row r="3" spans="1:90" customFormat="1" ht="18.75" customHeight="1" x14ac:dyDescent="0.2">
      <c r="B3" s="1"/>
      <c r="C3" s="1"/>
      <c r="D3" s="1"/>
      <c r="E3" s="2"/>
      <c r="F3" s="44"/>
      <c r="G3" s="77"/>
      <c r="H3" s="3"/>
      <c r="I3" s="3"/>
      <c r="K3" s="10"/>
      <c r="L3" s="11" t="s">
        <v>0</v>
      </c>
      <c r="M3" s="3"/>
      <c r="N3" s="12" t="s">
        <v>0</v>
      </c>
      <c r="Z3" s="5"/>
      <c r="AA3" s="5"/>
      <c r="AB3" s="5"/>
      <c r="AC3" s="5"/>
      <c r="AD3" s="13"/>
      <c r="AE3" s="13"/>
      <c r="AF3" s="13"/>
      <c r="AG3" s="5"/>
      <c r="AH3" s="5"/>
      <c r="CL3" s="5"/>
    </row>
    <row r="4" spans="1:90" customFormat="1" ht="16.5" customHeight="1" x14ac:dyDescent="0.2">
      <c r="A4" s="3"/>
      <c r="B4" s="1"/>
      <c r="C4" s="1"/>
      <c r="D4" s="47"/>
      <c r="E4" s="2"/>
      <c r="F4" s="14"/>
      <c r="G4" s="78"/>
      <c r="H4" s="3"/>
      <c r="I4" s="15"/>
      <c r="J4" s="16"/>
      <c r="K4" s="17"/>
      <c r="L4" s="60" t="s">
        <v>1</v>
      </c>
      <c r="M4" s="61">
        <v>41516</v>
      </c>
      <c r="X4" s="18"/>
      <c r="Y4" s="18"/>
      <c r="Z4" s="5"/>
      <c r="AA4" s="5"/>
      <c r="AB4" s="5"/>
      <c r="AC4" s="5"/>
      <c r="AD4" s="13"/>
      <c r="AE4" s="13"/>
      <c r="AF4" s="13"/>
      <c r="AG4" s="5"/>
      <c r="AH4" s="5"/>
    </row>
    <row r="5" spans="1:90" s="69" customFormat="1" ht="11.25" customHeight="1" x14ac:dyDescent="0.2">
      <c r="A5" s="64"/>
      <c r="B5" s="58" t="s">
        <v>2</v>
      </c>
      <c r="C5" s="65" t="s">
        <v>3</v>
      </c>
      <c r="D5" s="66" t="s">
        <v>4</v>
      </c>
      <c r="E5" s="59" t="s">
        <v>5</v>
      </c>
      <c r="F5" s="59" t="s">
        <v>21</v>
      </c>
      <c r="G5" s="58" t="s">
        <v>6</v>
      </c>
      <c r="H5" s="58" t="s">
        <v>7</v>
      </c>
      <c r="I5" s="58" t="s">
        <v>8</v>
      </c>
      <c r="J5" s="19" t="s">
        <v>9</v>
      </c>
      <c r="K5" s="67"/>
      <c r="L5" s="171" t="s">
        <v>10</v>
      </c>
      <c r="M5" s="171" t="s">
        <v>11</v>
      </c>
      <c r="N5" s="62"/>
      <c r="O5" s="63"/>
      <c r="P5" s="63" t="s">
        <v>12</v>
      </c>
      <c r="Q5" s="63"/>
      <c r="R5" s="63"/>
      <c r="S5" s="63"/>
      <c r="T5" s="63" t="s">
        <v>19</v>
      </c>
      <c r="U5" s="58" t="s">
        <v>20</v>
      </c>
      <c r="V5" s="68"/>
      <c r="X5" s="70"/>
      <c r="Y5" s="70"/>
      <c r="Z5" s="71"/>
      <c r="AA5" s="71"/>
      <c r="AB5" s="71"/>
      <c r="AC5" s="71"/>
      <c r="AD5" s="72"/>
      <c r="AE5" s="72"/>
      <c r="AF5" s="72"/>
      <c r="AG5" s="71"/>
      <c r="AH5" s="71"/>
      <c r="CL5" s="64"/>
    </row>
    <row r="6" spans="1:90" s="5" customFormat="1" ht="20.25" customHeight="1" x14ac:dyDescent="0.2">
      <c r="A6" s="73"/>
      <c r="B6" s="20"/>
      <c r="C6" s="21"/>
      <c r="D6" s="21"/>
      <c r="E6" s="22"/>
      <c r="F6" s="23"/>
      <c r="G6" s="56"/>
      <c r="H6" s="56"/>
      <c r="I6" s="24"/>
      <c r="J6" s="25"/>
      <c r="K6" s="26"/>
      <c r="L6" s="171"/>
      <c r="M6" s="171"/>
      <c r="N6" s="74" t="s">
        <v>13</v>
      </c>
      <c r="O6" s="75" t="s">
        <v>14</v>
      </c>
      <c r="P6" s="75" t="s">
        <v>15</v>
      </c>
      <c r="Q6" s="75" t="s">
        <v>16</v>
      </c>
      <c r="R6" s="75" t="s">
        <v>17</v>
      </c>
      <c r="S6" s="75" t="s">
        <v>18</v>
      </c>
      <c r="T6" s="49"/>
      <c r="U6" s="48"/>
      <c r="V6" s="46"/>
      <c r="X6" s="18"/>
      <c r="Y6" s="18"/>
      <c r="AD6" s="13"/>
      <c r="AE6" s="13"/>
      <c r="AF6" s="13"/>
      <c r="CL6" s="8"/>
    </row>
    <row r="7" spans="1:90" s="18" customFormat="1" ht="14.1" customHeight="1" x14ac:dyDescent="0.2">
      <c r="B7" s="80" t="s">
        <v>23</v>
      </c>
      <c r="C7" s="80" t="s">
        <v>28</v>
      </c>
      <c r="D7" s="80" t="s">
        <v>91</v>
      </c>
      <c r="E7" s="81" t="s">
        <v>69</v>
      </c>
      <c r="F7" s="81"/>
      <c r="G7" s="82" t="s">
        <v>110</v>
      </c>
      <c r="H7" s="82" t="s">
        <v>111</v>
      </c>
      <c r="I7" s="81"/>
      <c r="J7" s="81"/>
      <c r="K7" s="81" t="s">
        <v>89</v>
      </c>
      <c r="L7" s="82" t="s">
        <v>29</v>
      </c>
      <c r="M7" s="79"/>
      <c r="N7" s="51">
        <v>128</v>
      </c>
      <c r="O7" s="51">
        <v>1</v>
      </c>
      <c r="P7" s="52">
        <v>128</v>
      </c>
      <c r="Q7" s="53">
        <v>0.61503472222222222</v>
      </c>
      <c r="R7" s="53">
        <v>0.6150578703703703</v>
      </c>
      <c r="S7" s="53">
        <v>2.3148148148148147E-5</v>
      </c>
      <c r="T7" s="53" t="s">
        <v>25</v>
      </c>
      <c r="U7" s="57" t="s">
        <v>26</v>
      </c>
      <c r="W7" s="27"/>
      <c r="Z7" s="27"/>
      <c r="AA7" s="27"/>
      <c r="AB7" s="27"/>
      <c r="AC7" s="27"/>
      <c r="AD7" s="13"/>
      <c r="AE7" s="13"/>
      <c r="AF7" s="13"/>
      <c r="AG7" s="27"/>
      <c r="AH7" s="27"/>
      <c r="AI7" s="27"/>
      <c r="AJ7" s="27"/>
      <c r="CL7" s="27"/>
    </row>
    <row r="8" spans="1:90" s="18" customFormat="1" ht="14.1" customHeight="1" x14ac:dyDescent="0.2">
      <c r="B8" s="80" t="s">
        <v>23</v>
      </c>
      <c r="C8" s="80" t="s">
        <v>28</v>
      </c>
      <c r="D8" s="80" t="s">
        <v>91</v>
      </c>
      <c r="E8" s="81" t="s">
        <v>27</v>
      </c>
      <c r="F8" s="81"/>
      <c r="G8" s="82" t="s">
        <v>110</v>
      </c>
      <c r="H8" s="82" t="s">
        <v>111</v>
      </c>
      <c r="I8" s="81"/>
      <c r="J8" s="81"/>
      <c r="K8" s="81" t="s">
        <v>92</v>
      </c>
      <c r="L8" s="81" t="s">
        <v>29</v>
      </c>
      <c r="M8" s="83"/>
      <c r="N8" s="51">
        <v>128</v>
      </c>
      <c r="O8" s="51">
        <v>1</v>
      </c>
      <c r="P8" s="52">
        <v>128</v>
      </c>
      <c r="Q8" s="53">
        <v>0.6150578703703703</v>
      </c>
      <c r="R8" s="53">
        <v>0.61506944444444445</v>
      </c>
      <c r="S8" s="53">
        <v>1.1574074074074073E-5</v>
      </c>
      <c r="T8" s="53" t="s">
        <v>25</v>
      </c>
      <c r="U8" s="53" t="s">
        <v>26</v>
      </c>
      <c r="W8" s="27"/>
      <c r="Z8" s="27"/>
      <c r="AA8" s="27"/>
      <c r="AB8" s="27"/>
      <c r="AC8" s="27"/>
      <c r="AD8" s="13"/>
      <c r="AE8" s="13"/>
      <c r="AF8" s="13"/>
      <c r="AG8" s="27"/>
      <c r="AH8" s="27"/>
      <c r="AI8" s="27"/>
      <c r="AJ8" s="27"/>
      <c r="CL8" s="27"/>
    </row>
    <row r="9" spans="1:90" s="18" customFormat="1" ht="14.1" customHeight="1" x14ac:dyDescent="0.2">
      <c r="B9" s="80" t="s">
        <v>23</v>
      </c>
      <c r="C9" s="80" t="s">
        <v>28</v>
      </c>
      <c r="D9" s="80" t="s">
        <v>91</v>
      </c>
      <c r="E9" s="104" t="s">
        <v>70</v>
      </c>
      <c r="F9" s="81"/>
      <c r="G9" s="82" t="s">
        <v>110</v>
      </c>
      <c r="H9" s="82" t="s">
        <v>111</v>
      </c>
      <c r="I9" s="81"/>
      <c r="J9" s="81"/>
      <c r="K9" s="81" t="s">
        <v>96</v>
      </c>
      <c r="L9" s="81" t="s">
        <v>29</v>
      </c>
      <c r="M9" s="50"/>
      <c r="N9" s="51">
        <v>128</v>
      </c>
      <c r="O9" s="51">
        <v>1</v>
      </c>
      <c r="P9" s="52">
        <v>128</v>
      </c>
      <c r="Q9" s="53">
        <v>0.61506944444444445</v>
      </c>
      <c r="R9" s="53">
        <v>0.61506944444444445</v>
      </c>
      <c r="S9" s="53">
        <v>0</v>
      </c>
      <c r="T9" s="53" t="s">
        <v>25</v>
      </c>
      <c r="U9" s="53" t="s">
        <v>26</v>
      </c>
      <c r="W9" s="27"/>
      <c r="Z9" s="27"/>
      <c r="AA9" s="27"/>
      <c r="AB9" s="27"/>
      <c r="AC9" s="27"/>
      <c r="AD9" s="13"/>
      <c r="AE9" s="13"/>
      <c r="AF9" s="13"/>
      <c r="AG9" s="27"/>
      <c r="AH9" s="27"/>
      <c r="AI9" s="27"/>
      <c r="AJ9" s="27"/>
      <c r="CL9" s="27"/>
    </row>
    <row r="10" spans="1:90" s="18" customFormat="1" ht="14.1" customHeight="1" x14ac:dyDescent="0.2">
      <c r="B10" s="80" t="s">
        <v>23</v>
      </c>
      <c r="C10" s="80" t="s">
        <v>28</v>
      </c>
      <c r="D10" s="80" t="s">
        <v>91</v>
      </c>
      <c r="E10" s="81" t="s">
        <v>24</v>
      </c>
      <c r="F10" s="81"/>
      <c r="G10" s="82" t="s">
        <v>110</v>
      </c>
      <c r="H10" s="82" t="s">
        <v>111</v>
      </c>
      <c r="I10" s="81"/>
      <c r="J10" s="81"/>
      <c r="K10" s="81" t="s">
        <v>98</v>
      </c>
      <c r="L10" s="81" t="s">
        <v>29</v>
      </c>
      <c r="M10" s="50"/>
      <c r="N10" s="51">
        <v>128</v>
      </c>
      <c r="O10" s="51">
        <v>1</v>
      </c>
      <c r="P10" s="52">
        <v>128</v>
      </c>
      <c r="Q10" s="53">
        <v>0.61506944444444445</v>
      </c>
      <c r="R10" s="53">
        <v>0.61508101851851849</v>
      </c>
      <c r="S10" s="53">
        <v>1.1574074074074073E-5</v>
      </c>
      <c r="T10" s="53" t="s">
        <v>25</v>
      </c>
      <c r="U10" s="53" t="s">
        <v>26</v>
      </c>
      <c r="W10" s="27"/>
      <c r="Z10" s="27"/>
      <c r="AA10" s="27"/>
      <c r="AB10" s="27"/>
      <c r="AC10" s="27"/>
      <c r="AD10" s="13"/>
      <c r="AE10" s="13"/>
      <c r="AF10" s="13"/>
      <c r="AG10" s="27"/>
      <c r="AH10" s="27"/>
      <c r="AI10" s="27"/>
      <c r="AJ10" s="27"/>
      <c r="CL10" s="27"/>
    </row>
    <row r="11" spans="1:90" s="18" customFormat="1" ht="14.1" customHeight="1" x14ac:dyDescent="0.2">
      <c r="A11" s="84"/>
      <c r="B11" s="80" t="s">
        <v>23</v>
      </c>
      <c r="C11" s="80" t="s">
        <v>28</v>
      </c>
      <c r="D11" s="80" t="s">
        <v>91</v>
      </c>
      <c r="E11" s="81" t="s">
        <v>71</v>
      </c>
      <c r="F11" s="81"/>
      <c r="G11" s="82" t="s">
        <v>110</v>
      </c>
      <c r="H11" s="82" t="s">
        <v>111</v>
      </c>
      <c r="I11" s="81"/>
      <c r="J11" s="81"/>
      <c r="K11" s="81" t="s">
        <v>101</v>
      </c>
      <c r="L11" s="81" t="s">
        <v>29</v>
      </c>
      <c r="M11" s="50"/>
      <c r="N11" s="51">
        <v>128</v>
      </c>
      <c r="O11" s="51">
        <v>1</v>
      </c>
      <c r="P11" s="52">
        <v>128</v>
      </c>
      <c r="Q11" s="53">
        <v>0.61508101851851849</v>
      </c>
      <c r="R11" s="53">
        <v>0.61508101851851849</v>
      </c>
      <c r="S11" s="53">
        <v>0</v>
      </c>
      <c r="T11" s="55" t="s">
        <v>25</v>
      </c>
      <c r="U11" s="55" t="s">
        <v>26</v>
      </c>
      <c r="W11" s="27"/>
      <c r="Z11" s="27"/>
      <c r="AA11" s="27"/>
      <c r="AB11" s="27"/>
      <c r="AC11" s="27"/>
      <c r="AD11" s="13"/>
      <c r="AE11" s="13"/>
      <c r="AF11" s="13"/>
      <c r="AG11" s="27"/>
      <c r="AH11" s="27"/>
      <c r="AI11" s="27"/>
      <c r="AJ11" s="27"/>
      <c r="CL11" s="27"/>
    </row>
    <row r="12" spans="1:90" s="18" customFormat="1" ht="14.1" customHeight="1" x14ac:dyDescent="0.2">
      <c r="B12" s="80" t="s">
        <v>23</v>
      </c>
      <c r="C12" s="80" t="s">
        <v>28</v>
      </c>
      <c r="D12" s="80" t="s">
        <v>91</v>
      </c>
      <c r="E12" s="81" t="s">
        <v>72</v>
      </c>
      <c r="F12" s="81"/>
      <c r="G12" s="82" t="s">
        <v>110</v>
      </c>
      <c r="H12" s="82" t="s">
        <v>111</v>
      </c>
      <c r="I12" s="81"/>
      <c r="J12" s="81"/>
      <c r="K12" s="81" t="s">
        <v>106</v>
      </c>
      <c r="L12" s="81" t="s">
        <v>29</v>
      </c>
      <c r="M12" s="50"/>
      <c r="N12" s="51">
        <v>128</v>
      </c>
      <c r="O12" s="51">
        <v>1</v>
      </c>
      <c r="P12" s="52">
        <v>128</v>
      </c>
      <c r="Q12" s="53">
        <v>0.61508101851851849</v>
      </c>
      <c r="R12" s="53">
        <v>0.61509259259259264</v>
      </c>
      <c r="S12" s="53">
        <v>1.1574074074074073E-5</v>
      </c>
      <c r="T12" s="55" t="s">
        <v>25</v>
      </c>
      <c r="U12" s="55" t="s">
        <v>26</v>
      </c>
      <c r="W12" s="27"/>
      <c r="Z12" s="27"/>
      <c r="AA12" s="27"/>
      <c r="AB12" s="27"/>
      <c r="AC12" s="27"/>
      <c r="AD12" s="13"/>
      <c r="AE12" s="13"/>
      <c r="AF12" s="13"/>
      <c r="AG12" s="27"/>
      <c r="AH12" s="27"/>
      <c r="AI12" s="27"/>
      <c r="AJ12" s="27"/>
      <c r="CL12" s="27"/>
    </row>
    <row r="13" spans="1:90" s="18" customFormat="1" ht="14.1" customHeight="1" x14ac:dyDescent="0.2">
      <c r="B13" s="80" t="s">
        <v>23</v>
      </c>
      <c r="C13" s="110" t="s">
        <v>28</v>
      </c>
      <c r="D13" s="80" t="s">
        <v>91</v>
      </c>
      <c r="E13" s="111" t="s">
        <v>73</v>
      </c>
      <c r="F13" s="111"/>
      <c r="G13" s="82" t="s">
        <v>110</v>
      </c>
      <c r="H13" s="82" t="s">
        <v>111</v>
      </c>
      <c r="I13" s="111"/>
      <c r="J13" s="111"/>
      <c r="K13" s="111" t="s">
        <v>107</v>
      </c>
      <c r="L13" s="111" t="s">
        <v>29</v>
      </c>
      <c r="M13" s="112"/>
      <c r="N13" s="113">
        <v>128</v>
      </c>
      <c r="O13" s="113">
        <v>1</v>
      </c>
      <c r="P13" s="114">
        <v>128</v>
      </c>
      <c r="Q13" s="115">
        <v>0.61509259259259264</v>
      </c>
      <c r="R13" s="115">
        <v>0.61510416666666667</v>
      </c>
      <c r="S13" s="115">
        <v>1.1574074074074073E-5</v>
      </c>
      <c r="T13" s="116" t="s">
        <v>25</v>
      </c>
      <c r="U13" s="116" t="s">
        <v>26</v>
      </c>
      <c r="W13" s="27"/>
      <c r="Z13" s="27"/>
      <c r="AA13" s="27"/>
      <c r="AB13" s="27"/>
      <c r="AC13" s="27"/>
      <c r="AD13" s="13"/>
      <c r="AE13" s="13"/>
      <c r="AF13" s="13"/>
      <c r="AG13" s="27"/>
      <c r="AH13" s="27"/>
      <c r="AI13" s="27"/>
      <c r="AJ13" s="27"/>
      <c r="CL13" s="27"/>
    </row>
    <row r="14" spans="1:90" s="18" customFormat="1" ht="14.1" customHeight="1" x14ac:dyDescent="0.2">
      <c r="B14" s="80" t="s">
        <v>23</v>
      </c>
      <c r="C14" s="105" t="s">
        <v>28</v>
      </c>
      <c r="D14" s="80" t="s">
        <v>91</v>
      </c>
      <c r="E14" s="81" t="s">
        <v>75</v>
      </c>
      <c r="F14" s="82" t="s">
        <v>0</v>
      </c>
      <c r="G14" s="82" t="s">
        <v>110</v>
      </c>
      <c r="H14" s="82" t="s">
        <v>111</v>
      </c>
      <c r="I14" s="82"/>
      <c r="J14" s="82"/>
      <c r="K14" s="81" t="s">
        <v>88</v>
      </c>
      <c r="L14" s="82" t="s">
        <v>29</v>
      </c>
      <c r="M14" s="106"/>
      <c r="N14" s="107">
        <v>128</v>
      </c>
      <c r="O14" s="107">
        <v>1</v>
      </c>
      <c r="P14" s="108">
        <v>128</v>
      </c>
      <c r="Q14" s="57">
        <v>0.61510416666666667</v>
      </c>
      <c r="R14" s="57">
        <v>0.61511574074074071</v>
      </c>
      <c r="S14" s="57">
        <v>1.1574074074074073E-5</v>
      </c>
      <c r="T14" s="109" t="s">
        <v>25</v>
      </c>
      <c r="U14" s="109" t="s">
        <v>26</v>
      </c>
      <c r="W14" s="27"/>
      <c r="Z14" s="27"/>
      <c r="AA14" s="27"/>
      <c r="AB14" s="27"/>
      <c r="AC14" s="27"/>
      <c r="AD14" s="13"/>
      <c r="AE14" s="13"/>
      <c r="AF14" s="13"/>
      <c r="AG14" s="27"/>
      <c r="AH14" s="27"/>
      <c r="AI14" s="27"/>
      <c r="AJ14" s="27"/>
      <c r="CL14" s="27"/>
    </row>
    <row r="15" spans="1:90" s="18" customFormat="1" ht="14.1" customHeight="1" x14ac:dyDescent="0.2">
      <c r="B15" s="80" t="s">
        <v>23</v>
      </c>
      <c r="C15" s="105" t="s">
        <v>28</v>
      </c>
      <c r="D15" s="80" t="s">
        <v>91</v>
      </c>
      <c r="E15" s="82" t="s">
        <v>74</v>
      </c>
      <c r="F15" s="81"/>
      <c r="G15" s="82" t="s">
        <v>110</v>
      </c>
      <c r="H15" s="82" t="s">
        <v>111</v>
      </c>
      <c r="I15" s="81"/>
      <c r="J15" s="81"/>
      <c r="K15" s="81" t="s">
        <v>93</v>
      </c>
      <c r="L15" s="81" t="s">
        <v>29</v>
      </c>
      <c r="M15" s="50"/>
      <c r="N15" s="51">
        <v>128</v>
      </c>
      <c r="O15" s="51">
        <v>1</v>
      </c>
      <c r="P15" s="52">
        <v>128</v>
      </c>
      <c r="Q15" s="53">
        <v>0.61511574074074071</v>
      </c>
      <c r="R15" s="53">
        <v>0.61511574074074071</v>
      </c>
      <c r="S15" s="53">
        <v>0</v>
      </c>
      <c r="T15" s="55" t="s">
        <v>25</v>
      </c>
      <c r="U15" s="55" t="s">
        <v>26</v>
      </c>
      <c r="W15" s="27"/>
      <c r="Z15" s="27"/>
      <c r="AA15" s="27"/>
      <c r="AB15" s="27"/>
      <c r="AC15" s="27"/>
      <c r="AD15" s="13"/>
      <c r="AE15" s="13"/>
      <c r="AF15" s="13"/>
      <c r="AG15" s="27"/>
      <c r="AH15" s="27"/>
      <c r="AI15" s="27"/>
      <c r="AJ15" s="27"/>
      <c r="CL15" s="27"/>
    </row>
    <row r="16" spans="1:90" s="18" customFormat="1" ht="14.1" customHeight="1" x14ac:dyDescent="0.2">
      <c r="B16" s="80" t="s">
        <v>23</v>
      </c>
      <c r="C16" s="105" t="s">
        <v>28</v>
      </c>
      <c r="D16" s="80" t="s">
        <v>91</v>
      </c>
      <c r="E16" s="117" t="s">
        <v>81</v>
      </c>
      <c r="F16" s="81"/>
      <c r="G16" s="82" t="s">
        <v>110</v>
      </c>
      <c r="H16" s="82" t="s">
        <v>111</v>
      </c>
      <c r="I16" s="81"/>
      <c r="J16" s="81"/>
      <c r="K16" s="81" t="s">
        <v>97</v>
      </c>
      <c r="L16" s="81" t="s">
        <v>29</v>
      </c>
      <c r="M16" s="50"/>
      <c r="N16" s="51">
        <v>128</v>
      </c>
      <c r="O16" s="51">
        <v>1</v>
      </c>
      <c r="P16" s="52">
        <v>128</v>
      </c>
      <c r="Q16" s="53">
        <v>0.61511574074074071</v>
      </c>
      <c r="R16" s="53">
        <v>0.61512731481481475</v>
      </c>
      <c r="S16" s="53">
        <v>1.1574074074074073E-5</v>
      </c>
      <c r="T16" s="55" t="s">
        <v>25</v>
      </c>
      <c r="U16" s="55" t="s">
        <v>26</v>
      </c>
      <c r="W16" s="27"/>
      <c r="Z16" s="27"/>
      <c r="AA16" s="27"/>
      <c r="AB16" s="27"/>
      <c r="AC16" s="27"/>
      <c r="AD16" s="13"/>
      <c r="AE16" s="13"/>
      <c r="AF16" s="13"/>
      <c r="AG16" s="27"/>
      <c r="AH16" s="27"/>
      <c r="AI16" s="27"/>
      <c r="AJ16" s="27"/>
      <c r="CL16" s="27"/>
    </row>
    <row r="17" spans="2:90" s="18" customFormat="1" ht="14.1" customHeight="1" x14ac:dyDescent="0.2">
      <c r="B17" s="80" t="s">
        <v>23</v>
      </c>
      <c r="C17" s="105" t="s">
        <v>28</v>
      </c>
      <c r="D17" s="80" t="s">
        <v>91</v>
      </c>
      <c r="E17" s="81" t="s">
        <v>77</v>
      </c>
      <c r="F17" s="81"/>
      <c r="G17" s="82" t="s">
        <v>110</v>
      </c>
      <c r="H17" s="82" t="s">
        <v>111</v>
      </c>
      <c r="I17" s="81"/>
      <c r="J17" s="81"/>
      <c r="K17" s="81" t="s">
        <v>99</v>
      </c>
      <c r="L17" s="81" t="s">
        <v>29</v>
      </c>
      <c r="M17" s="50"/>
      <c r="N17" s="51">
        <v>128</v>
      </c>
      <c r="O17" s="51">
        <v>1</v>
      </c>
      <c r="P17" s="52">
        <v>128</v>
      </c>
      <c r="Q17" s="53">
        <v>0.61512731481481475</v>
      </c>
      <c r="R17" s="53">
        <v>0.61512731481481475</v>
      </c>
      <c r="S17" s="53">
        <v>0</v>
      </c>
      <c r="T17" s="55" t="s">
        <v>25</v>
      </c>
      <c r="U17" s="55" t="s">
        <v>26</v>
      </c>
      <c r="W17" s="27"/>
      <c r="Z17" s="27"/>
      <c r="AA17" s="27"/>
      <c r="AB17" s="27"/>
      <c r="AC17" s="27"/>
      <c r="AD17" s="13"/>
      <c r="AE17" s="13"/>
      <c r="AF17" s="13"/>
      <c r="AG17" s="27"/>
      <c r="AH17" s="27"/>
      <c r="AI17" s="27"/>
      <c r="AJ17" s="27"/>
      <c r="CL17" s="27"/>
    </row>
    <row r="18" spans="2:90" s="18" customFormat="1" ht="14.1" customHeight="1" x14ac:dyDescent="0.2">
      <c r="B18" s="80" t="s">
        <v>23</v>
      </c>
      <c r="C18" s="105" t="s">
        <v>28</v>
      </c>
      <c r="D18" s="80" t="s">
        <v>91</v>
      </c>
      <c r="E18" s="81" t="s">
        <v>78</v>
      </c>
      <c r="F18" s="81"/>
      <c r="G18" s="82" t="s">
        <v>110</v>
      </c>
      <c r="H18" s="82" t="s">
        <v>111</v>
      </c>
      <c r="I18" s="81"/>
      <c r="J18" s="81"/>
      <c r="K18" s="81" t="s">
        <v>102</v>
      </c>
      <c r="L18" s="81" t="s">
        <v>29</v>
      </c>
      <c r="M18" s="50"/>
      <c r="N18" s="51">
        <v>128</v>
      </c>
      <c r="O18" s="51">
        <v>1</v>
      </c>
      <c r="P18" s="52">
        <v>128</v>
      </c>
      <c r="Q18" s="53">
        <v>0.61512731481481475</v>
      </c>
      <c r="R18" s="53">
        <v>0.6151388888888889</v>
      </c>
      <c r="S18" s="53">
        <v>1.1574074074074073E-5</v>
      </c>
      <c r="T18" s="55" t="s">
        <v>25</v>
      </c>
      <c r="U18" s="55" t="s">
        <v>26</v>
      </c>
      <c r="W18" s="27"/>
      <c r="Z18" s="27"/>
      <c r="AA18" s="27"/>
      <c r="AB18" s="27"/>
      <c r="AC18" s="27"/>
      <c r="AD18" s="13"/>
      <c r="AE18" s="13"/>
      <c r="AF18" s="13"/>
      <c r="AG18" s="27"/>
      <c r="AH18" s="27"/>
      <c r="AI18" s="27"/>
      <c r="AJ18" s="27"/>
      <c r="CL18" s="27"/>
    </row>
    <row r="19" spans="2:90" s="18" customFormat="1" ht="14.1" customHeight="1" x14ac:dyDescent="0.2">
      <c r="B19" s="80" t="s">
        <v>23</v>
      </c>
      <c r="C19" s="105" t="s">
        <v>28</v>
      </c>
      <c r="D19" s="80" t="s">
        <v>91</v>
      </c>
      <c r="E19" s="81" t="s">
        <v>79</v>
      </c>
      <c r="F19" s="81"/>
      <c r="G19" s="82" t="s">
        <v>110</v>
      </c>
      <c r="H19" s="82" t="s">
        <v>111</v>
      </c>
      <c r="I19" s="81"/>
      <c r="J19" s="81"/>
      <c r="K19" s="81" t="s">
        <v>104</v>
      </c>
      <c r="L19" s="81" t="s">
        <v>29</v>
      </c>
      <c r="M19" s="50"/>
      <c r="N19" s="51">
        <v>128</v>
      </c>
      <c r="O19" s="51">
        <v>1</v>
      </c>
      <c r="P19" s="52">
        <v>128</v>
      </c>
      <c r="Q19" s="53">
        <v>0.6151388888888889</v>
      </c>
      <c r="R19" s="53">
        <v>0.6151388888888889</v>
      </c>
      <c r="S19" s="53">
        <v>0</v>
      </c>
      <c r="T19" s="55" t="s">
        <v>25</v>
      </c>
      <c r="U19" s="55" t="s">
        <v>26</v>
      </c>
      <c r="W19" s="27"/>
      <c r="Z19" s="27"/>
      <c r="AA19" s="27"/>
      <c r="AB19" s="27"/>
      <c r="AC19" s="27"/>
      <c r="AD19" s="13"/>
      <c r="AE19" s="13"/>
      <c r="AF19" s="13"/>
      <c r="AG19" s="27"/>
      <c r="AH19" s="27"/>
      <c r="AI19" s="27"/>
      <c r="AJ19" s="27"/>
      <c r="CL19" s="27"/>
    </row>
    <row r="20" spans="2:90" s="18" customFormat="1" ht="14.1" customHeight="1" x14ac:dyDescent="0.2">
      <c r="B20" s="80" t="s">
        <v>23</v>
      </c>
      <c r="C20" s="110" t="s">
        <v>28</v>
      </c>
      <c r="D20" s="80" t="s">
        <v>91</v>
      </c>
      <c r="E20" s="111" t="s">
        <v>80</v>
      </c>
      <c r="F20" s="111"/>
      <c r="G20" s="82" t="s">
        <v>110</v>
      </c>
      <c r="H20" s="82" t="s">
        <v>111</v>
      </c>
      <c r="I20" s="111"/>
      <c r="J20" s="111"/>
      <c r="K20" s="111" t="s">
        <v>108</v>
      </c>
      <c r="L20" s="111" t="s">
        <v>29</v>
      </c>
      <c r="M20" s="112"/>
      <c r="N20" s="113">
        <v>128</v>
      </c>
      <c r="O20" s="113">
        <v>1</v>
      </c>
      <c r="P20" s="114">
        <v>128</v>
      </c>
      <c r="Q20" s="115">
        <v>0.6151388888888889</v>
      </c>
      <c r="R20" s="115">
        <v>0.61515046296296294</v>
      </c>
      <c r="S20" s="115">
        <v>1.1574074074074073E-5</v>
      </c>
      <c r="T20" s="116" t="s">
        <v>25</v>
      </c>
      <c r="U20" s="116" t="s">
        <v>26</v>
      </c>
      <c r="W20" s="27"/>
      <c r="Z20" s="27"/>
      <c r="AA20" s="27"/>
      <c r="AB20" s="27"/>
      <c r="AC20" s="27"/>
      <c r="AD20" s="13"/>
      <c r="AE20" s="13"/>
      <c r="AF20" s="13"/>
      <c r="AG20" s="27"/>
      <c r="AH20" s="27"/>
      <c r="AI20" s="27"/>
      <c r="AJ20" s="27"/>
      <c r="CL20" s="27"/>
    </row>
    <row r="21" spans="2:90" s="18" customFormat="1" ht="14.1" customHeight="1" x14ac:dyDescent="0.2">
      <c r="B21" s="80" t="s">
        <v>23</v>
      </c>
      <c r="C21" s="110" t="s">
        <v>28</v>
      </c>
      <c r="D21" s="80" t="s">
        <v>91</v>
      </c>
      <c r="E21" s="81" t="s">
        <v>76</v>
      </c>
      <c r="F21" s="82"/>
      <c r="G21" s="82" t="s">
        <v>110</v>
      </c>
      <c r="H21" s="82" t="s">
        <v>111</v>
      </c>
      <c r="I21" s="82"/>
      <c r="J21" s="82"/>
      <c r="K21" s="81" t="s">
        <v>90</v>
      </c>
      <c r="L21" s="82" t="s">
        <v>29</v>
      </c>
      <c r="M21" s="106"/>
      <c r="N21" s="107">
        <v>128</v>
      </c>
      <c r="O21" s="107">
        <v>1</v>
      </c>
      <c r="P21" s="108">
        <v>128</v>
      </c>
      <c r="Q21" s="57">
        <v>0.61515046296296294</v>
      </c>
      <c r="R21" s="57">
        <v>0.61516203703703709</v>
      </c>
      <c r="S21" s="57">
        <v>1.1574074074074073E-5</v>
      </c>
      <c r="T21" s="109" t="s">
        <v>25</v>
      </c>
      <c r="U21" s="109" t="s">
        <v>26</v>
      </c>
      <c r="W21" s="27"/>
      <c r="Z21" s="27"/>
      <c r="AA21" s="27"/>
      <c r="AB21" s="27"/>
      <c r="AC21" s="27"/>
      <c r="AD21" s="13"/>
      <c r="AE21" s="13"/>
      <c r="AF21" s="13"/>
      <c r="AG21" s="27"/>
      <c r="AH21" s="27"/>
      <c r="AI21" s="27"/>
      <c r="AJ21" s="27"/>
      <c r="CL21" s="27"/>
    </row>
    <row r="22" spans="2:90" s="18" customFormat="1" ht="14.1" customHeight="1" x14ac:dyDescent="0.2">
      <c r="B22" s="80" t="s">
        <v>23</v>
      </c>
      <c r="C22" s="110" t="s">
        <v>28</v>
      </c>
      <c r="D22" s="80" t="s">
        <v>91</v>
      </c>
      <c r="E22" s="81" t="s">
        <v>82</v>
      </c>
      <c r="F22" s="81"/>
      <c r="G22" s="82" t="s">
        <v>110</v>
      </c>
      <c r="H22" s="82" t="s">
        <v>111</v>
      </c>
      <c r="I22" s="81"/>
      <c r="J22" s="81"/>
      <c r="K22" s="81" t="s">
        <v>94</v>
      </c>
      <c r="L22" s="81" t="s">
        <v>29</v>
      </c>
      <c r="M22" s="50"/>
      <c r="N22" s="51">
        <v>128</v>
      </c>
      <c r="O22" s="51">
        <v>1</v>
      </c>
      <c r="P22" s="52">
        <v>128</v>
      </c>
      <c r="Q22" s="53">
        <v>0.61516203703703709</v>
      </c>
      <c r="R22" s="53">
        <v>0.61516203703703709</v>
      </c>
      <c r="S22" s="53">
        <v>0</v>
      </c>
      <c r="T22" s="55" t="s">
        <v>25</v>
      </c>
      <c r="U22" s="55" t="s">
        <v>26</v>
      </c>
      <c r="W22" s="27"/>
      <c r="Z22" s="27"/>
      <c r="AA22" s="27"/>
      <c r="AB22" s="27"/>
      <c r="AC22" s="27"/>
      <c r="AD22" s="13"/>
      <c r="AE22" s="13"/>
      <c r="AF22" s="13"/>
      <c r="AG22" s="27"/>
      <c r="AH22" s="27"/>
      <c r="AI22" s="27"/>
      <c r="AJ22" s="27"/>
      <c r="CL22" s="27"/>
    </row>
    <row r="23" spans="2:90" s="18" customFormat="1" ht="14.1" customHeight="1" x14ac:dyDescent="0.2">
      <c r="B23" s="80" t="s">
        <v>23</v>
      </c>
      <c r="C23" s="110" t="s">
        <v>28</v>
      </c>
      <c r="D23" s="80" t="s">
        <v>91</v>
      </c>
      <c r="E23" s="82" t="s">
        <v>86</v>
      </c>
      <c r="F23" s="81"/>
      <c r="G23" s="82" t="s">
        <v>110</v>
      </c>
      <c r="H23" s="82" t="s">
        <v>111</v>
      </c>
      <c r="I23" s="81"/>
      <c r="J23" s="81"/>
      <c r="K23" s="81" t="s">
        <v>95</v>
      </c>
      <c r="L23" s="81" t="s">
        <v>29</v>
      </c>
      <c r="M23" s="50"/>
      <c r="N23" s="51">
        <v>128</v>
      </c>
      <c r="O23" s="51">
        <v>1</v>
      </c>
      <c r="P23" s="52">
        <v>128</v>
      </c>
      <c r="Q23" s="53">
        <v>0.61516203703703709</v>
      </c>
      <c r="R23" s="53">
        <v>0.61517361111111113</v>
      </c>
      <c r="S23" s="53">
        <v>1.1574074074074073E-5</v>
      </c>
      <c r="T23" s="55" t="s">
        <v>25</v>
      </c>
      <c r="U23" s="55" t="s">
        <v>26</v>
      </c>
      <c r="W23" s="27"/>
      <c r="Z23" s="27"/>
      <c r="AA23" s="27"/>
      <c r="AB23" s="27"/>
      <c r="AC23" s="27"/>
      <c r="AD23" s="13"/>
      <c r="AE23" s="13"/>
      <c r="AF23" s="13"/>
      <c r="AG23" s="27"/>
      <c r="AH23" s="27"/>
      <c r="AI23" s="27"/>
      <c r="AJ23" s="27"/>
      <c r="CL23" s="27"/>
    </row>
    <row r="24" spans="2:90" s="18" customFormat="1" ht="14.1" customHeight="1" x14ac:dyDescent="0.2">
      <c r="B24" s="80" t="s">
        <v>23</v>
      </c>
      <c r="C24" s="110" t="s">
        <v>28</v>
      </c>
      <c r="D24" s="80" t="s">
        <v>91</v>
      </c>
      <c r="E24" s="81" t="s">
        <v>87</v>
      </c>
      <c r="F24" s="81"/>
      <c r="G24" s="82" t="s">
        <v>110</v>
      </c>
      <c r="H24" s="82" t="s">
        <v>111</v>
      </c>
      <c r="I24" s="81"/>
      <c r="J24" s="81"/>
      <c r="K24" s="81" t="s">
        <v>100</v>
      </c>
      <c r="L24" s="81" t="s">
        <v>29</v>
      </c>
      <c r="M24" s="50"/>
      <c r="N24" s="51">
        <v>128</v>
      </c>
      <c r="O24" s="51">
        <v>1</v>
      </c>
      <c r="P24" s="52">
        <v>128</v>
      </c>
      <c r="Q24" s="53">
        <v>0.61517361111111113</v>
      </c>
      <c r="R24" s="53">
        <v>0.61517361111111113</v>
      </c>
      <c r="S24" s="53">
        <v>0</v>
      </c>
      <c r="T24" s="55" t="s">
        <v>25</v>
      </c>
      <c r="U24" s="55" t="s">
        <v>26</v>
      </c>
      <c r="W24" s="27"/>
      <c r="Z24" s="27"/>
      <c r="AA24" s="27"/>
      <c r="AB24" s="27"/>
      <c r="AC24" s="27"/>
      <c r="AD24" s="13"/>
      <c r="AE24" s="13"/>
      <c r="AF24" s="13"/>
      <c r="AG24" s="27"/>
      <c r="AH24" s="27"/>
      <c r="AI24" s="27"/>
      <c r="AJ24" s="27"/>
      <c r="CL24" s="27"/>
    </row>
    <row r="25" spans="2:90" s="18" customFormat="1" ht="14.1" customHeight="1" x14ac:dyDescent="0.2">
      <c r="B25" s="80" t="s">
        <v>23</v>
      </c>
      <c r="C25" s="110" t="s">
        <v>28</v>
      </c>
      <c r="D25" s="80" t="s">
        <v>91</v>
      </c>
      <c r="E25" s="81" t="s">
        <v>85</v>
      </c>
      <c r="F25" s="81"/>
      <c r="G25" s="82" t="s">
        <v>110</v>
      </c>
      <c r="H25" s="82" t="s">
        <v>111</v>
      </c>
      <c r="I25" s="81"/>
      <c r="J25" s="81"/>
      <c r="K25" s="81" t="s">
        <v>103</v>
      </c>
      <c r="L25" s="81" t="s">
        <v>29</v>
      </c>
      <c r="M25" s="50"/>
      <c r="N25" s="51">
        <v>128</v>
      </c>
      <c r="O25" s="51">
        <v>1</v>
      </c>
      <c r="P25" s="52">
        <v>128</v>
      </c>
      <c r="Q25" s="53">
        <v>0.61517361111111113</v>
      </c>
      <c r="R25" s="53">
        <v>0.61518518518518517</v>
      </c>
      <c r="S25" s="53">
        <v>1.1574074074074073E-5</v>
      </c>
      <c r="T25" s="55" t="s">
        <v>25</v>
      </c>
      <c r="U25" s="55" t="s">
        <v>26</v>
      </c>
      <c r="W25" s="27"/>
      <c r="Z25" s="27"/>
      <c r="AA25" s="27"/>
      <c r="AB25" s="27"/>
      <c r="AC25" s="27"/>
      <c r="AD25" s="13"/>
      <c r="AE25" s="13"/>
      <c r="AF25" s="13"/>
      <c r="AG25" s="27"/>
      <c r="AH25" s="27"/>
      <c r="AI25" s="27"/>
      <c r="AJ25" s="27"/>
      <c r="CL25" s="27"/>
    </row>
    <row r="26" spans="2:90" s="18" customFormat="1" ht="14.1" customHeight="1" x14ac:dyDescent="0.2">
      <c r="B26" s="80" t="s">
        <v>23</v>
      </c>
      <c r="C26" s="110" t="s">
        <v>28</v>
      </c>
      <c r="D26" s="80" t="s">
        <v>91</v>
      </c>
      <c r="E26" s="81" t="s">
        <v>83</v>
      </c>
      <c r="F26" s="81"/>
      <c r="G26" s="82" t="s">
        <v>110</v>
      </c>
      <c r="H26" s="82" t="s">
        <v>111</v>
      </c>
      <c r="I26" s="81"/>
      <c r="J26" s="81"/>
      <c r="K26" s="81" t="s">
        <v>105</v>
      </c>
      <c r="L26" s="81" t="s">
        <v>29</v>
      </c>
      <c r="M26" s="50"/>
      <c r="N26" s="51">
        <v>128</v>
      </c>
      <c r="O26" s="51">
        <v>1</v>
      </c>
      <c r="P26" s="52">
        <v>128</v>
      </c>
      <c r="Q26" s="53">
        <v>0.61519675925925921</v>
      </c>
      <c r="R26" s="53">
        <v>0.61519675925925921</v>
      </c>
      <c r="S26" s="53">
        <v>0</v>
      </c>
      <c r="T26" s="55" t="s">
        <v>25</v>
      </c>
      <c r="U26" s="55" t="s">
        <v>26</v>
      </c>
      <c r="W26" s="27"/>
      <c r="Z26" s="27"/>
      <c r="AA26" s="27"/>
      <c r="AB26" s="27"/>
      <c r="AC26" s="27"/>
      <c r="AD26" s="13"/>
      <c r="AE26" s="13"/>
      <c r="AF26" s="13"/>
      <c r="AG26" s="27"/>
      <c r="AH26" s="27"/>
      <c r="AI26" s="27"/>
      <c r="AJ26" s="27"/>
      <c r="CL26" s="27"/>
    </row>
    <row r="27" spans="2:90" s="18" customFormat="1" ht="14.1" customHeight="1" x14ac:dyDescent="0.2">
      <c r="B27" s="80" t="s">
        <v>23</v>
      </c>
      <c r="C27" s="110" t="s">
        <v>28</v>
      </c>
      <c r="D27" s="80" t="s">
        <v>91</v>
      </c>
      <c r="E27" s="111" t="s">
        <v>84</v>
      </c>
      <c r="F27" s="111"/>
      <c r="G27" s="82" t="s">
        <v>110</v>
      </c>
      <c r="H27" s="82" t="s">
        <v>111</v>
      </c>
      <c r="I27" s="111"/>
      <c r="J27" s="111"/>
      <c r="K27" s="111" t="s">
        <v>109</v>
      </c>
      <c r="L27" s="111" t="s">
        <v>29</v>
      </c>
      <c r="M27" s="112"/>
      <c r="N27" s="113">
        <v>128</v>
      </c>
      <c r="O27" s="113">
        <v>1</v>
      </c>
      <c r="P27" s="114">
        <v>128</v>
      </c>
      <c r="Q27" s="115">
        <v>0.61519675925925921</v>
      </c>
      <c r="R27" s="115">
        <v>0.61519675925925921</v>
      </c>
      <c r="S27" s="115">
        <v>0</v>
      </c>
      <c r="T27" s="116" t="s">
        <v>25</v>
      </c>
      <c r="U27" s="116" t="s">
        <v>26</v>
      </c>
      <c r="W27" s="27"/>
      <c r="Z27" s="27"/>
      <c r="AA27" s="27"/>
      <c r="AB27" s="27"/>
      <c r="AC27" s="27"/>
      <c r="AD27" s="13"/>
      <c r="AE27" s="13"/>
      <c r="AF27" s="13"/>
      <c r="AG27" s="27"/>
      <c r="AH27" s="27"/>
      <c r="AI27" s="27"/>
      <c r="AJ27" s="27"/>
      <c r="CL27" s="27"/>
    </row>
    <row r="28" spans="2:90" s="18" customFormat="1" ht="14.1" customHeight="1" x14ac:dyDescent="0.2">
      <c r="B28" s="80" t="s">
        <v>23</v>
      </c>
      <c r="C28" s="110" t="s">
        <v>28</v>
      </c>
      <c r="D28" s="80" t="s">
        <v>91</v>
      </c>
      <c r="E28" s="81" t="s">
        <v>146</v>
      </c>
      <c r="F28" s="81" t="s">
        <v>0</v>
      </c>
      <c r="G28" s="82" t="s">
        <v>110</v>
      </c>
      <c r="H28" s="82" t="s">
        <v>111</v>
      </c>
      <c r="I28" s="81"/>
      <c r="J28" s="81"/>
      <c r="K28" s="82" t="s">
        <v>147</v>
      </c>
      <c r="L28" s="81" t="s">
        <v>29</v>
      </c>
      <c r="M28" s="50"/>
      <c r="N28" s="51">
        <v>128</v>
      </c>
      <c r="O28" s="51">
        <v>1</v>
      </c>
      <c r="P28" s="52">
        <v>128</v>
      </c>
      <c r="Q28" s="53">
        <v>0.61520833333333336</v>
      </c>
      <c r="R28" s="53">
        <v>0.61520833333333336</v>
      </c>
      <c r="S28" s="53">
        <v>0</v>
      </c>
      <c r="T28" s="55" t="s">
        <v>25</v>
      </c>
      <c r="U28" s="55" t="s">
        <v>26</v>
      </c>
      <c r="W28" s="27"/>
      <c r="Z28" s="27"/>
      <c r="AA28" s="27"/>
      <c r="AB28" s="27"/>
      <c r="AC28" s="27"/>
      <c r="AD28" s="13"/>
      <c r="AE28" s="13"/>
      <c r="AF28" s="13"/>
      <c r="AG28" s="27"/>
      <c r="AH28" s="27"/>
      <c r="AI28" s="27"/>
      <c r="AJ28" s="27"/>
      <c r="CL28" s="27"/>
    </row>
    <row r="29" spans="2:90" s="18" customFormat="1" ht="14.1" customHeight="1" x14ac:dyDescent="0.2">
      <c r="B29" s="80" t="s">
        <v>23</v>
      </c>
      <c r="C29" s="110" t="s">
        <v>28</v>
      </c>
      <c r="D29" s="80" t="s">
        <v>117</v>
      </c>
      <c r="E29" s="81" t="s">
        <v>122</v>
      </c>
      <c r="F29" s="81" t="s">
        <v>0</v>
      </c>
      <c r="G29" s="82" t="s">
        <v>110</v>
      </c>
      <c r="H29" s="82" t="s">
        <v>111</v>
      </c>
      <c r="I29" s="81"/>
      <c r="J29" s="81"/>
      <c r="K29" s="81" t="s">
        <v>121</v>
      </c>
      <c r="L29" s="81" t="s">
        <v>29</v>
      </c>
      <c r="M29" s="50"/>
      <c r="N29" s="51">
        <v>128</v>
      </c>
      <c r="O29" s="51">
        <v>2</v>
      </c>
      <c r="P29" s="52">
        <v>256</v>
      </c>
      <c r="Q29" s="53">
        <v>0.6152199074074074</v>
      </c>
      <c r="R29" s="53">
        <v>0.6152199074074074</v>
      </c>
      <c r="S29" s="53">
        <v>0</v>
      </c>
      <c r="T29" s="55" t="s">
        <v>25</v>
      </c>
      <c r="U29" s="55" t="s">
        <v>26</v>
      </c>
      <c r="W29" s="27"/>
      <c r="Z29" s="27"/>
      <c r="AA29" s="27"/>
      <c r="AB29" s="27"/>
      <c r="AC29" s="27"/>
      <c r="AD29" s="13"/>
      <c r="AE29" s="13"/>
      <c r="AF29" s="13"/>
      <c r="AG29" s="27"/>
      <c r="AH29" s="27"/>
      <c r="AI29" s="27"/>
      <c r="AJ29" s="27"/>
      <c r="CL29" s="27"/>
    </row>
    <row r="30" spans="2:90" s="18" customFormat="1" ht="14.1" customHeight="1" x14ac:dyDescent="0.2">
      <c r="B30" s="80" t="s">
        <v>23</v>
      </c>
      <c r="C30" s="80" t="s">
        <v>28</v>
      </c>
      <c r="D30" s="80" t="s">
        <v>117</v>
      </c>
      <c r="E30" s="81" t="s">
        <v>124</v>
      </c>
      <c r="F30" s="81" t="s">
        <v>0</v>
      </c>
      <c r="G30" s="82" t="s">
        <v>110</v>
      </c>
      <c r="H30" s="82" t="s">
        <v>111</v>
      </c>
      <c r="I30" s="81"/>
      <c r="J30" s="81"/>
      <c r="K30" s="81" t="s">
        <v>140</v>
      </c>
      <c r="L30" s="81" t="s">
        <v>29</v>
      </c>
      <c r="M30" s="50"/>
      <c r="N30" s="51">
        <v>43</v>
      </c>
      <c r="O30" s="51">
        <v>2</v>
      </c>
      <c r="P30" s="52">
        <v>86</v>
      </c>
      <c r="Q30" s="53">
        <v>0.61523148148148155</v>
      </c>
      <c r="R30" s="53">
        <v>0.61524305555555558</v>
      </c>
      <c r="S30" s="53">
        <v>1.1574074074074073E-5</v>
      </c>
      <c r="T30" s="55" t="s">
        <v>25</v>
      </c>
      <c r="U30" s="55" t="s">
        <v>26</v>
      </c>
      <c r="W30" s="27"/>
      <c r="Z30" s="27"/>
      <c r="AA30" s="27"/>
      <c r="AB30" s="27"/>
      <c r="AC30" s="27"/>
      <c r="AD30" s="13"/>
      <c r="AE30" s="13"/>
      <c r="AF30" s="13"/>
      <c r="AG30" s="27"/>
      <c r="AH30" s="27"/>
      <c r="AI30" s="27"/>
      <c r="AJ30" s="27"/>
      <c r="CL30" s="27"/>
    </row>
    <row r="31" spans="2:90" s="18" customFormat="1" ht="14.1" customHeight="1" x14ac:dyDescent="0.2">
      <c r="B31" s="80" t="s">
        <v>23</v>
      </c>
      <c r="C31" s="80" t="s">
        <v>28</v>
      </c>
      <c r="D31" s="80" t="s">
        <v>91</v>
      </c>
      <c r="E31" s="81" t="s">
        <v>123</v>
      </c>
      <c r="F31" s="81" t="s">
        <v>0</v>
      </c>
      <c r="G31" s="82" t="s">
        <v>110</v>
      </c>
      <c r="H31" s="82" t="s">
        <v>111</v>
      </c>
      <c r="I31" s="81"/>
      <c r="J31" s="81"/>
      <c r="K31" s="81" t="s">
        <v>176</v>
      </c>
      <c r="L31" s="81" t="s">
        <v>29</v>
      </c>
      <c r="M31" s="50"/>
      <c r="N31" s="51">
        <v>128</v>
      </c>
      <c r="O31" s="51">
        <v>1</v>
      </c>
      <c r="P31" s="52">
        <v>128</v>
      </c>
      <c r="Q31" s="53">
        <v>0.61525462962962962</v>
      </c>
      <c r="R31" s="53">
        <v>0.61525462962962962</v>
      </c>
      <c r="S31" s="53">
        <v>0</v>
      </c>
      <c r="T31" s="55" t="s">
        <v>25</v>
      </c>
      <c r="U31" s="55" t="s">
        <v>26</v>
      </c>
      <c r="W31" s="27"/>
      <c r="Z31" s="27"/>
      <c r="AA31" s="27"/>
      <c r="AB31" s="27"/>
      <c r="AC31" s="27"/>
      <c r="AD31" s="13"/>
      <c r="AE31" s="13"/>
      <c r="AF31" s="13"/>
      <c r="AG31" s="27"/>
      <c r="AH31" s="27"/>
      <c r="AI31" s="27"/>
      <c r="AJ31" s="27"/>
      <c r="CL31" s="27"/>
    </row>
    <row r="32" spans="2:90" s="18" customFormat="1" ht="14.1" customHeight="1" x14ac:dyDescent="0.2">
      <c r="B32" s="80" t="s">
        <v>23</v>
      </c>
      <c r="C32" s="80" t="s">
        <v>28</v>
      </c>
      <c r="D32" s="80" t="s">
        <v>91</v>
      </c>
      <c r="E32" s="81" t="s">
        <v>125</v>
      </c>
      <c r="F32" s="81" t="s">
        <v>0</v>
      </c>
      <c r="G32" s="82" t="s">
        <v>110</v>
      </c>
      <c r="H32" s="82" t="s">
        <v>111</v>
      </c>
      <c r="I32" s="81"/>
      <c r="J32" s="81"/>
      <c r="K32" s="81" t="s">
        <v>177</v>
      </c>
      <c r="L32" s="81" t="s">
        <v>29</v>
      </c>
      <c r="M32" s="50"/>
      <c r="N32" s="51">
        <v>128</v>
      </c>
      <c r="O32" s="51">
        <v>1</v>
      </c>
      <c r="P32" s="52">
        <v>128</v>
      </c>
      <c r="Q32" s="53">
        <v>0.61525462962962962</v>
      </c>
      <c r="R32" s="53">
        <v>0.61525462962962962</v>
      </c>
      <c r="S32" s="53">
        <v>0</v>
      </c>
      <c r="T32" s="55" t="s">
        <v>25</v>
      </c>
      <c r="U32" s="55" t="s">
        <v>26</v>
      </c>
      <c r="W32" s="27"/>
      <c r="Z32" s="27"/>
      <c r="AA32" s="27"/>
      <c r="AB32" s="27"/>
      <c r="AC32" s="27"/>
      <c r="AD32" s="13"/>
      <c r="AE32" s="13"/>
      <c r="AF32" s="13"/>
      <c r="AG32" s="27"/>
      <c r="AH32" s="27"/>
      <c r="AI32" s="27"/>
      <c r="AJ32" s="27"/>
      <c r="CL32" s="27"/>
    </row>
    <row r="33" spans="2:90" s="18" customFormat="1" ht="14.1" customHeight="1" x14ac:dyDescent="0.2">
      <c r="B33" s="80" t="s">
        <v>23</v>
      </c>
      <c r="C33" s="80" t="s">
        <v>28</v>
      </c>
      <c r="D33" s="80" t="s">
        <v>117</v>
      </c>
      <c r="E33" s="81" t="s">
        <v>158</v>
      </c>
      <c r="F33" s="81" t="s">
        <v>0</v>
      </c>
      <c r="G33" s="82" t="s">
        <v>172</v>
      </c>
      <c r="H33" s="82" t="s">
        <v>111</v>
      </c>
      <c r="I33" s="81"/>
      <c r="J33" s="81"/>
      <c r="K33" s="81" t="s">
        <v>159</v>
      </c>
      <c r="L33" s="81" t="s">
        <v>29</v>
      </c>
      <c r="M33" s="83"/>
      <c r="N33" s="135">
        <v>224</v>
      </c>
      <c r="O33" s="135">
        <v>2</v>
      </c>
      <c r="P33" s="136">
        <v>448</v>
      </c>
      <c r="Q33" s="137">
        <v>0.61526620370370366</v>
      </c>
      <c r="R33" s="137">
        <v>0.61527777777777781</v>
      </c>
      <c r="S33" s="137">
        <v>1.1574074074074073E-5</v>
      </c>
      <c r="T33" s="138" t="s">
        <v>25</v>
      </c>
      <c r="U33" s="138" t="s">
        <v>26</v>
      </c>
      <c r="W33" s="27"/>
      <c r="Z33" s="27"/>
      <c r="AA33" s="27"/>
      <c r="AB33" s="27"/>
      <c r="AC33" s="27"/>
      <c r="AD33" s="13"/>
      <c r="AE33" s="13"/>
      <c r="AF33" s="13"/>
      <c r="AG33" s="27"/>
      <c r="AH33" s="27"/>
      <c r="AI33" s="27"/>
      <c r="AJ33" s="27"/>
      <c r="CL33" s="27"/>
    </row>
    <row r="34" spans="2:90" s="18" customFormat="1" ht="14.1" customHeight="1" x14ac:dyDescent="0.2">
      <c r="B34" s="80" t="s">
        <v>23</v>
      </c>
      <c r="C34" s="80" t="s">
        <v>28</v>
      </c>
      <c r="D34" s="80" t="s">
        <v>117</v>
      </c>
      <c r="E34" s="81" t="s">
        <v>160</v>
      </c>
      <c r="F34" s="81" t="s">
        <v>0</v>
      </c>
      <c r="G34" s="82" t="s">
        <v>172</v>
      </c>
      <c r="H34" s="82" t="s">
        <v>111</v>
      </c>
      <c r="I34" s="81"/>
      <c r="J34" s="81"/>
      <c r="K34" s="81" t="s">
        <v>161</v>
      </c>
      <c r="L34" s="81" t="s">
        <v>29</v>
      </c>
      <c r="M34" s="83"/>
      <c r="N34" s="135">
        <v>224</v>
      </c>
      <c r="O34" s="135">
        <v>2</v>
      </c>
      <c r="P34" s="136">
        <v>448</v>
      </c>
      <c r="Q34" s="137">
        <v>0.61527777777777781</v>
      </c>
      <c r="R34" s="137">
        <v>0.61528935185185185</v>
      </c>
      <c r="S34" s="137">
        <v>1.1574074074074073E-5</v>
      </c>
      <c r="T34" s="138" t="s">
        <v>25</v>
      </c>
      <c r="U34" s="138" t="s">
        <v>26</v>
      </c>
      <c r="W34" s="27"/>
      <c r="Z34" s="27"/>
      <c r="AA34" s="27"/>
      <c r="AB34" s="27"/>
      <c r="AC34" s="27"/>
      <c r="AD34" s="13"/>
      <c r="AE34" s="13"/>
      <c r="AF34" s="13"/>
      <c r="AG34" s="27"/>
      <c r="AH34" s="27"/>
      <c r="AI34" s="27"/>
      <c r="AJ34" s="27"/>
      <c r="CL34" s="27"/>
    </row>
    <row r="35" spans="2:90" s="18" customFormat="1" ht="14.1" customHeight="1" x14ac:dyDescent="0.2">
      <c r="B35" s="80" t="s">
        <v>23</v>
      </c>
      <c r="C35" s="80" t="s">
        <v>28</v>
      </c>
      <c r="D35" s="80" t="s">
        <v>117</v>
      </c>
      <c r="E35" s="81" t="s">
        <v>155</v>
      </c>
      <c r="F35" s="81" t="s">
        <v>0</v>
      </c>
      <c r="G35" s="82" t="s">
        <v>172</v>
      </c>
      <c r="H35" s="82" t="s">
        <v>111</v>
      </c>
      <c r="I35" s="81"/>
      <c r="J35" s="81"/>
      <c r="K35" s="81" t="s">
        <v>162</v>
      </c>
      <c r="L35" s="81" t="s">
        <v>29</v>
      </c>
      <c r="M35" s="83"/>
      <c r="N35" s="135">
        <v>224</v>
      </c>
      <c r="O35" s="135">
        <v>2</v>
      </c>
      <c r="P35" s="136">
        <v>448</v>
      </c>
      <c r="Q35" s="137">
        <v>0.61528935185185185</v>
      </c>
      <c r="R35" s="137">
        <v>0.61528935185185185</v>
      </c>
      <c r="S35" s="137">
        <v>0</v>
      </c>
      <c r="T35" s="138" t="s">
        <v>25</v>
      </c>
      <c r="U35" s="138" t="s">
        <v>26</v>
      </c>
      <c r="W35" s="27"/>
      <c r="Z35" s="27"/>
      <c r="AA35" s="27"/>
      <c r="AB35" s="27"/>
      <c r="AC35" s="27"/>
      <c r="AD35" s="13"/>
      <c r="AE35" s="13"/>
      <c r="AF35" s="13"/>
      <c r="AG35" s="27"/>
      <c r="AH35" s="27"/>
      <c r="AI35" s="27"/>
      <c r="AJ35" s="27"/>
      <c r="CL35" s="27"/>
    </row>
    <row r="36" spans="2:90" s="18" customFormat="1" ht="14.1" customHeight="1" x14ac:dyDescent="0.2">
      <c r="B36" s="80" t="s">
        <v>23</v>
      </c>
      <c r="C36" s="80" t="s">
        <v>28</v>
      </c>
      <c r="D36" s="80" t="s">
        <v>117</v>
      </c>
      <c r="E36" s="81" t="s">
        <v>156</v>
      </c>
      <c r="F36" s="81" t="s">
        <v>0</v>
      </c>
      <c r="G36" s="82" t="s">
        <v>172</v>
      </c>
      <c r="H36" s="82" t="s">
        <v>111</v>
      </c>
      <c r="I36" s="81"/>
      <c r="J36" s="81"/>
      <c r="K36" s="81" t="s">
        <v>163</v>
      </c>
      <c r="L36" s="81" t="s">
        <v>29</v>
      </c>
      <c r="M36" s="83"/>
      <c r="N36" s="135">
        <v>224</v>
      </c>
      <c r="O36" s="135">
        <v>2</v>
      </c>
      <c r="P36" s="136">
        <v>448</v>
      </c>
      <c r="Q36" s="137">
        <v>0.61530092592592589</v>
      </c>
      <c r="R36" s="137">
        <v>0.61530092592592589</v>
      </c>
      <c r="S36" s="137">
        <v>0</v>
      </c>
      <c r="T36" s="138" t="s">
        <v>25</v>
      </c>
      <c r="U36" s="138" t="s">
        <v>26</v>
      </c>
      <c r="W36" s="27"/>
      <c r="Z36" s="27"/>
      <c r="AA36" s="27"/>
      <c r="AB36" s="27"/>
      <c r="AC36" s="27"/>
      <c r="AD36" s="13"/>
      <c r="AE36" s="13"/>
      <c r="AF36" s="13"/>
      <c r="AG36" s="27"/>
      <c r="AH36" s="27"/>
      <c r="AI36" s="27"/>
      <c r="AJ36" s="27"/>
      <c r="CL36" s="27"/>
    </row>
    <row r="37" spans="2:90" s="18" customFormat="1" ht="14.1" customHeight="1" x14ac:dyDescent="0.2">
      <c r="B37" s="80" t="s">
        <v>23</v>
      </c>
      <c r="C37" s="80" t="s">
        <v>28</v>
      </c>
      <c r="D37" s="80" t="s">
        <v>117</v>
      </c>
      <c r="E37" s="81" t="s">
        <v>164</v>
      </c>
      <c r="F37" s="81" t="s">
        <v>0</v>
      </c>
      <c r="G37" s="82" t="s">
        <v>172</v>
      </c>
      <c r="H37" s="82" t="s">
        <v>111</v>
      </c>
      <c r="I37" s="81"/>
      <c r="J37" s="81"/>
      <c r="K37" s="81" t="s">
        <v>165</v>
      </c>
      <c r="L37" s="81" t="s">
        <v>29</v>
      </c>
      <c r="M37" s="83"/>
      <c r="N37" s="135">
        <v>224</v>
      </c>
      <c r="O37" s="135">
        <v>2</v>
      </c>
      <c r="P37" s="136">
        <v>448</v>
      </c>
      <c r="Q37" s="137">
        <v>0.61530092592592589</v>
      </c>
      <c r="R37" s="137">
        <v>0.61531250000000004</v>
      </c>
      <c r="S37" s="137">
        <v>1.1574074074074073E-5</v>
      </c>
      <c r="T37" s="138" t="s">
        <v>25</v>
      </c>
      <c r="U37" s="138" t="s">
        <v>26</v>
      </c>
      <c r="W37" s="27"/>
      <c r="Z37" s="27"/>
      <c r="AA37" s="27"/>
      <c r="AB37" s="27"/>
      <c r="AC37" s="27"/>
      <c r="AD37" s="13"/>
      <c r="AE37" s="13"/>
      <c r="AF37" s="13"/>
      <c r="AG37" s="27"/>
      <c r="AH37" s="27"/>
      <c r="AI37" s="27"/>
      <c r="AJ37" s="27"/>
      <c r="CL37" s="27"/>
    </row>
    <row r="38" spans="2:90" s="18" customFormat="1" ht="14.1" customHeight="1" x14ac:dyDescent="0.2">
      <c r="B38" s="80" t="s">
        <v>23</v>
      </c>
      <c r="C38" s="80" t="s">
        <v>28</v>
      </c>
      <c r="D38" s="80" t="s">
        <v>117</v>
      </c>
      <c r="E38" s="81" t="s">
        <v>157</v>
      </c>
      <c r="F38" s="81"/>
      <c r="G38" s="82" t="s">
        <v>172</v>
      </c>
      <c r="H38" s="82" t="s">
        <v>111</v>
      </c>
      <c r="I38" s="81"/>
      <c r="J38" s="81"/>
      <c r="K38" s="81" t="s">
        <v>166</v>
      </c>
      <c r="L38" s="81" t="s">
        <v>29</v>
      </c>
      <c r="M38" s="83"/>
      <c r="N38" s="135">
        <v>224</v>
      </c>
      <c r="O38" s="135">
        <v>2</v>
      </c>
      <c r="P38" s="136">
        <v>448</v>
      </c>
      <c r="Q38" s="137">
        <v>0.61531250000000004</v>
      </c>
      <c r="R38" s="137">
        <v>0.61532407407407408</v>
      </c>
      <c r="S38" s="137">
        <v>1.1574074074074073E-5</v>
      </c>
      <c r="T38" s="138" t="s">
        <v>25</v>
      </c>
      <c r="U38" s="138" t="s">
        <v>26</v>
      </c>
      <c r="W38" s="27"/>
      <c r="Z38" s="27"/>
      <c r="AA38" s="27"/>
      <c r="AB38" s="27"/>
      <c r="AC38" s="27"/>
      <c r="AD38" s="13"/>
      <c r="AE38" s="13"/>
      <c r="AF38" s="13"/>
      <c r="AG38" s="27"/>
      <c r="AH38" s="27"/>
      <c r="AI38" s="27"/>
      <c r="AJ38" s="27"/>
      <c r="CL38" s="27"/>
    </row>
    <row r="39" spans="2:90" s="18" customFormat="1" ht="14.1" customHeight="1" x14ac:dyDescent="0.2">
      <c r="B39" s="80" t="s">
        <v>23</v>
      </c>
      <c r="C39" s="110" t="s">
        <v>28</v>
      </c>
      <c r="D39" s="80" t="s">
        <v>117</v>
      </c>
      <c r="E39" s="82" t="s">
        <v>112</v>
      </c>
      <c r="F39" s="82" t="s">
        <v>0</v>
      </c>
      <c r="G39" s="82" t="s">
        <v>110</v>
      </c>
      <c r="H39" s="82" t="s">
        <v>111</v>
      </c>
      <c r="I39" s="82"/>
      <c r="J39" s="82"/>
      <c r="K39" s="81" t="s">
        <v>167</v>
      </c>
      <c r="L39" s="82" t="s">
        <v>29</v>
      </c>
      <c r="M39" s="106"/>
      <c r="N39" s="107">
        <v>11</v>
      </c>
      <c r="O39" s="107">
        <v>2</v>
      </c>
      <c r="P39" s="108">
        <v>22</v>
      </c>
      <c r="Q39" s="57">
        <v>0.61532407407407408</v>
      </c>
      <c r="R39" s="57">
        <v>0.61533564814814812</v>
      </c>
      <c r="S39" s="57">
        <v>1.1574074074074073E-5</v>
      </c>
      <c r="T39" s="109" t="s">
        <v>25</v>
      </c>
      <c r="U39" s="109" t="s">
        <v>26</v>
      </c>
      <c r="W39" s="27"/>
      <c r="Z39" s="27"/>
      <c r="AA39" s="27"/>
      <c r="AB39" s="27"/>
      <c r="AC39" s="27"/>
      <c r="AD39" s="13"/>
      <c r="AE39" s="13"/>
      <c r="AF39" s="13"/>
      <c r="AG39" s="27"/>
      <c r="AH39" s="27"/>
      <c r="AI39" s="27"/>
      <c r="AJ39" s="27"/>
      <c r="CL39" s="27"/>
    </row>
    <row r="40" spans="2:90" s="18" customFormat="1" ht="14.1" customHeight="1" x14ac:dyDescent="0.2">
      <c r="B40" s="80" t="s">
        <v>23</v>
      </c>
      <c r="C40" s="110" t="s">
        <v>28</v>
      </c>
      <c r="D40" s="80" t="s">
        <v>117</v>
      </c>
      <c r="E40" s="81" t="s">
        <v>113</v>
      </c>
      <c r="F40" s="81"/>
      <c r="G40" s="82" t="s">
        <v>110</v>
      </c>
      <c r="H40" s="82" t="s">
        <v>111</v>
      </c>
      <c r="I40" s="81"/>
      <c r="J40" s="81"/>
      <c r="K40" s="81" t="s">
        <v>168</v>
      </c>
      <c r="L40" s="81" t="s">
        <v>29</v>
      </c>
      <c r="M40" s="50"/>
      <c r="N40" s="51">
        <v>11</v>
      </c>
      <c r="O40" s="51">
        <v>2</v>
      </c>
      <c r="P40" s="52">
        <v>22</v>
      </c>
      <c r="Q40" s="53">
        <v>0.61533564814814812</v>
      </c>
      <c r="R40" s="53">
        <v>0.61533564814814812</v>
      </c>
      <c r="S40" s="53">
        <v>0</v>
      </c>
      <c r="T40" s="55" t="s">
        <v>25</v>
      </c>
      <c r="U40" s="55" t="s">
        <v>26</v>
      </c>
      <c r="W40" s="27"/>
      <c r="Z40" s="27"/>
      <c r="AA40" s="27"/>
      <c r="AB40" s="27"/>
      <c r="AC40" s="27"/>
      <c r="AD40" s="13"/>
      <c r="AE40" s="13"/>
      <c r="AF40" s="13"/>
      <c r="AG40" s="27"/>
      <c r="AH40" s="27"/>
      <c r="AI40" s="27"/>
      <c r="AJ40" s="27"/>
      <c r="CL40" s="27"/>
    </row>
    <row r="41" spans="2:90" s="18" customFormat="1" ht="14.1" customHeight="1" x14ac:dyDescent="0.2">
      <c r="B41" s="80" t="s">
        <v>23</v>
      </c>
      <c r="C41" s="110" t="s">
        <v>28</v>
      </c>
      <c r="D41" s="80" t="s">
        <v>117</v>
      </c>
      <c r="E41" s="81" t="s">
        <v>114</v>
      </c>
      <c r="F41" s="81"/>
      <c r="G41" s="82" t="s">
        <v>110</v>
      </c>
      <c r="H41" s="82" t="s">
        <v>111</v>
      </c>
      <c r="I41" s="81"/>
      <c r="J41" s="81"/>
      <c r="K41" s="81" t="s">
        <v>169</v>
      </c>
      <c r="L41" s="81" t="s">
        <v>29</v>
      </c>
      <c r="M41" s="50"/>
      <c r="N41" s="51">
        <v>11</v>
      </c>
      <c r="O41" s="51">
        <v>2</v>
      </c>
      <c r="P41" s="52">
        <v>22</v>
      </c>
      <c r="Q41" s="53">
        <v>0.61533564814814812</v>
      </c>
      <c r="R41" s="53">
        <v>0.61534722222222216</v>
      </c>
      <c r="S41" s="53">
        <v>1.1574074074074073E-5</v>
      </c>
      <c r="T41" s="55" t="s">
        <v>25</v>
      </c>
      <c r="U41" s="55" t="s">
        <v>26</v>
      </c>
      <c r="W41" s="27"/>
      <c r="Z41" s="27"/>
      <c r="AA41" s="27"/>
      <c r="AB41" s="27"/>
      <c r="AC41" s="27"/>
      <c r="AD41" s="13"/>
      <c r="AE41" s="13"/>
      <c r="AF41" s="13"/>
      <c r="AG41" s="27"/>
      <c r="AH41" s="27"/>
      <c r="AI41" s="27"/>
      <c r="AJ41" s="27"/>
      <c r="CL41" s="27"/>
    </row>
    <row r="42" spans="2:90" s="18" customFormat="1" ht="14.1" customHeight="1" x14ac:dyDescent="0.2">
      <c r="B42" s="80" t="s">
        <v>23</v>
      </c>
      <c r="C42" s="110" t="s">
        <v>28</v>
      </c>
      <c r="D42" s="80" t="s">
        <v>117</v>
      </c>
      <c r="E42" s="81" t="s">
        <v>115</v>
      </c>
      <c r="F42" s="81"/>
      <c r="G42" s="82" t="s">
        <v>110</v>
      </c>
      <c r="H42" s="82" t="s">
        <v>111</v>
      </c>
      <c r="I42" s="81"/>
      <c r="J42" s="81"/>
      <c r="K42" s="81" t="s">
        <v>170</v>
      </c>
      <c r="L42" s="81" t="s">
        <v>29</v>
      </c>
      <c r="M42" s="50"/>
      <c r="N42" s="51">
        <v>11</v>
      </c>
      <c r="O42" s="51">
        <v>2</v>
      </c>
      <c r="P42" s="52">
        <v>22</v>
      </c>
      <c r="Q42" s="53">
        <v>0.61534722222222216</v>
      </c>
      <c r="R42" s="53">
        <v>0.61534722222222216</v>
      </c>
      <c r="S42" s="53">
        <v>0</v>
      </c>
      <c r="T42" s="55" t="s">
        <v>25</v>
      </c>
      <c r="U42" s="55" t="s">
        <v>26</v>
      </c>
      <c r="W42" s="27"/>
      <c r="Z42" s="27"/>
      <c r="AA42" s="27"/>
      <c r="AB42" s="27"/>
      <c r="AC42" s="27"/>
      <c r="AD42" s="13"/>
      <c r="AE42" s="13"/>
      <c r="AF42" s="13"/>
      <c r="AG42" s="27"/>
      <c r="AH42" s="27"/>
      <c r="AI42" s="27"/>
      <c r="AJ42" s="27"/>
      <c r="CL42" s="27"/>
    </row>
    <row r="43" spans="2:90" s="18" customFormat="1" ht="14.1" customHeight="1" x14ac:dyDescent="0.2">
      <c r="B43" s="80" t="s">
        <v>23</v>
      </c>
      <c r="C43" s="110" t="s">
        <v>28</v>
      </c>
      <c r="D43" s="80" t="s">
        <v>117</v>
      </c>
      <c r="E43" s="81" t="s">
        <v>116</v>
      </c>
      <c r="F43" s="81"/>
      <c r="G43" s="82" t="s">
        <v>110</v>
      </c>
      <c r="H43" s="82" t="s">
        <v>111</v>
      </c>
      <c r="I43" s="81"/>
      <c r="J43" s="81"/>
      <c r="K43" s="81" t="s">
        <v>171</v>
      </c>
      <c r="L43" s="81" t="s">
        <v>29</v>
      </c>
      <c r="M43" s="50"/>
      <c r="N43" s="51">
        <v>11</v>
      </c>
      <c r="O43" s="51">
        <v>2</v>
      </c>
      <c r="P43" s="52">
        <v>22</v>
      </c>
      <c r="Q43" s="53">
        <v>0.61534722222222216</v>
      </c>
      <c r="R43" s="53">
        <v>0.61535879629629631</v>
      </c>
      <c r="S43" s="53">
        <v>1.1574074074074073E-5</v>
      </c>
      <c r="T43" s="55" t="s">
        <v>25</v>
      </c>
      <c r="U43" s="55" t="s">
        <v>26</v>
      </c>
      <c r="W43" s="27"/>
      <c r="Z43" s="27"/>
      <c r="AA43" s="27"/>
      <c r="AB43" s="27"/>
      <c r="AC43" s="27"/>
      <c r="AD43" s="13"/>
      <c r="AE43" s="13"/>
      <c r="AF43" s="13"/>
      <c r="AG43" s="27"/>
      <c r="AH43" s="27"/>
      <c r="AI43" s="27"/>
      <c r="AJ43" s="27"/>
      <c r="CL43" s="27"/>
    </row>
    <row r="44" spans="2:90" s="18" customFormat="1" ht="14.1" customHeight="1" x14ac:dyDescent="0.2">
      <c r="B44" s="54"/>
      <c r="C44" s="54"/>
      <c r="D44" s="54"/>
      <c r="E44" s="50"/>
      <c r="F44" s="50"/>
      <c r="G44" s="50"/>
      <c r="H44" s="50"/>
      <c r="I44" s="50"/>
      <c r="J44" s="50"/>
      <c r="K44" s="81"/>
      <c r="L44" s="50"/>
      <c r="M44" s="50"/>
      <c r="N44" s="51"/>
      <c r="O44" s="51"/>
      <c r="P44" s="52"/>
      <c r="Q44" s="55"/>
      <c r="R44" s="55"/>
      <c r="S44" s="55"/>
      <c r="T44" s="55"/>
      <c r="U44" s="55"/>
      <c r="W44" s="27"/>
      <c r="Z44" s="27"/>
      <c r="AA44" s="27"/>
      <c r="AB44" s="27"/>
      <c r="AC44" s="27"/>
      <c r="AD44" s="13"/>
      <c r="AE44" s="13"/>
      <c r="AF44" s="13"/>
      <c r="AG44" s="27"/>
      <c r="AH44" s="27"/>
      <c r="AI44" s="27"/>
      <c r="AJ44" s="27"/>
      <c r="CL44" s="27"/>
    </row>
    <row r="45" spans="2:90" s="18" customFormat="1" ht="14.1" customHeight="1" x14ac:dyDescent="0.2">
      <c r="B45" s="54"/>
      <c r="C45" s="54"/>
      <c r="D45" s="54"/>
      <c r="E45" s="50"/>
      <c r="F45" s="50"/>
      <c r="G45" s="50"/>
      <c r="H45" s="50"/>
      <c r="I45" s="50"/>
      <c r="J45" s="50"/>
      <c r="K45" s="50"/>
      <c r="L45" s="50"/>
      <c r="M45" s="50"/>
      <c r="N45" s="51"/>
      <c r="O45" s="51"/>
      <c r="P45" s="52"/>
      <c r="Q45" s="55"/>
      <c r="R45" s="55"/>
      <c r="S45" s="55"/>
      <c r="T45" s="55"/>
      <c r="U45" s="55"/>
      <c r="W45" s="27"/>
      <c r="Z45" s="27"/>
      <c r="AA45" s="27"/>
      <c r="AB45" s="27"/>
      <c r="AC45" s="27"/>
      <c r="AD45" s="13"/>
      <c r="AE45" s="13"/>
      <c r="AF45" s="13"/>
      <c r="AG45" s="27"/>
      <c r="AH45" s="27"/>
      <c r="AI45" s="27"/>
      <c r="AJ45" s="27"/>
      <c r="CL45" s="27"/>
    </row>
    <row r="46" spans="2:90" s="18" customFormat="1" ht="14.1" customHeight="1" x14ac:dyDescent="0.2">
      <c r="B46" s="54"/>
      <c r="C46" s="54"/>
      <c r="D46" s="54"/>
      <c r="E46" s="50"/>
      <c r="F46" s="50"/>
      <c r="G46" s="50"/>
      <c r="H46" s="50"/>
      <c r="I46" s="50"/>
      <c r="J46" s="50"/>
      <c r="K46" s="50"/>
      <c r="L46" s="50"/>
      <c r="M46" s="50"/>
      <c r="N46" s="51"/>
      <c r="O46" s="51"/>
      <c r="P46" s="52"/>
      <c r="Q46" s="55"/>
      <c r="R46" s="55"/>
      <c r="S46" s="55"/>
      <c r="T46" s="55"/>
      <c r="U46" s="55"/>
      <c r="W46" s="27"/>
      <c r="Z46" s="27"/>
      <c r="AA46" s="27"/>
      <c r="AB46" s="27"/>
      <c r="AC46" s="27"/>
      <c r="AD46" s="13"/>
      <c r="AE46" s="13"/>
      <c r="AF46" s="13"/>
      <c r="AG46" s="27"/>
      <c r="AH46" s="27"/>
      <c r="AI46" s="27"/>
      <c r="AJ46" s="27"/>
      <c r="CL46" s="27"/>
    </row>
    <row r="47" spans="2:90" s="18" customFormat="1" ht="14.1" customHeight="1" x14ac:dyDescent="0.2">
      <c r="B47" s="54"/>
      <c r="C47" s="54"/>
      <c r="D47" s="54"/>
      <c r="E47" s="50"/>
      <c r="F47" s="50"/>
      <c r="G47" s="50"/>
      <c r="H47" s="50"/>
      <c r="I47" s="50"/>
      <c r="J47" s="50"/>
      <c r="K47" s="50"/>
      <c r="L47" s="50"/>
      <c r="M47" s="50"/>
      <c r="N47" s="51"/>
      <c r="O47" s="51"/>
      <c r="P47" s="52"/>
      <c r="Q47" s="55"/>
      <c r="R47" s="55"/>
      <c r="S47" s="55"/>
      <c r="T47" s="55"/>
      <c r="U47" s="55"/>
      <c r="W47" s="27"/>
      <c r="Z47" s="27"/>
      <c r="AA47" s="27"/>
      <c r="AB47" s="27"/>
      <c r="AC47" s="27"/>
      <c r="AD47" s="13"/>
      <c r="AE47" s="13"/>
      <c r="AF47" s="13"/>
      <c r="AG47" s="27"/>
      <c r="AH47" s="27"/>
      <c r="AI47" s="27"/>
      <c r="AJ47" s="27"/>
      <c r="CL47" s="27"/>
    </row>
    <row r="48" spans="2:90" s="18" customFormat="1" ht="14.1" customHeight="1" x14ac:dyDescent="0.2">
      <c r="B48" s="54"/>
      <c r="C48" s="54"/>
      <c r="D48" s="54"/>
      <c r="E48" s="50"/>
      <c r="F48" s="50"/>
      <c r="G48" s="50"/>
      <c r="H48" s="50"/>
      <c r="I48" s="50"/>
      <c r="J48" s="50"/>
      <c r="K48" s="50"/>
      <c r="L48" s="50"/>
      <c r="M48" s="50"/>
      <c r="N48" s="51"/>
      <c r="O48" s="51"/>
      <c r="P48" s="52"/>
      <c r="Q48" s="55"/>
      <c r="R48" s="55"/>
      <c r="S48" s="55"/>
      <c r="T48" s="55"/>
      <c r="U48" s="55"/>
      <c r="W48" s="27"/>
      <c r="Z48" s="27"/>
      <c r="AA48" s="27"/>
      <c r="AB48" s="27"/>
      <c r="AC48" s="27"/>
      <c r="AD48" s="13"/>
      <c r="AE48" s="13"/>
      <c r="AF48" s="13"/>
      <c r="AG48" s="27"/>
      <c r="AH48" s="27"/>
      <c r="AI48" s="27"/>
      <c r="AJ48" s="27"/>
      <c r="CL48" s="27"/>
    </row>
    <row r="49" spans="2:90" s="18" customFormat="1" ht="14.1" customHeight="1" x14ac:dyDescent="0.2">
      <c r="B49" s="54"/>
      <c r="C49" s="54"/>
      <c r="D49" s="54"/>
      <c r="E49" s="50"/>
      <c r="F49" s="50"/>
      <c r="G49" s="50"/>
      <c r="H49" s="50"/>
      <c r="I49" s="50"/>
      <c r="J49" s="50"/>
      <c r="K49" s="50"/>
      <c r="L49" s="50"/>
      <c r="M49" s="50"/>
      <c r="N49" s="51"/>
      <c r="O49" s="51"/>
      <c r="P49" s="52"/>
      <c r="Q49" s="55"/>
      <c r="R49" s="55"/>
      <c r="S49" s="55"/>
      <c r="T49" s="55"/>
      <c r="U49" s="55"/>
      <c r="W49" s="27"/>
      <c r="Z49" s="27"/>
      <c r="AA49" s="27"/>
      <c r="AB49" s="27"/>
      <c r="AC49" s="27"/>
      <c r="AD49" s="13"/>
      <c r="AE49" s="13"/>
      <c r="AF49" s="13"/>
      <c r="AG49" s="27"/>
      <c r="AH49" s="27"/>
      <c r="AI49" s="27"/>
      <c r="AJ49" s="27"/>
      <c r="CL49" s="27"/>
    </row>
    <row r="50" spans="2:90" s="18" customFormat="1" ht="14.1" customHeight="1" x14ac:dyDescent="0.2">
      <c r="B50" s="54"/>
      <c r="C50" s="54"/>
      <c r="D50" s="54"/>
      <c r="E50" s="50"/>
      <c r="F50" s="50"/>
      <c r="G50" s="50"/>
      <c r="H50" s="50"/>
      <c r="I50" s="50"/>
      <c r="J50" s="50"/>
      <c r="K50" s="50"/>
      <c r="L50" s="50"/>
      <c r="M50" s="50"/>
      <c r="N50" s="51"/>
      <c r="O50" s="51"/>
      <c r="P50" s="52"/>
      <c r="Q50" s="55"/>
      <c r="R50" s="55"/>
      <c r="S50" s="55"/>
      <c r="T50" s="55"/>
      <c r="U50" s="55"/>
      <c r="W50" s="27"/>
      <c r="Z50" s="27"/>
      <c r="AA50" s="27"/>
      <c r="AB50" s="27"/>
      <c r="AC50" s="27"/>
      <c r="AD50" s="13"/>
      <c r="AE50" s="13"/>
      <c r="AF50" s="13"/>
      <c r="AG50" s="27"/>
      <c r="AH50" s="27"/>
      <c r="AI50" s="27"/>
      <c r="AJ50" s="27"/>
      <c r="CL50" s="27"/>
    </row>
    <row r="51" spans="2:90" s="18" customFormat="1" ht="14.1" customHeight="1" x14ac:dyDescent="0.2">
      <c r="B51" s="54"/>
      <c r="C51" s="54"/>
      <c r="D51" s="54"/>
      <c r="E51" s="50"/>
      <c r="F51" s="50"/>
      <c r="G51" s="50"/>
      <c r="H51" s="50"/>
      <c r="I51" s="50"/>
      <c r="J51" s="50"/>
      <c r="K51" s="50"/>
      <c r="L51" s="50"/>
      <c r="M51" s="50"/>
      <c r="N51" s="51"/>
      <c r="O51" s="51"/>
      <c r="P51" s="52"/>
      <c r="Q51" s="55"/>
      <c r="R51" s="55"/>
      <c r="S51" s="55"/>
      <c r="T51" s="55"/>
      <c r="U51" s="55"/>
      <c r="W51" s="27"/>
      <c r="Z51" s="27"/>
      <c r="AA51" s="27"/>
      <c r="AB51" s="27"/>
      <c r="AC51" s="27"/>
      <c r="AD51" s="13"/>
      <c r="AE51" s="13"/>
      <c r="AF51" s="13"/>
      <c r="AG51" s="27"/>
      <c r="AH51" s="27"/>
      <c r="AI51" s="27"/>
      <c r="AJ51" s="27"/>
      <c r="CL51" s="27"/>
    </row>
    <row r="52" spans="2:90" s="18" customFormat="1" ht="14.1" customHeight="1" x14ac:dyDescent="0.2">
      <c r="B52" s="54"/>
      <c r="C52" s="54"/>
      <c r="D52" s="54"/>
      <c r="E52" s="50"/>
      <c r="F52" s="50"/>
      <c r="G52" s="50"/>
      <c r="H52" s="50"/>
      <c r="I52" s="50"/>
      <c r="J52" s="50"/>
      <c r="K52" s="50"/>
      <c r="L52" s="50"/>
      <c r="M52" s="50"/>
      <c r="N52" s="51"/>
      <c r="O52" s="51"/>
      <c r="P52" s="52"/>
      <c r="Q52" s="55"/>
      <c r="R52" s="55"/>
      <c r="S52" s="55"/>
      <c r="T52" s="55"/>
      <c r="U52" s="55"/>
      <c r="W52" s="27"/>
      <c r="Z52" s="27"/>
      <c r="AA52" s="27"/>
      <c r="AB52" s="27"/>
      <c r="AC52" s="27"/>
      <c r="AD52" s="13"/>
      <c r="AE52" s="13"/>
      <c r="AF52" s="13"/>
      <c r="AG52" s="27"/>
      <c r="AH52" s="27"/>
      <c r="AI52" s="27"/>
      <c r="AJ52" s="27"/>
      <c r="CL52" s="27"/>
    </row>
    <row r="53" spans="2:90" s="18" customFormat="1" ht="14.1" customHeight="1" x14ac:dyDescent="0.2">
      <c r="B53" s="54"/>
      <c r="C53" s="54"/>
      <c r="D53" s="54"/>
      <c r="E53" s="50"/>
      <c r="F53" s="50"/>
      <c r="G53" s="50"/>
      <c r="H53" s="50"/>
      <c r="I53" s="50"/>
      <c r="J53" s="50"/>
      <c r="K53" s="50"/>
      <c r="L53" s="50"/>
      <c r="M53" s="50"/>
      <c r="N53" s="51"/>
      <c r="O53" s="51"/>
      <c r="P53" s="52"/>
      <c r="Q53" s="55"/>
      <c r="R53" s="55"/>
      <c r="S53" s="55"/>
      <c r="T53" s="55"/>
      <c r="U53" s="55"/>
      <c r="W53" s="27"/>
      <c r="Z53" s="27"/>
      <c r="AA53" s="27"/>
      <c r="AB53" s="27"/>
      <c r="AC53" s="27"/>
      <c r="AD53" s="13"/>
      <c r="AE53" s="13"/>
      <c r="AF53" s="13"/>
      <c r="AG53" s="27"/>
      <c r="AH53" s="27"/>
      <c r="AI53" s="27"/>
      <c r="AJ53" s="27"/>
      <c r="CL53" s="27"/>
    </row>
    <row r="54" spans="2:90" s="18" customFormat="1" ht="14.1" customHeight="1" x14ac:dyDescent="0.2">
      <c r="B54" s="54"/>
      <c r="C54" s="54"/>
      <c r="D54" s="54"/>
      <c r="E54" s="50"/>
      <c r="F54" s="50"/>
      <c r="G54" s="50"/>
      <c r="H54" s="50"/>
      <c r="I54" s="50"/>
      <c r="J54" s="50"/>
      <c r="K54" s="50"/>
      <c r="L54" s="50"/>
      <c r="M54" s="50"/>
      <c r="N54" s="51"/>
      <c r="O54" s="51"/>
      <c r="P54" s="52"/>
      <c r="Q54" s="55"/>
      <c r="R54" s="55"/>
      <c r="S54" s="55"/>
      <c r="T54" s="55"/>
      <c r="U54" s="55"/>
      <c r="W54" s="27"/>
      <c r="Z54" s="27"/>
      <c r="AA54" s="27"/>
      <c r="AB54" s="27"/>
      <c r="AC54" s="27"/>
      <c r="AD54" s="13"/>
      <c r="AE54" s="13"/>
      <c r="AF54" s="13"/>
      <c r="AG54" s="27"/>
      <c r="AH54" s="27"/>
      <c r="AI54" s="27"/>
      <c r="AJ54" s="27"/>
      <c r="CL54" s="27"/>
    </row>
    <row r="55" spans="2:90" s="18" customFormat="1" ht="14.1" customHeight="1" x14ac:dyDescent="0.2">
      <c r="B55" s="54"/>
      <c r="C55" s="54"/>
      <c r="D55" s="54"/>
      <c r="E55" s="50"/>
      <c r="F55" s="50"/>
      <c r="G55" s="50"/>
      <c r="H55" s="50"/>
      <c r="I55" s="50"/>
      <c r="J55" s="50"/>
      <c r="K55" s="50"/>
      <c r="L55" s="50"/>
      <c r="M55" s="50"/>
      <c r="N55" s="51"/>
      <c r="O55" s="51"/>
      <c r="P55" s="52"/>
      <c r="Q55" s="55"/>
      <c r="R55" s="55"/>
      <c r="S55" s="55"/>
      <c r="T55" s="55"/>
      <c r="U55" s="55"/>
      <c r="W55" s="27"/>
      <c r="Z55" s="27"/>
      <c r="AA55" s="27"/>
      <c r="AB55" s="27"/>
      <c r="AC55" s="27"/>
      <c r="AD55" s="13"/>
      <c r="AE55" s="13"/>
      <c r="AF55" s="13"/>
      <c r="AG55" s="27"/>
      <c r="AH55" s="27"/>
      <c r="AI55" s="27"/>
      <c r="AJ55" s="27"/>
      <c r="CL55" s="27"/>
    </row>
    <row r="56" spans="2:90" s="18" customFormat="1" ht="14.1" customHeight="1" x14ac:dyDescent="0.2">
      <c r="B56" s="54"/>
      <c r="C56" s="54"/>
      <c r="D56" s="54"/>
      <c r="E56" s="50"/>
      <c r="F56" s="50"/>
      <c r="G56" s="50"/>
      <c r="H56" s="50"/>
      <c r="I56" s="50"/>
      <c r="J56" s="50"/>
      <c r="K56" s="50"/>
      <c r="L56" s="50"/>
      <c r="M56" s="50"/>
      <c r="N56" s="51"/>
      <c r="O56" s="51"/>
      <c r="P56" s="52"/>
      <c r="Q56" s="55"/>
      <c r="R56" s="55"/>
      <c r="S56" s="55"/>
      <c r="T56" s="55"/>
      <c r="U56" s="55"/>
      <c r="W56" s="27"/>
      <c r="Z56" s="27"/>
      <c r="AA56" s="27"/>
      <c r="AB56" s="27"/>
      <c r="AC56" s="27"/>
      <c r="AD56" s="13"/>
      <c r="AE56" s="13"/>
      <c r="AF56" s="13"/>
      <c r="AG56" s="27"/>
      <c r="AH56" s="27"/>
      <c r="AI56" s="27"/>
      <c r="AJ56" s="27"/>
      <c r="CL56" s="27"/>
    </row>
    <row r="57" spans="2:90" s="18" customFormat="1" ht="14.1" customHeight="1" x14ac:dyDescent="0.2">
      <c r="B57" s="54"/>
      <c r="C57" s="54"/>
      <c r="D57" s="54"/>
      <c r="E57" s="50"/>
      <c r="F57" s="50"/>
      <c r="G57" s="50"/>
      <c r="H57" s="50"/>
      <c r="I57" s="50"/>
      <c r="J57" s="50"/>
      <c r="K57" s="50"/>
      <c r="L57" s="50"/>
      <c r="M57" s="50"/>
      <c r="N57" s="51"/>
      <c r="O57" s="51"/>
      <c r="P57" s="52"/>
      <c r="Q57" s="55"/>
      <c r="R57" s="55"/>
      <c r="S57" s="55"/>
      <c r="T57" s="55"/>
      <c r="U57" s="55"/>
      <c r="W57" s="27"/>
      <c r="Z57" s="27"/>
      <c r="AA57" s="27"/>
      <c r="AB57" s="27"/>
      <c r="AC57" s="27"/>
      <c r="AD57" s="13"/>
      <c r="AE57" s="13"/>
      <c r="AF57" s="13"/>
      <c r="AG57" s="27"/>
      <c r="AH57" s="27"/>
      <c r="AI57" s="27"/>
      <c r="AJ57" s="27"/>
      <c r="CL57" s="27"/>
    </row>
    <row r="58" spans="2:90" s="18" customFormat="1" ht="14.1" customHeight="1" x14ac:dyDescent="0.2">
      <c r="B58" s="54"/>
      <c r="C58" s="54"/>
      <c r="D58" s="54"/>
      <c r="E58" s="50"/>
      <c r="F58" s="50"/>
      <c r="G58" s="50"/>
      <c r="H58" s="50"/>
      <c r="I58" s="50"/>
      <c r="J58" s="50"/>
      <c r="K58" s="50"/>
      <c r="L58" s="50"/>
      <c r="M58" s="50"/>
      <c r="N58" s="51"/>
      <c r="O58" s="51"/>
      <c r="P58" s="52"/>
      <c r="Q58" s="55"/>
      <c r="R58" s="55"/>
      <c r="S58" s="55"/>
      <c r="T58" s="55"/>
      <c r="U58" s="55"/>
      <c r="W58" s="27"/>
      <c r="Z58" s="27"/>
      <c r="AA58" s="27"/>
      <c r="AB58" s="27"/>
      <c r="AC58" s="27"/>
      <c r="AD58" s="13"/>
      <c r="AE58" s="13"/>
      <c r="AF58" s="13"/>
      <c r="AG58" s="27"/>
      <c r="AH58" s="27"/>
      <c r="AI58" s="27"/>
      <c r="AJ58" s="27"/>
      <c r="CL58" s="27"/>
    </row>
    <row r="59" spans="2:90" s="18" customFormat="1" ht="14.1" customHeight="1" x14ac:dyDescent="0.2">
      <c r="B59" s="54"/>
      <c r="C59" s="54"/>
      <c r="D59" s="54"/>
      <c r="E59" s="50"/>
      <c r="F59" s="50"/>
      <c r="G59" s="50"/>
      <c r="H59" s="50"/>
      <c r="I59" s="50"/>
      <c r="J59" s="50"/>
      <c r="K59" s="50"/>
      <c r="L59" s="50"/>
      <c r="M59" s="50"/>
      <c r="N59" s="51"/>
      <c r="O59" s="51"/>
      <c r="P59" s="52"/>
      <c r="Q59" s="55"/>
      <c r="R59" s="55"/>
      <c r="S59" s="55"/>
      <c r="T59" s="55"/>
      <c r="U59" s="55"/>
      <c r="W59" s="27"/>
      <c r="Z59" s="27"/>
      <c r="AA59" s="27"/>
      <c r="AB59" s="27"/>
      <c r="AC59" s="27"/>
      <c r="AD59" s="13"/>
      <c r="AE59" s="13"/>
      <c r="AF59" s="13"/>
      <c r="AG59" s="27"/>
      <c r="AH59" s="27"/>
      <c r="AI59" s="27"/>
      <c r="AJ59" s="27"/>
      <c r="CL59" s="27"/>
    </row>
    <row r="60" spans="2:90" s="18" customFormat="1" ht="14.1" customHeight="1" x14ac:dyDescent="0.2">
      <c r="B60" s="54"/>
      <c r="C60" s="54"/>
      <c r="D60" s="54"/>
      <c r="E60" s="50"/>
      <c r="F60" s="50"/>
      <c r="G60" s="50"/>
      <c r="H60" s="50"/>
      <c r="I60" s="50"/>
      <c r="J60" s="50"/>
      <c r="K60" s="50"/>
      <c r="L60" s="50"/>
      <c r="M60" s="50"/>
      <c r="N60" s="51"/>
      <c r="O60" s="51"/>
      <c r="P60" s="52"/>
      <c r="Q60" s="55"/>
      <c r="R60" s="55"/>
      <c r="S60" s="55"/>
      <c r="T60" s="55"/>
      <c r="U60" s="55"/>
      <c r="W60" s="27"/>
      <c r="Z60" s="27"/>
      <c r="AA60" s="27"/>
      <c r="AB60" s="27"/>
      <c r="AC60" s="27"/>
      <c r="AD60" s="13"/>
      <c r="AE60" s="13"/>
      <c r="AF60" s="13"/>
      <c r="AG60" s="27"/>
      <c r="AH60" s="27"/>
      <c r="AI60" s="27"/>
      <c r="AJ60" s="27"/>
      <c r="CL60" s="27"/>
    </row>
    <row r="61" spans="2:90" s="18" customFormat="1" ht="14.1" customHeight="1" x14ac:dyDescent="0.2">
      <c r="B61" s="54"/>
      <c r="C61" s="54"/>
      <c r="D61" s="54"/>
      <c r="E61" s="50"/>
      <c r="F61" s="50"/>
      <c r="G61" s="50"/>
      <c r="H61" s="50"/>
      <c r="I61" s="50"/>
      <c r="J61" s="50"/>
      <c r="K61" s="50"/>
      <c r="L61" s="50"/>
      <c r="M61" s="50"/>
      <c r="N61" s="51"/>
      <c r="O61" s="51"/>
      <c r="P61" s="52"/>
      <c r="Q61" s="55"/>
      <c r="R61" s="55"/>
      <c r="S61" s="55"/>
      <c r="T61" s="55"/>
      <c r="U61" s="55"/>
      <c r="W61" s="27"/>
      <c r="Z61" s="27"/>
      <c r="AA61" s="27"/>
      <c r="AB61" s="27"/>
      <c r="AC61" s="27"/>
      <c r="AD61" s="13"/>
      <c r="AE61" s="13"/>
      <c r="AF61" s="13"/>
      <c r="AG61" s="27"/>
      <c r="AH61" s="27"/>
      <c r="AI61" s="27"/>
      <c r="AJ61" s="27"/>
      <c r="CL61" s="27"/>
    </row>
    <row r="62" spans="2:90" s="18" customFormat="1" ht="14.1" customHeight="1" x14ac:dyDescent="0.2">
      <c r="B62" s="54"/>
      <c r="C62" s="54"/>
      <c r="D62" s="54"/>
      <c r="E62" s="50"/>
      <c r="F62" s="50"/>
      <c r="G62" s="50"/>
      <c r="H62" s="50"/>
      <c r="I62" s="50"/>
      <c r="J62" s="50"/>
      <c r="K62" s="50"/>
      <c r="L62" s="50"/>
      <c r="M62" s="50"/>
      <c r="N62" s="51"/>
      <c r="O62" s="51"/>
      <c r="P62" s="52"/>
      <c r="Q62" s="55"/>
      <c r="R62" s="55"/>
      <c r="S62" s="55"/>
      <c r="T62" s="55"/>
      <c r="U62" s="55"/>
      <c r="W62" s="27"/>
      <c r="Z62" s="27"/>
      <c r="AA62" s="27"/>
      <c r="AB62" s="27"/>
      <c r="AC62" s="27"/>
      <c r="AD62" s="13"/>
      <c r="AE62" s="13"/>
      <c r="AF62" s="13"/>
      <c r="AG62" s="27"/>
      <c r="AH62" s="27"/>
      <c r="AI62" s="27"/>
      <c r="AJ62" s="27"/>
      <c r="CL62" s="27"/>
    </row>
    <row r="63" spans="2:90" s="18" customFormat="1" ht="14.1" customHeight="1" x14ac:dyDescent="0.2">
      <c r="B63" s="54"/>
      <c r="C63" s="54"/>
      <c r="D63" s="54"/>
      <c r="E63" s="50"/>
      <c r="F63" s="50"/>
      <c r="G63" s="50"/>
      <c r="H63" s="50"/>
      <c r="I63" s="50"/>
      <c r="J63" s="50"/>
      <c r="K63" s="50"/>
      <c r="L63" s="50"/>
      <c r="M63" s="50"/>
      <c r="N63" s="51"/>
      <c r="O63" s="51"/>
      <c r="P63" s="52"/>
      <c r="Q63" s="55"/>
      <c r="R63" s="55"/>
      <c r="S63" s="55"/>
      <c r="T63" s="55"/>
      <c r="U63" s="55"/>
      <c r="W63" s="27"/>
      <c r="Z63" s="27"/>
      <c r="AA63" s="27"/>
      <c r="AB63" s="27"/>
      <c r="AC63" s="27"/>
      <c r="AD63" s="13"/>
      <c r="AE63" s="13"/>
      <c r="AF63" s="13"/>
      <c r="AG63" s="27"/>
      <c r="AH63" s="27"/>
      <c r="AI63" s="27"/>
      <c r="AJ63" s="27"/>
      <c r="CL63" s="27"/>
    </row>
    <row r="64" spans="2:90" s="18" customFormat="1" ht="14.1" customHeight="1" x14ac:dyDescent="0.2">
      <c r="B64" s="54"/>
      <c r="C64" s="54"/>
      <c r="D64" s="54"/>
      <c r="E64" s="50"/>
      <c r="F64" s="50"/>
      <c r="G64" s="50"/>
      <c r="H64" s="50"/>
      <c r="I64" s="50"/>
      <c r="J64" s="50"/>
      <c r="K64" s="50"/>
      <c r="L64" s="50"/>
      <c r="M64" s="50"/>
      <c r="N64" s="51"/>
      <c r="O64" s="51"/>
      <c r="P64" s="52"/>
      <c r="Q64" s="55"/>
      <c r="R64" s="55"/>
      <c r="S64" s="55"/>
      <c r="T64" s="55"/>
      <c r="U64" s="55"/>
      <c r="W64" s="27"/>
      <c r="Z64" s="27"/>
      <c r="AA64" s="27"/>
      <c r="AB64" s="27"/>
      <c r="AC64" s="27"/>
      <c r="AD64" s="13"/>
      <c r="AE64" s="13"/>
      <c r="AF64" s="13"/>
      <c r="AG64" s="27"/>
      <c r="AH64" s="27"/>
      <c r="AI64" s="27"/>
      <c r="AJ64" s="27"/>
      <c r="CL64" s="27"/>
    </row>
    <row r="65" spans="2:90" s="18" customFormat="1" ht="14.1" customHeight="1" x14ac:dyDescent="0.2">
      <c r="B65" s="54"/>
      <c r="C65" s="54"/>
      <c r="D65" s="54"/>
      <c r="E65" s="50"/>
      <c r="F65" s="50"/>
      <c r="G65" s="50"/>
      <c r="H65" s="50"/>
      <c r="I65" s="50"/>
      <c r="J65" s="50"/>
      <c r="K65" s="50"/>
      <c r="L65" s="50"/>
      <c r="M65" s="50"/>
      <c r="N65" s="51"/>
      <c r="O65" s="51"/>
      <c r="P65" s="52"/>
      <c r="Q65" s="55"/>
      <c r="R65" s="55"/>
      <c r="S65" s="55"/>
      <c r="T65" s="55"/>
      <c r="U65" s="55"/>
      <c r="W65" s="27"/>
      <c r="Z65" s="27"/>
      <c r="AA65" s="27"/>
      <c r="AB65" s="27"/>
      <c r="AC65" s="27"/>
      <c r="AD65" s="13"/>
      <c r="AE65" s="13"/>
      <c r="AF65" s="13"/>
      <c r="AG65" s="27"/>
      <c r="AH65" s="27"/>
      <c r="AI65" s="27"/>
      <c r="AJ65" s="27"/>
      <c r="CL65" s="27"/>
    </row>
    <row r="66" spans="2:90" s="18" customFormat="1" ht="14.1" customHeight="1" x14ac:dyDescent="0.2">
      <c r="B66" s="54"/>
      <c r="C66" s="54"/>
      <c r="D66" s="54"/>
      <c r="E66" s="50"/>
      <c r="F66" s="50"/>
      <c r="G66" s="50"/>
      <c r="H66" s="50"/>
      <c r="I66" s="50"/>
      <c r="J66" s="50"/>
      <c r="K66" s="50"/>
      <c r="L66" s="50"/>
      <c r="M66" s="50"/>
      <c r="N66" s="51"/>
      <c r="O66" s="51"/>
      <c r="P66" s="52"/>
      <c r="Q66" s="55"/>
      <c r="R66" s="55"/>
      <c r="S66" s="55"/>
      <c r="T66" s="55"/>
      <c r="U66" s="55"/>
      <c r="W66" s="27"/>
      <c r="Z66" s="27"/>
      <c r="AA66" s="27"/>
      <c r="AB66" s="27"/>
      <c r="AC66" s="27"/>
      <c r="AD66" s="13"/>
      <c r="AE66" s="13"/>
      <c r="AF66" s="13"/>
      <c r="AG66" s="27"/>
      <c r="AH66" s="27"/>
      <c r="AI66" s="27"/>
      <c r="AJ66" s="27"/>
      <c r="CL66" s="27"/>
    </row>
    <row r="67" spans="2:90" s="18" customFormat="1" ht="14.1" customHeight="1" x14ac:dyDescent="0.2">
      <c r="B67" s="54"/>
      <c r="C67" s="54"/>
      <c r="D67" s="54"/>
      <c r="E67" s="50"/>
      <c r="F67" s="50"/>
      <c r="G67" s="50"/>
      <c r="H67" s="50"/>
      <c r="I67" s="50"/>
      <c r="J67" s="50"/>
      <c r="K67" s="50"/>
      <c r="L67" s="50"/>
      <c r="M67" s="50"/>
      <c r="N67" s="51"/>
      <c r="O67" s="51"/>
      <c r="P67" s="52"/>
      <c r="Q67" s="55"/>
      <c r="R67" s="55"/>
      <c r="S67" s="55"/>
      <c r="T67" s="55"/>
      <c r="U67" s="55"/>
      <c r="W67" s="27"/>
      <c r="Z67" s="27"/>
      <c r="AA67" s="27"/>
      <c r="AB67" s="27"/>
      <c r="AC67" s="27"/>
      <c r="AD67" s="13"/>
      <c r="AE67" s="13"/>
      <c r="AF67" s="13"/>
      <c r="AG67" s="27"/>
      <c r="AH67" s="27"/>
      <c r="AI67" s="27"/>
      <c r="AJ67" s="27"/>
      <c r="CL67" s="27"/>
    </row>
    <row r="68" spans="2:90" s="18" customFormat="1" ht="14.1" customHeight="1" x14ac:dyDescent="0.2">
      <c r="B68" s="54"/>
      <c r="C68" s="54"/>
      <c r="D68" s="54"/>
      <c r="E68" s="50"/>
      <c r="F68" s="50"/>
      <c r="G68" s="50"/>
      <c r="H68" s="50"/>
      <c r="I68" s="50"/>
      <c r="J68" s="50"/>
      <c r="K68" s="50"/>
      <c r="L68" s="50"/>
      <c r="M68" s="50"/>
      <c r="N68" s="51"/>
      <c r="O68" s="51"/>
      <c r="P68" s="52"/>
      <c r="Q68" s="55"/>
      <c r="R68" s="55"/>
      <c r="S68" s="55"/>
      <c r="T68" s="55"/>
      <c r="U68" s="55"/>
      <c r="W68" s="27"/>
      <c r="Z68" s="27"/>
      <c r="AA68" s="27"/>
      <c r="AB68" s="27"/>
      <c r="AC68" s="27"/>
      <c r="AD68" s="13"/>
      <c r="AE68" s="13"/>
      <c r="AF68" s="13"/>
      <c r="AG68" s="27"/>
      <c r="AH68" s="27"/>
      <c r="AI68" s="27"/>
      <c r="AJ68" s="27"/>
      <c r="CL68" s="27"/>
    </row>
    <row r="69" spans="2:90" s="18" customFormat="1" ht="14.1" customHeight="1" x14ac:dyDescent="0.2">
      <c r="B69" s="54"/>
      <c r="C69" s="54"/>
      <c r="D69" s="54"/>
      <c r="E69" s="50"/>
      <c r="F69" s="50"/>
      <c r="G69" s="50"/>
      <c r="H69" s="50"/>
      <c r="I69" s="50"/>
      <c r="J69" s="50"/>
      <c r="K69" s="50"/>
      <c r="L69" s="50"/>
      <c r="M69" s="50"/>
      <c r="N69" s="51"/>
      <c r="O69" s="51"/>
      <c r="P69" s="52"/>
      <c r="Q69" s="55"/>
      <c r="R69" s="55"/>
      <c r="S69" s="55"/>
      <c r="T69" s="55"/>
      <c r="U69" s="55"/>
      <c r="W69" s="27"/>
      <c r="Z69" s="27"/>
      <c r="AA69" s="27"/>
      <c r="AB69" s="27"/>
      <c r="AC69" s="27"/>
      <c r="AD69" s="13"/>
      <c r="AE69" s="13"/>
      <c r="AF69" s="13"/>
      <c r="AG69" s="27"/>
      <c r="AH69" s="27"/>
      <c r="AI69" s="27"/>
      <c r="AJ69" s="27"/>
      <c r="CL69" s="27"/>
    </row>
    <row r="70" spans="2:90" s="18" customFormat="1" ht="14.1" customHeight="1" x14ac:dyDescent="0.2">
      <c r="B70" s="54"/>
      <c r="C70" s="54"/>
      <c r="D70" s="54"/>
      <c r="E70" s="50"/>
      <c r="F70" s="50"/>
      <c r="G70" s="50"/>
      <c r="H70" s="50"/>
      <c r="I70" s="50"/>
      <c r="J70" s="50"/>
      <c r="K70" s="50"/>
      <c r="L70" s="50"/>
      <c r="M70" s="50"/>
      <c r="N70" s="51"/>
      <c r="O70" s="51"/>
      <c r="P70" s="52"/>
      <c r="Q70" s="55"/>
      <c r="R70" s="55"/>
      <c r="S70" s="55"/>
      <c r="T70" s="55"/>
      <c r="U70" s="55"/>
      <c r="W70" s="27"/>
      <c r="Z70" s="27"/>
      <c r="AA70" s="27"/>
      <c r="AB70" s="27"/>
      <c r="AC70" s="27"/>
      <c r="AD70" s="13"/>
      <c r="AE70" s="13"/>
      <c r="AF70" s="13"/>
      <c r="AG70" s="27"/>
      <c r="AH70" s="27"/>
      <c r="AI70" s="27"/>
      <c r="AJ70" s="27"/>
      <c r="CL70" s="27"/>
    </row>
    <row r="71" spans="2:90" s="18" customFormat="1" ht="14.1" customHeight="1" x14ac:dyDescent="0.2">
      <c r="B71" s="54"/>
      <c r="C71" s="54"/>
      <c r="D71" s="54"/>
      <c r="E71" s="50"/>
      <c r="F71" s="50"/>
      <c r="G71" s="50"/>
      <c r="H71" s="50"/>
      <c r="I71" s="50"/>
      <c r="J71" s="50"/>
      <c r="K71" s="50"/>
      <c r="L71" s="50"/>
      <c r="M71" s="50"/>
      <c r="N71" s="51"/>
      <c r="O71" s="51"/>
      <c r="P71" s="52"/>
      <c r="Q71" s="55"/>
      <c r="R71" s="55"/>
      <c r="S71" s="55"/>
      <c r="T71" s="55"/>
      <c r="U71" s="55"/>
      <c r="W71" s="27"/>
      <c r="Z71" s="27"/>
      <c r="AA71" s="27"/>
      <c r="AB71" s="27"/>
      <c r="AC71" s="27"/>
      <c r="AD71" s="13"/>
      <c r="AE71" s="13"/>
      <c r="AF71" s="13"/>
      <c r="AG71" s="27"/>
      <c r="AH71" s="27"/>
      <c r="AI71" s="27"/>
      <c r="AJ71" s="27"/>
      <c r="CL71" s="27"/>
    </row>
    <row r="72" spans="2:90" s="18" customFormat="1" ht="14.1" customHeight="1" x14ac:dyDescent="0.2">
      <c r="B72" s="54"/>
      <c r="C72" s="54"/>
      <c r="D72" s="54"/>
      <c r="E72" s="50"/>
      <c r="F72" s="50"/>
      <c r="G72" s="50"/>
      <c r="H72" s="50"/>
      <c r="I72" s="50"/>
      <c r="J72" s="50"/>
      <c r="K72" s="50"/>
      <c r="L72" s="50"/>
      <c r="M72" s="50"/>
      <c r="N72" s="51"/>
      <c r="O72" s="51"/>
      <c r="P72" s="52"/>
      <c r="Q72" s="55"/>
      <c r="R72" s="55"/>
      <c r="S72" s="55"/>
      <c r="T72" s="55"/>
      <c r="U72" s="55"/>
      <c r="W72" s="27"/>
      <c r="Z72" s="27"/>
      <c r="AA72" s="27"/>
      <c r="AB72" s="27"/>
      <c r="AC72" s="27"/>
      <c r="AD72" s="13"/>
      <c r="AE72" s="13"/>
      <c r="AF72" s="13"/>
      <c r="AG72" s="27"/>
      <c r="AH72" s="27"/>
      <c r="AI72" s="27"/>
      <c r="AJ72" s="27"/>
      <c r="CL72" s="27"/>
    </row>
    <row r="73" spans="2:90" s="18" customFormat="1" ht="14.1" customHeight="1" x14ac:dyDescent="0.2">
      <c r="B73" s="54"/>
      <c r="C73" s="54"/>
      <c r="D73" s="54"/>
      <c r="E73" s="50"/>
      <c r="F73" s="50"/>
      <c r="G73" s="50"/>
      <c r="H73" s="50"/>
      <c r="I73" s="50"/>
      <c r="J73" s="50"/>
      <c r="K73" s="50"/>
      <c r="L73" s="50"/>
      <c r="M73" s="50"/>
      <c r="N73" s="51"/>
      <c r="O73" s="51"/>
      <c r="P73" s="52"/>
      <c r="Q73" s="55"/>
      <c r="R73" s="55"/>
      <c r="S73" s="55"/>
      <c r="T73" s="55"/>
      <c r="U73" s="55"/>
      <c r="W73" s="27"/>
      <c r="Z73" s="27"/>
      <c r="AA73" s="27"/>
      <c r="AB73" s="27"/>
      <c r="AC73" s="27"/>
      <c r="AD73" s="13"/>
      <c r="AE73" s="13"/>
      <c r="AF73" s="13"/>
      <c r="AG73" s="27"/>
      <c r="AH73" s="27"/>
      <c r="AI73" s="27"/>
      <c r="AJ73" s="27"/>
      <c r="CL73" s="27"/>
    </row>
    <row r="74" spans="2:90" s="18" customFormat="1" ht="14.1" customHeight="1" x14ac:dyDescent="0.2">
      <c r="B74" s="54"/>
      <c r="C74" s="54"/>
      <c r="D74" s="54"/>
      <c r="E74" s="50"/>
      <c r="F74" s="50"/>
      <c r="G74" s="50"/>
      <c r="H74" s="50"/>
      <c r="I74" s="50"/>
      <c r="J74" s="50"/>
      <c r="K74" s="50"/>
      <c r="L74" s="50"/>
      <c r="M74" s="50"/>
      <c r="N74" s="51"/>
      <c r="O74" s="51"/>
      <c r="P74" s="52"/>
      <c r="Q74" s="55"/>
      <c r="R74" s="55"/>
      <c r="S74" s="55"/>
      <c r="T74" s="55"/>
      <c r="U74" s="55"/>
      <c r="W74" s="27"/>
      <c r="Z74" s="27"/>
      <c r="AA74" s="27"/>
      <c r="AB74" s="27"/>
      <c r="AC74" s="27"/>
      <c r="AD74" s="13"/>
      <c r="AE74" s="13"/>
      <c r="AF74" s="13"/>
      <c r="AG74" s="27"/>
      <c r="AH74" s="27"/>
      <c r="AI74" s="27"/>
      <c r="AJ74" s="27"/>
      <c r="CL74" s="27"/>
    </row>
    <row r="75" spans="2:90" s="18" customFormat="1" ht="14.1" customHeight="1" x14ac:dyDescent="0.2">
      <c r="B75" s="54"/>
      <c r="C75" s="54"/>
      <c r="D75" s="54"/>
      <c r="E75" s="50"/>
      <c r="F75" s="50"/>
      <c r="G75" s="50"/>
      <c r="H75" s="50"/>
      <c r="I75" s="50"/>
      <c r="J75" s="50"/>
      <c r="K75" s="50"/>
      <c r="L75" s="50"/>
      <c r="M75" s="50"/>
      <c r="N75" s="51"/>
      <c r="O75" s="51"/>
      <c r="P75" s="52"/>
      <c r="Q75" s="55"/>
      <c r="R75" s="55"/>
      <c r="S75" s="55"/>
      <c r="T75" s="55"/>
      <c r="U75" s="55"/>
      <c r="W75" s="27"/>
      <c r="Z75" s="27"/>
      <c r="AA75" s="27"/>
      <c r="AB75" s="27"/>
      <c r="AC75" s="27"/>
      <c r="AD75" s="13"/>
      <c r="AE75" s="13"/>
      <c r="AF75" s="13"/>
      <c r="AG75" s="27"/>
      <c r="AH75" s="27"/>
      <c r="AI75" s="27"/>
      <c r="AJ75" s="27"/>
      <c r="CL75" s="27"/>
    </row>
    <row r="76" spans="2:90" s="18" customFormat="1" ht="14.1" customHeight="1" x14ac:dyDescent="0.2">
      <c r="B76" s="54"/>
      <c r="C76" s="54"/>
      <c r="D76" s="54"/>
      <c r="E76" s="50"/>
      <c r="F76" s="50"/>
      <c r="G76" s="50"/>
      <c r="H76" s="50"/>
      <c r="I76" s="50"/>
      <c r="J76" s="50"/>
      <c r="K76" s="50"/>
      <c r="L76" s="50"/>
      <c r="M76" s="50"/>
      <c r="N76" s="51"/>
      <c r="O76" s="51"/>
      <c r="P76" s="52"/>
      <c r="Q76" s="55"/>
      <c r="R76" s="55"/>
      <c r="S76" s="55"/>
      <c r="T76" s="55"/>
      <c r="U76" s="55"/>
      <c r="W76" s="27"/>
      <c r="Z76" s="27"/>
      <c r="AA76" s="27"/>
      <c r="AB76" s="27"/>
      <c r="AC76" s="27"/>
      <c r="AD76" s="13"/>
      <c r="AE76" s="13"/>
      <c r="AF76" s="13"/>
      <c r="AG76" s="27"/>
      <c r="AH76" s="27"/>
      <c r="AI76" s="27"/>
      <c r="AJ76" s="27"/>
      <c r="CL76" s="27"/>
    </row>
    <row r="77" spans="2:90" s="18" customFormat="1" ht="14.1" customHeight="1" x14ac:dyDescent="0.2">
      <c r="B77" s="54"/>
      <c r="C77" s="54"/>
      <c r="D77" s="54"/>
      <c r="E77" s="50"/>
      <c r="F77" s="50"/>
      <c r="G77" s="50"/>
      <c r="H77" s="50"/>
      <c r="I77" s="50"/>
      <c r="J77" s="50"/>
      <c r="K77" s="50"/>
      <c r="L77" s="50"/>
      <c r="M77" s="50"/>
      <c r="N77" s="51"/>
      <c r="O77" s="51"/>
      <c r="P77" s="52"/>
      <c r="Q77" s="55"/>
      <c r="R77" s="55"/>
      <c r="S77" s="55"/>
      <c r="T77" s="55"/>
      <c r="U77" s="55"/>
      <c r="W77" s="27"/>
      <c r="Z77" s="27"/>
      <c r="AA77" s="27"/>
      <c r="AB77" s="27"/>
      <c r="AC77" s="27"/>
      <c r="AD77" s="13"/>
      <c r="AE77" s="13"/>
      <c r="AF77" s="13"/>
      <c r="AG77" s="27"/>
      <c r="AH77" s="27"/>
      <c r="AI77" s="27"/>
      <c r="AJ77" s="27"/>
      <c r="CL77" s="27"/>
    </row>
    <row r="78" spans="2:90" s="18" customFormat="1" ht="14.1" customHeight="1" x14ac:dyDescent="0.2">
      <c r="B78" s="54"/>
      <c r="C78" s="54"/>
      <c r="D78" s="54"/>
      <c r="E78" s="50"/>
      <c r="F78" s="50"/>
      <c r="G78" s="50"/>
      <c r="H78" s="50"/>
      <c r="I78" s="50"/>
      <c r="J78" s="50"/>
      <c r="K78" s="50"/>
      <c r="L78" s="50"/>
      <c r="M78" s="50"/>
      <c r="N78" s="51"/>
      <c r="O78" s="51"/>
      <c r="P78" s="52"/>
      <c r="Q78" s="55"/>
      <c r="R78" s="55"/>
      <c r="S78" s="55"/>
      <c r="T78" s="55"/>
      <c r="U78" s="55"/>
      <c r="W78" s="27"/>
      <c r="Z78" s="27"/>
      <c r="AA78" s="27"/>
      <c r="AB78" s="27"/>
      <c r="AC78" s="27"/>
      <c r="AD78" s="13"/>
      <c r="AE78" s="13"/>
      <c r="AF78" s="13"/>
      <c r="AG78" s="27"/>
      <c r="AH78" s="27"/>
      <c r="AI78" s="27"/>
      <c r="AJ78" s="27"/>
      <c r="CL78" s="27"/>
    </row>
    <row r="79" spans="2:90" s="18" customFormat="1" ht="14.1" customHeight="1" x14ac:dyDescent="0.2">
      <c r="B79" s="54"/>
      <c r="C79" s="54"/>
      <c r="D79" s="54"/>
      <c r="E79" s="50"/>
      <c r="F79" s="50"/>
      <c r="G79" s="50"/>
      <c r="H79" s="50"/>
      <c r="I79" s="50"/>
      <c r="J79" s="50"/>
      <c r="K79" s="50"/>
      <c r="L79" s="50"/>
      <c r="M79" s="50"/>
      <c r="N79" s="51"/>
      <c r="O79" s="51"/>
      <c r="P79" s="52"/>
      <c r="Q79" s="55"/>
      <c r="R79" s="55"/>
      <c r="S79" s="55"/>
      <c r="T79" s="55"/>
      <c r="U79" s="55"/>
      <c r="W79" s="27"/>
      <c r="Z79" s="27"/>
      <c r="AA79" s="27"/>
      <c r="AB79" s="27"/>
      <c r="AC79" s="27"/>
      <c r="AD79" s="13"/>
      <c r="AE79" s="13"/>
      <c r="AF79" s="13"/>
      <c r="AG79" s="27"/>
      <c r="AH79" s="27"/>
      <c r="AI79" s="27"/>
      <c r="AJ79" s="27"/>
      <c r="CL79" s="27"/>
    </row>
    <row r="80" spans="2:90" s="18" customFormat="1" ht="14.1" customHeight="1" x14ac:dyDescent="0.2">
      <c r="B80" s="54"/>
      <c r="C80" s="54"/>
      <c r="D80" s="54"/>
      <c r="E80" s="50"/>
      <c r="F80" s="50"/>
      <c r="G80" s="50"/>
      <c r="H80" s="50"/>
      <c r="I80" s="50"/>
      <c r="J80" s="50"/>
      <c r="K80" s="50"/>
      <c r="L80" s="50"/>
      <c r="M80" s="50"/>
      <c r="N80" s="51"/>
      <c r="O80" s="51"/>
      <c r="P80" s="52"/>
      <c r="Q80" s="55"/>
      <c r="R80" s="55"/>
      <c r="S80" s="55"/>
      <c r="T80" s="55"/>
      <c r="U80" s="55"/>
      <c r="W80" s="27"/>
      <c r="Z80" s="27"/>
      <c r="AA80" s="27"/>
      <c r="AB80" s="27"/>
      <c r="AC80" s="27"/>
      <c r="AD80" s="13"/>
      <c r="AE80" s="13"/>
      <c r="AF80" s="13"/>
      <c r="AG80" s="27"/>
      <c r="AH80" s="27"/>
      <c r="AI80" s="27"/>
      <c r="AJ80" s="27"/>
      <c r="CL80" s="27"/>
    </row>
    <row r="81" spans="2:90" s="18" customFormat="1" ht="14.1" customHeight="1" x14ac:dyDescent="0.2">
      <c r="B81" s="54"/>
      <c r="C81" s="54"/>
      <c r="D81" s="54"/>
      <c r="E81" s="50"/>
      <c r="F81" s="50"/>
      <c r="G81" s="50"/>
      <c r="H81" s="50"/>
      <c r="I81" s="50"/>
      <c r="J81" s="50"/>
      <c r="K81" s="50"/>
      <c r="L81" s="50"/>
      <c r="M81" s="50"/>
      <c r="N81" s="51"/>
      <c r="O81" s="51"/>
      <c r="P81" s="52"/>
      <c r="Q81" s="55"/>
      <c r="R81" s="55"/>
      <c r="S81" s="55"/>
      <c r="T81" s="55"/>
      <c r="U81" s="55"/>
      <c r="W81" s="27"/>
      <c r="Z81" s="27"/>
      <c r="AA81" s="27"/>
      <c r="AB81" s="27"/>
      <c r="AC81" s="27"/>
      <c r="AD81" s="13"/>
      <c r="AE81" s="13"/>
      <c r="AF81" s="13"/>
      <c r="AG81" s="27"/>
      <c r="AH81" s="27"/>
      <c r="AI81" s="27"/>
      <c r="AJ81" s="27"/>
      <c r="CL81" s="27"/>
    </row>
    <row r="82" spans="2:90" s="18" customFormat="1" ht="14.1" customHeight="1" x14ac:dyDescent="0.2">
      <c r="B82" s="54"/>
      <c r="C82" s="54"/>
      <c r="D82" s="54"/>
      <c r="E82" s="50"/>
      <c r="F82" s="50"/>
      <c r="G82" s="50"/>
      <c r="H82" s="50"/>
      <c r="I82" s="50"/>
      <c r="J82" s="50"/>
      <c r="K82" s="50"/>
      <c r="L82" s="50"/>
      <c r="M82" s="50"/>
      <c r="N82" s="51"/>
      <c r="O82" s="51"/>
      <c r="P82" s="52"/>
      <c r="Q82" s="55"/>
      <c r="R82" s="55"/>
      <c r="S82" s="55"/>
      <c r="T82" s="55"/>
      <c r="U82" s="55"/>
      <c r="W82" s="27"/>
      <c r="Z82" s="27"/>
      <c r="AA82" s="27"/>
      <c r="AB82" s="27"/>
      <c r="AC82" s="27"/>
      <c r="AD82" s="13"/>
      <c r="AE82" s="13"/>
      <c r="AF82" s="13"/>
      <c r="AG82" s="27"/>
      <c r="AH82" s="27"/>
      <c r="AI82" s="27"/>
      <c r="AJ82" s="27"/>
      <c r="CL82" s="27"/>
    </row>
    <row r="83" spans="2:90" s="18" customFormat="1" ht="14.1" customHeight="1" x14ac:dyDescent="0.2">
      <c r="B83" s="54"/>
      <c r="C83" s="54"/>
      <c r="D83" s="54"/>
      <c r="E83" s="50"/>
      <c r="F83" s="50"/>
      <c r="G83" s="50"/>
      <c r="H83" s="50"/>
      <c r="I83" s="50"/>
      <c r="J83" s="50"/>
      <c r="K83" s="50"/>
      <c r="L83" s="50"/>
      <c r="M83" s="50"/>
      <c r="N83" s="51"/>
      <c r="O83" s="51"/>
      <c r="P83" s="52"/>
      <c r="Q83" s="55"/>
      <c r="R83" s="55"/>
      <c r="S83" s="55"/>
      <c r="T83" s="55"/>
      <c r="U83" s="55"/>
      <c r="W83" s="27"/>
      <c r="Z83" s="27"/>
      <c r="AA83" s="27"/>
      <c r="AB83" s="27"/>
      <c r="AC83" s="27"/>
      <c r="AD83" s="13"/>
      <c r="AE83" s="13"/>
      <c r="AF83" s="13"/>
      <c r="AG83" s="27"/>
      <c r="AH83" s="27"/>
      <c r="AI83" s="27"/>
      <c r="AJ83" s="27"/>
      <c r="CL83" s="27"/>
    </row>
    <row r="84" spans="2:90" s="18" customFormat="1" ht="14.1" customHeight="1" x14ac:dyDescent="0.2">
      <c r="B84" s="54"/>
      <c r="C84" s="54"/>
      <c r="D84" s="54"/>
      <c r="E84" s="50"/>
      <c r="F84" s="50"/>
      <c r="G84" s="50"/>
      <c r="H84" s="50"/>
      <c r="I84" s="50"/>
      <c r="J84" s="50"/>
      <c r="K84" s="50"/>
      <c r="L84" s="50"/>
      <c r="M84" s="50"/>
      <c r="N84" s="51"/>
      <c r="O84" s="51"/>
      <c r="P84" s="52"/>
      <c r="Q84" s="55"/>
      <c r="R84" s="55"/>
      <c r="S84" s="55"/>
      <c r="T84" s="55"/>
      <c r="U84" s="55"/>
      <c r="W84" s="27"/>
      <c r="Z84" s="27"/>
      <c r="AA84" s="27"/>
      <c r="AB84" s="27"/>
      <c r="AC84" s="27"/>
      <c r="AD84" s="13"/>
      <c r="AE84" s="13"/>
      <c r="AF84" s="13"/>
      <c r="AG84" s="27"/>
      <c r="AH84" s="27"/>
      <c r="AI84" s="27"/>
      <c r="AJ84" s="27"/>
      <c r="CL84" s="27"/>
    </row>
    <row r="85" spans="2:90" s="18" customFormat="1" ht="14.1" customHeight="1" x14ac:dyDescent="0.2">
      <c r="B85" s="54"/>
      <c r="C85" s="54"/>
      <c r="D85" s="54"/>
      <c r="E85" s="50"/>
      <c r="F85" s="50"/>
      <c r="G85" s="50"/>
      <c r="H85" s="50"/>
      <c r="I85" s="50"/>
      <c r="J85" s="50"/>
      <c r="K85" s="50"/>
      <c r="L85" s="50"/>
      <c r="M85" s="50"/>
      <c r="N85" s="51"/>
      <c r="O85" s="51"/>
      <c r="P85" s="52"/>
      <c r="Q85" s="55"/>
      <c r="R85" s="55"/>
      <c r="S85" s="55"/>
      <c r="T85" s="55"/>
      <c r="U85" s="55"/>
      <c r="W85" s="27"/>
      <c r="Z85" s="27"/>
      <c r="AA85" s="27"/>
      <c r="AB85" s="27"/>
      <c r="AC85" s="27"/>
      <c r="AD85" s="13"/>
      <c r="AE85" s="13"/>
      <c r="AF85" s="13"/>
      <c r="AG85" s="27"/>
      <c r="AH85" s="27"/>
      <c r="AI85" s="27"/>
      <c r="AJ85" s="27"/>
      <c r="CL85" s="27"/>
    </row>
    <row r="86" spans="2:90" s="18" customFormat="1" ht="14.1" customHeight="1" x14ac:dyDescent="0.2">
      <c r="B86" s="54"/>
      <c r="C86" s="54"/>
      <c r="D86" s="54"/>
      <c r="E86" s="50"/>
      <c r="F86" s="50"/>
      <c r="G86" s="50"/>
      <c r="H86" s="50"/>
      <c r="I86" s="50"/>
      <c r="J86" s="50"/>
      <c r="K86" s="50"/>
      <c r="L86" s="50"/>
      <c r="M86" s="50"/>
      <c r="N86" s="51"/>
      <c r="O86" s="51"/>
      <c r="P86" s="52"/>
      <c r="Q86" s="55"/>
      <c r="R86" s="55"/>
      <c r="S86" s="55"/>
      <c r="T86" s="55"/>
      <c r="U86" s="55"/>
      <c r="W86" s="27"/>
      <c r="Z86" s="27"/>
      <c r="AA86" s="27"/>
      <c r="AB86" s="27"/>
      <c r="AC86" s="27"/>
      <c r="AD86" s="13"/>
      <c r="AE86" s="13"/>
      <c r="AF86" s="13"/>
      <c r="AG86" s="27"/>
      <c r="AH86" s="27"/>
      <c r="AI86" s="27"/>
      <c r="AJ86" s="27"/>
      <c r="CL86" s="27"/>
    </row>
    <row r="87" spans="2:90" s="18" customFormat="1" ht="14.1" customHeight="1" x14ac:dyDescent="0.2">
      <c r="B87" s="54"/>
      <c r="C87" s="54"/>
      <c r="D87" s="54"/>
      <c r="E87" s="50"/>
      <c r="F87" s="50"/>
      <c r="G87" s="50"/>
      <c r="H87" s="50"/>
      <c r="I87" s="50"/>
      <c r="J87" s="50"/>
      <c r="K87" s="50"/>
      <c r="L87" s="50"/>
      <c r="M87" s="50"/>
      <c r="N87" s="51"/>
      <c r="O87" s="51"/>
      <c r="P87" s="52"/>
      <c r="Q87" s="55"/>
      <c r="R87" s="55"/>
      <c r="S87" s="55"/>
      <c r="T87" s="55"/>
      <c r="U87" s="55"/>
      <c r="W87" s="27"/>
      <c r="Z87" s="27"/>
      <c r="AA87" s="27"/>
      <c r="AB87" s="27"/>
      <c r="AC87" s="27"/>
      <c r="AD87" s="13"/>
      <c r="AE87" s="13"/>
      <c r="AF87" s="13"/>
      <c r="AG87" s="27"/>
      <c r="AH87" s="27"/>
      <c r="AI87" s="27"/>
      <c r="AJ87" s="27"/>
      <c r="CL87" s="27"/>
    </row>
    <row r="88" spans="2:90" s="18" customFormat="1" ht="14.1" customHeight="1" x14ac:dyDescent="0.2">
      <c r="B88" s="54"/>
      <c r="C88" s="54"/>
      <c r="D88" s="54"/>
      <c r="E88" s="50"/>
      <c r="F88" s="50"/>
      <c r="G88" s="50"/>
      <c r="H88" s="50"/>
      <c r="I88" s="50"/>
      <c r="J88" s="50"/>
      <c r="K88" s="50"/>
      <c r="L88" s="50"/>
      <c r="M88" s="50"/>
      <c r="N88" s="51"/>
      <c r="O88" s="51"/>
      <c r="P88" s="52"/>
      <c r="Q88" s="55"/>
      <c r="R88" s="55"/>
      <c r="S88" s="55"/>
      <c r="T88" s="55"/>
      <c r="U88" s="55"/>
      <c r="W88" s="27"/>
      <c r="Z88" s="27"/>
      <c r="AA88" s="27"/>
      <c r="AB88" s="27"/>
      <c r="AC88" s="27"/>
      <c r="AD88" s="13"/>
      <c r="AE88" s="13"/>
      <c r="AF88" s="13"/>
      <c r="AG88" s="27"/>
      <c r="AH88" s="27"/>
      <c r="AI88" s="27"/>
      <c r="AJ88" s="27"/>
      <c r="CL88" s="27"/>
    </row>
    <row r="89" spans="2:90" s="18" customFormat="1" ht="14.1" customHeight="1" x14ac:dyDescent="0.2">
      <c r="B89" s="54"/>
      <c r="C89" s="54"/>
      <c r="D89" s="54"/>
      <c r="E89" s="50"/>
      <c r="F89" s="50"/>
      <c r="G89" s="50"/>
      <c r="H89" s="50"/>
      <c r="I89" s="50"/>
      <c r="J89" s="50"/>
      <c r="K89" s="50"/>
      <c r="L89" s="50"/>
      <c r="M89" s="50"/>
      <c r="N89" s="51"/>
      <c r="O89" s="51"/>
      <c r="P89" s="52"/>
      <c r="Q89" s="55"/>
      <c r="R89" s="55"/>
      <c r="S89" s="55"/>
      <c r="T89" s="55"/>
      <c r="U89" s="55"/>
      <c r="W89" s="27"/>
      <c r="Z89" s="27"/>
      <c r="AA89" s="27"/>
      <c r="AB89" s="27"/>
      <c r="AC89" s="27"/>
      <c r="AD89" s="13"/>
      <c r="AE89" s="13"/>
      <c r="AF89" s="13"/>
      <c r="AG89" s="27"/>
      <c r="AH89" s="27"/>
      <c r="AI89" s="27"/>
      <c r="AJ89" s="27"/>
      <c r="CL89" s="27"/>
    </row>
    <row r="90" spans="2:90" s="18" customFormat="1" ht="14.1" customHeight="1" x14ac:dyDescent="0.2">
      <c r="B90" s="54"/>
      <c r="C90" s="54"/>
      <c r="D90" s="54"/>
      <c r="E90" s="50"/>
      <c r="F90" s="50"/>
      <c r="G90" s="50"/>
      <c r="H90" s="50"/>
      <c r="I90" s="50"/>
      <c r="J90" s="50"/>
      <c r="K90" s="50"/>
      <c r="L90" s="50"/>
      <c r="M90" s="50"/>
      <c r="N90" s="51"/>
      <c r="O90" s="51"/>
      <c r="P90" s="52"/>
      <c r="Q90" s="55"/>
      <c r="R90" s="55"/>
      <c r="S90" s="55"/>
      <c r="T90" s="55"/>
      <c r="U90" s="55"/>
      <c r="W90" s="27"/>
      <c r="Z90" s="27"/>
      <c r="AA90" s="27"/>
      <c r="AB90" s="27"/>
      <c r="AC90" s="27"/>
      <c r="AD90" s="13"/>
      <c r="AE90" s="13"/>
      <c r="AF90" s="13"/>
      <c r="AG90" s="27"/>
      <c r="AH90" s="27"/>
      <c r="AI90" s="27"/>
      <c r="AJ90" s="27"/>
      <c r="CL90" s="27"/>
    </row>
    <row r="91" spans="2:90" s="18" customFormat="1" ht="14.1" customHeight="1" x14ac:dyDescent="0.2">
      <c r="B91" s="54"/>
      <c r="C91" s="54"/>
      <c r="D91" s="54"/>
      <c r="E91" s="50"/>
      <c r="F91" s="50"/>
      <c r="G91" s="50"/>
      <c r="H91" s="50"/>
      <c r="I91" s="50"/>
      <c r="J91" s="50"/>
      <c r="K91" s="50"/>
      <c r="L91" s="50"/>
      <c r="M91" s="50"/>
      <c r="N91" s="51"/>
      <c r="O91" s="51"/>
      <c r="P91" s="52"/>
      <c r="Q91" s="55"/>
      <c r="R91" s="55"/>
      <c r="S91" s="55"/>
      <c r="T91" s="55"/>
      <c r="U91" s="55"/>
      <c r="W91" s="27"/>
      <c r="Z91" s="27"/>
      <c r="AA91" s="27"/>
      <c r="AB91" s="27"/>
      <c r="AC91" s="27"/>
      <c r="AD91" s="13"/>
      <c r="AE91" s="13"/>
      <c r="AF91" s="13"/>
      <c r="AG91" s="27"/>
      <c r="AH91" s="27"/>
      <c r="AI91" s="27"/>
      <c r="AJ91" s="27"/>
      <c r="CL91" s="27"/>
    </row>
    <row r="92" spans="2:90" s="18" customFormat="1" ht="14.1" customHeight="1" x14ac:dyDescent="0.2">
      <c r="B92" s="54"/>
      <c r="C92" s="54"/>
      <c r="D92" s="54"/>
      <c r="E92" s="50"/>
      <c r="F92" s="50"/>
      <c r="G92" s="50"/>
      <c r="H92" s="50"/>
      <c r="I92" s="50"/>
      <c r="J92" s="50"/>
      <c r="K92" s="50"/>
      <c r="L92" s="50"/>
      <c r="M92" s="50"/>
      <c r="N92" s="51"/>
      <c r="O92" s="51"/>
      <c r="P92" s="52"/>
      <c r="Q92" s="55"/>
      <c r="R92" s="55"/>
      <c r="S92" s="55"/>
      <c r="T92" s="55"/>
      <c r="U92" s="55"/>
      <c r="W92" s="27"/>
      <c r="Z92" s="27"/>
      <c r="AA92" s="27"/>
      <c r="AB92" s="27"/>
      <c r="AC92" s="27"/>
      <c r="AD92" s="13"/>
      <c r="AE92" s="13"/>
      <c r="AF92" s="13"/>
      <c r="AG92" s="27"/>
      <c r="AH92" s="27"/>
      <c r="AI92" s="27"/>
      <c r="AJ92" s="27"/>
      <c r="CL92" s="27"/>
    </row>
    <row r="93" spans="2:90" s="18" customFormat="1" ht="14.1" customHeight="1" x14ac:dyDescent="0.2">
      <c r="B93" s="54"/>
      <c r="C93" s="54"/>
      <c r="D93" s="54"/>
      <c r="E93" s="50"/>
      <c r="F93" s="50"/>
      <c r="G93" s="50"/>
      <c r="H93" s="50"/>
      <c r="I93" s="50"/>
      <c r="J93" s="50"/>
      <c r="K93" s="50"/>
      <c r="L93" s="50"/>
      <c r="M93" s="50"/>
      <c r="N93" s="51"/>
      <c r="O93" s="51"/>
      <c r="P93" s="52"/>
      <c r="Q93" s="55"/>
      <c r="R93" s="55"/>
      <c r="S93" s="55"/>
      <c r="T93" s="55"/>
      <c r="U93" s="55"/>
      <c r="W93" s="27"/>
      <c r="Z93" s="27"/>
      <c r="AA93" s="27"/>
      <c r="AB93" s="27"/>
      <c r="AC93" s="27"/>
      <c r="AD93" s="13"/>
      <c r="AE93" s="13"/>
      <c r="AF93" s="13"/>
      <c r="AG93" s="27"/>
      <c r="AH93" s="27"/>
      <c r="AI93" s="27"/>
      <c r="AJ93" s="27"/>
      <c r="CL93" s="27"/>
    </row>
    <row r="94" spans="2:90" s="18" customFormat="1" ht="14.1" customHeight="1" x14ac:dyDescent="0.2">
      <c r="B94" s="54"/>
      <c r="C94" s="54"/>
      <c r="D94" s="54"/>
      <c r="E94" s="50"/>
      <c r="F94" s="50"/>
      <c r="G94" s="50"/>
      <c r="H94" s="50"/>
      <c r="I94" s="50"/>
      <c r="J94" s="50"/>
      <c r="K94" s="50"/>
      <c r="L94" s="50"/>
      <c r="M94" s="50"/>
      <c r="N94" s="51"/>
      <c r="O94" s="51"/>
      <c r="P94" s="52"/>
      <c r="Q94" s="55"/>
      <c r="R94" s="55"/>
      <c r="S94" s="55"/>
      <c r="T94" s="55"/>
      <c r="U94" s="55"/>
      <c r="W94" s="27"/>
      <c r="Z94" s="27"/>
      <c r="AA94" s="27"/>
      <c r="AB94" s="27"/>
      <c r="AC94" s="27"/>
      <c r="AD94" s="13"/>
      <c r="AE94" s="13"/>
      <c r="AF94" s="13"/>
      <c r="AG94" s="27"/>
      <c r="AH94" s="27"/>
      <c r="AI94" s="27"/>
      <c r="AJ94" s="27"/>
      <c r="CL94" s="27"/>
    </row>
    <row r="95" spans="2:90" s="18" customFormat="1" ht="14.1" customHeight="1" x14ac:dyDescent="0.2">
      <c r="B95" s="54"/>
      <c r="C95" s="54"/>
      <c r="D95" s="54"/>
      <c r="E95" s="50"/>
      <c r="F95" s="50"/>
      <c r="G95" s="50"/>
      <c r="H95" s="50"/>
      <c r="I95" s="50"/>
      <c r="J95" s="50"/>
      <c r="K95" s="50"/>
      <c r="L95" s="50"/>
      <c r="M95" s="50"/>
      <c r="N95" s="51"/>
      <c r="O95" s="51"/>
      <c r="P95" s="52"/>
      <c r="Q95" s="55"/>
      <c r="R95" s="55"/>
      <c r="S95" s="55"/>
      <c r="T95" s="55"/>
      <c r="U95" s="55"/>
      <c r="W95" s="27"/>
      <c r="Z95" s="27"/>
      <c r="AA95" s="27"/>
      <c r="AB95" s="27"/>
      <c r="AC95" s="27"/>
      <c r="AD95" s="13"/>
      <c r="AE95" s="13"/>
      <c r="AF95" s="13"/>
      <c r="AG95" s="27"/>
      <c r="AH95" s="27"/>
      <c r="AI95" s="27"/>
      <c r="AJ95" s="27"/>
      <c r="CL95" s="27"/>
    </row>
    <row r="96" spans="2:90" s="18" customFormat="1" ht="14.1" customHeight="1" x14ac:dyDescent="0.2">
      <c r="B96" s="54"/>
      <c r="C96" s="54"/>
      <c r="D96" s="54"/>
      <c r="E96" s="50"/>
      <c r="F96" s="50"/>
      <c r="G96" s="50"/>
      <c r="H96" s="50"/>
      <c r="I96" s="50"/>
      <c r="J96" s="50"/>
      <c r="K96" s="50"/>
      <c r="L96" s="50"/>
      <c r="M96" s="50"/>
      <c r="N96" s="51"/>
      <c r="O96" s="51"/>
      <c r="P96" s="52"/>
      <c r="Q96" s="55"/>
      <c r="R96" s="55"/>
      <c r="S96" s="55"/>
      <c r="T96" s="55"/>
      <c r="U96" s="55"/>
      <c r="W96" s="27"/>
      <c r="Z96" s="27"/>
      <c r="AA96" s="27"/>
      <c r="AB96" s="27"/>
      <c r="AC96" s="27"/>
      <c r="AD96" s="13"/>
      <c r="AE96" s="13"/>
      <c r="AF96" s="13"/>
      <c r="AG96" s="27"/>
      <c r="AH96" s="27"/>
      <c r="AI96" s="27"/>
      <c r="AJ96" s="27"/>
      <c r="CL96" s="27"/>
    </row>
    <row r="97" spans="2:90" s="18" customFormat="1" ht="14.1" customHeight="1" x14ac:dyDescent="0.2">
      <c r="B97" s="54"/>
      <c r="C97" s="54"/>
      <c r="D97" s="54"/>
      <c r="E97" s="50"/>
      <c r="F97" s="50"/>
      <c r="G97" s="50"/>
      <c r="H97" s="50"/>
      <c r="I97" s="50"/>
      <c r="J97" s="50"/>
      <c r="K97" s="50"/>
      <c r="L97" s="50"/>
      <c r="M97" s="50"/>
      <c r="N97" s="51"/>
      <c r="O97" s="51"/>
      <c r="P97" s="52"/>
      <c r="Q97" s="55"/>
      <c r="R97" s="55"/>
      <c r="S97" s="55"/>
      <c r="T97" s="55"/>
      <c r="U97" s="55"/>
      <c r="W97" s="27"/>
      <c r="Z97" s="27"/>
      <c r="AA97" s="27"/>
      <c r="AB97" s="27"/>
      <c r="AC97" s="27"/>
      <c r="AD97" s="13"/>
      <c r="AE97" s="13"/>
      <c r="AF97" s="13"/>
      <c r="AG97" s="27"/>
      <c r="AH97" s="27"/>
      <c r="AI97" s="27"/>
      <c r="AJ97" s="27"/>
      <c r="CL97" s="27"/>
    </row>
    <row r="98" spans="2:90" s="18" customFormat="1" ht="14.1" customHeight="1" x14ac:dyDescent="0.2">
      <c r="B98" s="54"/>
      <c r="C98" s="54"/>
      <c r="D98" s="54"/>
      <c r="E98" s="50"/>
      <c r="F98" s="50"/>
      <c r="G98" s="50"/>
      <c r="H98" s="50"/>
      <c r="I98" s="50"/>
      <c r="J98" s="50"/>
      <c r="K98" s="50"/>
      <c r="L98" s="50"/>
      <c r="M98" s="50"/>
      <c r="N98" s="51"/>
      <c r="O98" s="51"/>
      <c r="P98" s="52"/>
      <c r="Q98" s="55"/>
      <c r="R98" s="55"/>
      <c r="S98" s="55"/>
      <c r="T98" s="55"/>
      <c r="U98" s="55"/>
      <c r="W98" s="27"/>
      <c r="Z98" s="27"/>
      <c r="AA98" s="27"/>
      <c r="AB98" s="27"/>
      <c r="AC98" s="27"/>
      <c r="AD98" s="13"/>
      <c r="AE98" s="13"/>
      <c r="AF98" s="13"/>
      <c r="AG98" s="27"/>
      <c r="AH98" s="27"/>
      <c r="AI98" s="27"/>
      <c r="AJ98" s="27"/>
      <c r="CL98" s="27"/>
    </row>
    <row r="99" spans="2:90" s="18" customFormat="1" ht="14.1" customHeight="1" x14ac:dyDescent="0.2">
      <c r="B99" s="54"/>
      <c r="C99" s="54"/>
      <c r="D99" s="54"/>
      <c r="E99" s="50"/>
      <c r="F99" s="50"/>
      <c r="G99" s="50"/>
      <c r="H99" s="50"/>
      <c r="I99" s="50"/>
      <c r="J99" s="50"/>
      <c r="K99" s="50"/>
      <c r="L99" s="50"/>
      <c r="M99" s="50"/>
      <c r="N99" s="51"/>
      <c r="O99" s="51"/>
      <c r="P99" s="52"/>
      <c r="Q99" s="55"/>
      <c r="R99" s="55"/>
      <c r="S99" s="55"/>
      <c r="T99" s="55"/>
      <c r="U99" s="55"/>
      <c r="W99" s="27"/>
      <c r="Z99" s="27"/>
      <c r="AA99" s="27"/>
      <c r="AB99" s="27"/>
      <c r="AC99" s="27"/>
      <c r="AD99" s="13"/>
      <c r="AE99" s="13"/>
      <c r="AF99" s="13"/>
      <c r="AG99" s="27"/>
      <c r="AH99" s="27"/>
      <c r="AI99" s="27"/>
      <c r="AJ99" s="27"/>
      <c r="CL99" s="27"/>
    </row>
    <row r="100" spans="2:90" s="18" customFormat="1" ht="14.1" customHeight="1" x14ac:dyDescent="0.2">
      <c r="B100" s="54"/>
      <c r="C100" s="54"/>
      <c r="D100" s="54"/>
      <c r="E100" s="50"/>
      <c r="F100" s="50"/>
      <c r="G100" s="50"/>
      <c r="H100" s="50"/>
      <c r="I100" s="50"/>
      <c r="J100" s="50"/>
      <c r="K100" s="50"/>
      <c r="L100" s="50"/>
      <c r="M100" s="50"/>
      <c r="N100" s="51"/>
      <c r="O100" s="51"/>
      <c r="P100" s="52"/>
      <c r="Q100" s="55"/>
      <c r="R100" s="55"/>
      <c r="S100" s="55"/>
      <c r="T100" s="55"/>
      <c r="U100" s="55"/>
      <c r="W100" s="27"/>
      <c r="Z100" s="27"/>
      <c r="AA100" s="27"/>
      <c r="AB100" s="27"/>
      <c r="AC100" s="27"/>
      <c r="AD100" s="13"/>
      <c r="AE100" s="13"/>
      <c r="AF100" s="13"/>
      <c r="AG100" s="27"/>
      <c r="AH100" s="27"/>
      <c r="AI100" s="27"/>
      <c r="AJ100" s="27"/>
      <c r="CL100" s="27"/>
    </row>
    <row r="101" spans="2:90" s="18" customFormat="1" ht="14.1" customHeight="1" x14ac:dyDescent="0.2">
      <c r="B101" s="54"/>
      <c r="C101" s="54"/>
      <c r="D101" s="54"/>
      <c r="E101" s="50"/>
      <c r="F101" s="50"/>
      <c r="G101" s="50"/>
      <c r="H101" s="50"/>
      <c r="I101" s="50"/>
      <c r="J101" s="50"/>
      <c r="K101" s="50"/>
      <c r="L101" s="50"/>
      <c r="M101" s="50"/>
      <c r="N101" s="51"/>
      <c r="O101" s="51"/>
      <c r="P101" s="52"/>
      <c r="Q101" s="55"/>
      <c r="R101" s="55"/>
      <c r="S101" s="55"/>
      <c r="T101" s="55"/>
      <c r="U101" s="55"/>
      <c r="W101" s="27"/>
      <c r="Z101" s="27"/>
      <c r="AA101" s="27"/>
      <c r="AB101" s="27"/>
      <c r="AC101" s="27"/>
      <c r="AD101" s="13"/>
      <c r="AE101" s="13"/>
      <c r="AF101" s="13"/>
      <c r="AG101" s="27"/>
      <c r="AH101" s="27"/>
      <c r="AI101" s="27"/>
      <c r="AJ101" s="27"/>
      <c r="CL101" s="27"/>
    </row>
    <row r="102" spans="2:90" s="18" customFormat="1" ht="14.1" customHeight="1" x14ac:dyDescent="0.2">
      <c r="B102" s="54"/>
      <c r="C102" s="54"/>
      <c r="D102" s="54"/>
      <c r="E102" s="50"/>
      <c r="F102" s="50"/>
      <c r="G102" s="50"/>
      <c r="H102" s="50"/>
      <c r="I102" s="50"/>
      <c r="J102" s="50"/>
      <c r="K102" s="50"/>
      <c r="L102" s="50"/>
      <c r="M102" s="50"/>
      <c r="N102" s="51"/>
      <c r="O102" s="51"/>
      <c r="P102" s="52"/>
      <c r="Q102" s="55"/>
      <c r="R102" s="55"/>
      <c r="S102" s="55"/>
      <c r="T102" s="55"/>
      <c r="U102" s="55"/>
      <c r="W102" s="27"/>
      <c r="Z102" s="27"/>
      <c r="AA102" s="27"/>
      <c r="AB102" s="27"/>
      <c r="AC102" s="27"/>
      <c r="AD102" s="13"/>
      <c r="AE102" s="13"/>
      <c r="AF102" s="13"/>
      <c r="AG102" s="27"/>
      <c r="AH102" s="27"/>
      <c r="AI102" s="27"/>
      <c r="AJ102" s="27"/>
      <c r="CL102" s="27"/>
    </row>
    <row r="103" spans="2:90" s="18" customFormat="1" ht="14.1" customHeight="1" x14ac:dyDescent="0.2">
      <c r="B103" s="54"/>
      <c r="C103" s="54"/>
      <c r="D103" s="54"/>
      <c r="E103" s="50"/>
      <c r="F103" s="50"/>
      <c r="G103" s="50"/>
      <c r="H103" s="50"/>
      <c r="I103" s="50"/>
      <c r="J103" s="50"/>
      <c r="K103" s="50"/>
      <c r="L103" s="50"/>
      <c r="M103" s="50"/>
      <c r="N103" s="51"/>
      <c r="O103" s="51"/>
      <c r="P103" s="52"/>
      <c r="Q103" s="55"/>
      <c r="R103" s="55"/>
      <c r="S103" s="55"/>
      <c r="T103" s="55"/>
      <c r="U103" s="55"/>
      <c r="W103" s="27"/>
      <c r="Z103" s="27"/>
      <c r="AA103" s="27"/>
      <c r="AB103" s="27"/>
      <c r="AC103" s="27"/>
      <c r="AD103" s="13"/>
      <c r="AE103" s="13"/>
      <c r="AF103" s="13"/>
      <c r="AG103" s="27"/>
      <c r="AH103" s="27"/>
      <c r="AI103" s="27"/>
      <c r="AJ103" s="27"/>
      <c r="CL103" s="27"/>
    </row>
    <row r="104" spans="2:90" s="18" customFormat="1" ht="14.1" customHeight="1" x14ac:dyDescent="0.2">
      <c r="B104" s="54"/>
      <c r="C104" s="54"/>
      <c r="D104" s="54"/>
      <c r="E104" s="50"/>
      <c r="F104" s="50"/>
      <c r="G104" s="50"/>
      <c r="H104" s="50"/>
      <c r="I104" s="50"/>
      <c r="J104" s="50"/>
      <c r="K104" s="50"/>
      <c r="L104" s="50"/>
      <c r="M104" s="50"/>
      <c r="N104" s="51"/>
      <c r="O104" s="51"/>
      <c r="P104" s="52"/>
      <c r="Q104" s="55"/>
      <c r="R104" s="55"/>
      <c r="S104" s="55"/>
      <c r="T104" s="55"/>
      <c r="U104" s="55"/>
      <c r="W104" s="27"/>
      <c r="Z104" s="27"/>
      <c r="AA104" s="27"/>
      <c r="AB104" s="27"/>
      <c r="AC104" s="27"/>
      <c r="AD104" s="13"/>
      <c r="AE104" s="13"/>
      <c r="AF104" s="13"/>
      <c r="AG104" s="27"/>
      <c r="AH104" s="27"/>
      <c r="AI104" s="27"/>
      <c r="AJ104" s="27"/>
      <c r="CL104" s="27"/>
    </row>
    <row r="105" spans="2:90" s="18" customFormat="1" ht="14.1" customHeight="1" x14ac:dyDescent="0.2">
      <c r="B105" s="54"/>
      <c r="C105" s="54"/>
      <c r="D105" s="54"/>
      <c r="E105" s="50"/>
      <c r="F105" s="50"/>
      <c r="G105" s="50"/>
      <c r="H105" s="50"/>
      <c r="I105" s="50"/>
      <c r="J105" s="50"/>
      <c r="K105" s="50"/>
      <c r="L105" s="50"/>
      <c r="M105" s="50"/>
      <c r="N105" s="51"/>
      <c r="O105" s="51"/>
      <c r="P105" s="52"/>
      <c r="Q105" s="55"/>
      <c r="R105" s="55"/>
      <c r="S105" s="55"/>
      <c r="T105" s="55"/>
      <c r="U105" s="55"/>
      <c r="W105" s="27"/>
      <c r="Z105" s="27"/>
      <c r="AA105" s="27"/>
      <c r="AB105" s="27"/>
      <c r="AC105" s="27"/>
      <c r="AD105" s="13"/>
      <c r="AE105" s="13"/>
      <c r="AF105" s="13"/>
      <c r="AG105" s="27"/>
      <c r="AH105" s="27"/>
      <c r="AI105" s="27"/>
      <c r="AJ105" s="27"/>
      <c r="CL105" s="27"/>
    </row>
    <row r="106" spans="2:90" s="18" customFormat="1" ht="14.1" customHeight="1" x14ac:dyDescent="0.2">
      <c r="B106" s="54"/>
      <c r="C106" s="54"/>
      <c r="D106" s="54"/>
      <c r="E106" s="50"/>
      <c r="F106" s="50"/>
      <c r="G106" s="50"/>
      <c r="H106" s="50"/>
      <c r="I106" s="50"/>
      <c r="J106" s="50"/>
      <c r="K106" s="50"/>
      <c r="L106" s="50"/>
      <c r="M106" s="50"/>
      <c r="N106" s="51"/>
      <c r="O106" s="51"/>
      <c r="P106" s="52"/>
      <c r="Q106" s="55"/>
      <c r="R106" s="55"/>
      <c r="S106" s="55"/>
      <c r="T106" s="55"/>
      <c r="U106" s="55"/>
      <c r="W106" s="27"/>
      <c r="Z106" s="27"/>
      <c r="AA106" s="27"/>
      <c r="AB106" s="27"/>
      <c r="AC106" s="27"/>
      <c r="AD106" s="13"/>
      <c r="AE106" s="13"/>
      <c r="AF106" s="13"/>
      <c r="AG106" s="27"/>
      <c r="AH106" s="27"/>
      <c r="AI106" s="27"/>
      <c r="AJ106" s="27"/>
      <c r="CL106" s="27"/>
    </row>
    <row r="107" spans="2:90" s="18" customFormat="1" ht="14.1" customHeight="1" x14ac:dyDescent="0.2">
      <c r="B107" s="54"/>
      <c r="C107" s="54"/>
      <c r="D107" s="54"/>
      <c r="E107" s="50"/>
      <c r="F107" s="50"/>
      <c r="G107" s="50"/>
      <c r="H107" s="50"/>
      <c r="I107" s="50"/>
      <c r="J107" s="50"/>
      <c r="K107" s="50"/>
      <c r="L107" s="50"/>
      <c r="M107" s="50"/>
      <c r="N107" s="51"/>
      <c r="O107" s="51"/>
      <c r="P107" s="52"/>
      <c r="Q107" s="55"/>
      <c r="R107" s="55"/>
      <c r="S107" s="55"/>
      <c r="T107" s="55"/>
      <c r="U107" s="55"/>
      <c r="W107" s="27"/>
      <c r="Z107" s="27"/>
      <c r="AA107" s="27"/>
      <c r="AB107" s="27"/>
      <c r="AC107" s="27"/>
      <c r="AD107" s="13"/>
      <c r="AE107" s="13"/>
      <c r="AF107" s="13"/>
      <c r="AG107" s="27"/>
      <c r="AH107" s="27"/>
      <c r="AI107" s="27"/>
      <c r="AJ107" s="27"/>
      <c r="CL107" s="27"/>
    </row>
    <row r="108" spans="2:90" s="18" customFormat="1" ht="14.1" customHeight="1" x14ac:dyDescent="0.2">
      <c r="B108" s="54"/>
      <c r="C108" s="54"/>
      <c r="D108" s="54"/>
      <c r="E108" s="50"/>
      <c r="F108" s="50"/>
      <c r="G108" s="50"/>
      <c r="H108" s="50"/>
      <c r="I108" s="50"/>
      <c r="J108" s="50"/>
      <c r="K108" s="50"/>
      <c r="L108" s="50"/>
      <c r="M108" s="50"/>
      <c r="N108" s="51"/>
      <c r="O108" s="51"/>
      <c r="P108" s="52"/>
      <c r="Q108" s="55"/>
      <c r="R108" s="55"/>
      <c r="S108" s="55"/>
      <c r="T108" s="55"/>
      <c r="U108" s="55"/>
      <c r="W108" s="27"/>
      <c r="Z108" s="27"/>
      <c r="AA108" s="27"/>
      <c r="AB108" s="27"/>
      <c r="AC108" s="27"/>
      <c r="AD108" s="13"/>
      <c r="AE108" s="13"/>
      <c r="AF108" s="13"/>
      <c r="AG108" s="27"/>
      <c r="AH108" s="27"/>
      <c r="AI108" s="27"/>
      <c r="AJ108" s="27"/>
      <c r="CL108" s="27"/>
    </row>
    <row r="109" spans="2:90" s="18" customFormat="1" ht="14.1" customHeight="1" x14ac:dyDescent="0.2">
      <c r="B109" s="54"/>
      <c r="C109" s="54"/>
      <c r="D109" s="54"/>
      <c r="E109" s="50"/>
      <c r="F109" s="50"/>
      <c r="G109" s="50"/>
      <c r="H109" s="50"/>
      <c r="I109" s="50"/>
      <c r="J109" s="50"/>
      <c r="K109" s="50"/>
      <c r="L109" s="50"/>
      <c r="M109" s="50"/>
      <c r="N109" s="51"/>
      <c r="O109" s="51"/>
      <c r="P109" s="52"/>
      <c r="Q109" s="55"/>
      <c r="R109" s="55"/>
      <c r="S109" s="55"/>
      <c r="T109" s="55"/>
      <c r="U109" s="55"/>
      <c r="W109" s="27"/>
      <c r="Z109" s="27"/>
      <c r="AA109" s="27"/>
      <c r="AB109" s="27"/>
      <c r="AC109" s="27"/>
      <c r="AD109" s="13"/>
      <c r="AE109" s="13"/>
      <c r="AF109" s="13"/>
      <c r="AG109" s="27"/>
      <c r="AH109" s="27"/>
      <c r="AI109" s="27"/>
      <c r="AJ109" s="27"/>
      <c r="CL109" s="27"/>
    </row>
    <row r="110" spans="2:90" s="18" customFormat="1" ht="14.1" customHeight="1" x14ac:dyDescent="0.2">
      <c r="B110" s="54"/>
      <c r="C110" s="54"/>
      <c r="D110" s="54"/>
      <c r="E110" s="50"/>
      <c r="F110" s="50"/>
      <c r="G110" s="50"/>
      <c r="H110" s="50"/>
      <c r="I110" s="50"/>
      <c r="J110" s="50"/>
      <c r="K110" s="50"/>
      <c r="L110" s="50"/>
      <c r="M110" s="50"/>
      <c r="N110" s="51"/>
      <c r="O110" s="51"/>
      <c r="P110" s="52"/>
      <c r="Q110" s="55"/>
      <c r="R110" s="55"/>
      <c r="S110" s="55"/>
      <c r="T110" s="55"/>
      <c r="U110" s="55"/>
      <c r="W110" s="27"/>
      <c r="Z110" s="27"/>
      <c r="AA110" s="27"/>
      <c r="AB110" s="27"/>
      <c r="AC110" s="27"/>
      <c r="AD110" s="13"/>
      <c r="AE110" s="13"/>
      <c r="AF110" s="13"/>
      <c r="AG110" s="27"/>
      <c r="AH110" s="27"/>
      <c r="AI110" s="27"/>
      <c r="AJ110" s="27"/>
      <c r="CL110" s="27"/>
    </row>
    <row r="111" spans="2:90" s="18" customFormat="1" ht="14.1" customHeight="1" x14ac:dyDescent="0.2">
      <c r="B111" s="54"/>
      <c r="C111" s="54"/>
      <c r="D111" s="54"/>
      <c r="E111" s="50"/>
      <c r="F111" s="50"/>
      <c r="G111" s="50"/>
      <c r="H111" s="50"/>
      <c r="I111" s="50"/>
      <c r="J111" s="50"/>
      <c r="K111" s="50"/>
      <c r="L111" s="50"/>
      <c r="M111" s="50"/>
      <c r="N111" s="51"/>
      <c r="O111" s="51"/>
      <c r="P111" s="52"/>
      <c r="Q111" s="55"/>
      <c r="R111" s="55"/>
      <c r="S111" s="55"/>
      <c r="T111" s="55"/>
      <c r="U111" s="55"/>
      <c r="W111" s="27"/>
      <c r="Z111" s="27"/>
      <c r="AA111" s="27"/>
      <c r="AB111" s="27"/>
      <c r="AC111" s="27"/>
      <c r="AD111" s="13"/>
      <c r="AE111" s="13"/>
      <c r="AF111" s="13"/>
      <c r="AG111" s="27"/>
      <c r="AH111" s="27"/>
      <c r="AI111" s="27"/>
      <c r="AJ111" s="27"/>
      <c r="CL111" s="27"/>
    </row>
    <row r="112" spans="2:90" s="18" customFormat="1" ht="14.1" customHeight="1" x14ac:dyDescent="0.2">
      <c r="B112" s="54"/>
      <c r="C112" s="54"/>
      <c r="D112" s="54"/>
      <c r="E112" s="50"/>
      <c r="F112" s="50"/>
      <c r="G112" s="50"/>
      <c r="H112" s="50"/>
      <c r="I112" s="50"/>
      <c r="J112" s="50"/>
      <c r="K112" s="50"/>
      <c r="L112" s="50"/>
      <c r="M112" s="50"/>
      <c r="N112" s="51"/>
      <c r="O112" s="51"/>
      <c r="P112" s="52"/>
      <c r="Q112" s="55"/>
      <c r="R112" s="55"/>
      <c r="S112" s="55"/>
      <c r="T112" s="55"/>
      <c r="U112" s="55"/>
      <c r="W112" s="27"/>
      <c r="Z112" s="27"/>
      <c r="AA112" s="27"/>
      <c r="AB112" s="27"/>
      <c r="AC112" s="27"/>
      <c r="AD112" s="13"/>
      <c r="AE112" s="13"/>
      <c r="AF112" s="13"/>
      <c r="AG112" s="27"/>
      <c r="AH112" s="27"/>
      <c r="AI112" s="27"/>
      <c r="AJ112" s="27"/>
      <c r="CL112" s="27"/>
    </row>
    <row r="113" spans="2:90" s="18" customFormat="1" ht="14.1" customHeight="1" x14ac:dyDescent="0.2">
      <c r="B113" s="54"/>
      <c r="C113" s="54"/>
      <c r="D113" s="54"/>
      <c r="E113" s="50"/>
      <c r="F113" s="50"/>
      <c r="G113" s="50"/>
      <c r="H113" s="50"/>
      <c r="I113" s="50"/>
      <c r="J113" s="50"/>
      <c r="K113" s="50"/>
      <c r="L113" s="50"/>
      <c r="M113" s="50"/>
      <c r="N113" s="51"/>
      <c r="O113" s="51"/>
      <c r="P113" s="52"/>
      <c r="Q113" s="55"/>
      <c r="R113" s="55"/>
      <c r="S113" s="55"/>
      <c r="T113" s="55"/>
      <c r="U113" s="55"/>
      <c r="W113" s="27"/>
      <c r="Z113" s="27"/>
      <c r="AA113" s="27"/>
      <c r="AB113" s="27"/>
      <c r="AC113" s="27"/>
      <c r="AD113" s="13"/>
      <c r="AE113" s="13"/>
      <c r="AF113" s="13"/>
      <c r="AG113" s="27"/>
      <c r="AH113" s="27"/>
      <c r="AI113" s="27"/>
      <c r="AJ113" s="27"/>
      <c r="CL113" s="27"/>
    </row>
    <row r="114" spans="2:90" s="18" customFormat="1" ht="14.1" customHeight="1" x14ac:dyDescent="0.2">
      <c r="B114" s="54"/>
      <c r="C114" s="54"/>
      <c r="D114" s="54"/>
      <c r="E114" s="50"/>
      <c r="F114" s="50"/>
      <c r="G114" s="50"/>
      <c r="H114" s="50"/>
      <c r="I114" s="50"/>
      <c r="J114" s="50"/>
      <c r="K114" s="50"/>
      <c r="L114" s="50"/>
      <c r="M114" s="50"/>
      <c r="N114" s="51"/>
      <c r="O114" s="51"/>
      <c r="P114" s="52"/>
      <c r="Q114" s="55"/>
      <c r="R114" s="55"/>
      <c r="S114" s="55"/>
      <c r="T114" s="55"/>
      <c r="U114" s="55"/>
      <c r="W114" s="27"/>
      <c r="Z114" s="27"/>
      <c r="AA114" s="27"/>
      <c r="AB114" s="27"/>
      <c r="AC114" s="27"/>
      <c r="AD114" s="13"/>
      <c r="AE114" s="13"/>
      <c r="AF114" s="13"/>
      <c r="AG114" s="27"/>
      <c r="AH114" s="27"/>
      <c r="AI114" s="27"/>
      <c r="AJ114" s="27"/>
      <c r="CL114" s="27"/>
    </row>
    <row r="115" spans="2:90" s="18" customFormat="1" ht="14.1" customHeight="1" x14ac:dyDescent="0.2">
      <c r="B115" s="54"/>
      <c r="C115" s="54"/>
      <c r="D115" s="54"/>
      <c r="E115" s="50"/>
      <c r="F115" s="50"/>
      <c r="G115" s="50"/>
      <c r="H115" s="50"/>
      <c r="I115" s="50"/>
      <c r="J115" s="50"/>
      <c r="K115" s="50"/>
      <c r="L115" s="50"/>
      <c r="M115" s="50"/>
      <c r="N115" s="51"/>
      <c r="O115" s="51"/>
      <c r="P115" s="52"/>
      <c r="Q115" s="55"/>
      <c r="R115" s="55"/>
      <c r="S115" s="55"/>
      <c r="T115" s="55"/>
      <c r="U115" s="55"/>
      <c r="W115" s="27"/>
      <c r="Z115" s="27"/>
      <c r="AA115" s="27"/>
      <c r="AB115" s="27"/>
      <c r="AC115" s="27"/>
      <c r="AD115" s="13"/>
      <c r="AE115" s="13"/>
      <c r="AF115" s="13"/>
      <c r="AG115" s="27"/>
      <c r="AH115" s="27"/>
      <c r="AI115" s="27"/>
      <c r="AJ115" s="27"/>
      <c r="CL115" s="27"/>
    </row>
    <row r="116" spans="2:90" s="18" customFormat="1" ht="14.1" customHeight="1" x14ac:dyDescent="0.2">
      <c r="B116" s="54"/>
      <c r="C116" s="54"/>
      <c r="D116" s="54"/>
      <c r="E116" s="50"/>
      <c r="F116" s="50"/>
      <c r="G116" s="50"/>
      <c r="H116" s="50"/>
      <c r="I116" s="50"/>
      <c r="J116" s="50"/>
      <c r="K116" s="50"/>
      <c r="L116" s="50"/>
      <c r="M116" s="50"/>
      <c r="N116" s="51"/>
      <c r="O116" s="51"/>
      <c r="P116" s="52"/>
      <c r="Q116" s="55"/>
      <c r="R116" s="55"/>
      <c r="S116" s="55"/>
      <c r="T116" s="55"/>
      <c r="U116" s="55"/>
      <c r="W116" s="27"/>
      <c r="Z116" s="27"/>
      <c r="AA116" s="27"/>
      <c r="AB116" s="27"/>
      <c r="AC116" s="27"/>
      <c r="AD116" s="13"/>
      <c r="AE116" s="13"/>
      <c r="AF116" s="13"/>
      <c r="AG116" s="27"/>
      <c r="AH116" s="27"/>
      <c r="AI116" s="27"/>
      <c r="AJ116" s="27"/>
      <c r="CL116" s="27"/>
    </row>
    <row r="117" spans="2:90" s="18" customFormat="1" ht="14.1" customHeight="1" x14ac:dyDescent="0.2">
      <c r="B117" s="54"/>
      <c r="C117" s="54"/>
      <c r="D117" s="54"/>
      <c r="E117" s="50"/>
      <c r="F117" s="50"/>
      <c r="G117" s="50"/>
      <c r="H117" s="50"/>
      <c r="I117" s="50"/>
      <c r="J117" s="50"/>
      <c r="K117" s="50"/>
      <c r="L117" s="50"/>
      <c r="M117" s="50"/>
      <c r="N117" s="51"/>
      <c r="O117" s="51"/>
      <c r="P117" s="52"/>
      <c r="Q117" s="55"/>
      <c r="R117" s="55"/>
      <c r="S117" s="55"/>
      <c r="T117" s="55"/>
      <c r="U117" s="55"/>
      <c r="W117" s="27"/>
      <c r="Z117" s="27"/>
      <c r="AA117" s="27"/>
      <c r="AB117" s="27"/>
      <c r="AC117" s="27"/>
      <c r="AD117" s="13"/>
      <c r="AE117" s="13"/>
      <c r="AF117" s="13"/>
      <c r="AG117" s="27"/>
      <c r="AH117" s="27"/>
      <c r="AI117" s="27"/>
      <c r="AJ117" s="27"/>
      <c r="CL117" s="27"/>
    </row>
    <row r="118" spans="2:90" s="18" customFormat="1" ht="14.1" customHeight="1" x14ac:dyDescent="0.2">
      <c r="B118" s="54"/>
      <c r="C118" s="54"/>
      <c r="D118" s="54"/>
      <c r="E118" s="50"/>
      <c r="F118" s="50"/>
      <c r="G118" s="50"/>
      <c r="H118" s="50"/>
      <c r="I118" s="50"/>
      <c r="J118" s="50"/>
      <c r="K118" s="50"/>
      <c r="L118" s="50"/>
      <c r="M118" s="50"/>
      <c r="N118" s="51"/>
      <c r="O118" s="51"/>
      <c r="P118" s="52"/>
      <c r="Q118" s="55"/>
      <c r="R118" s="55"/>
      <c r="S118" s="55"/>
      <c r="T118" s="55"/>
      <c r="U118" s="55"/>
      <c r="W118" s="27"/>
      <c r="Z118" s="27"/>
      <c r="AA118" s="27"/>
      <c r="AB118" s="27"/>
      <c r="AC118" s="27"/>
      <c r="AD118" s="13"/>
      <c r="AE118" s="13"/>
      <c r="AF118" s="13"/>
      <c r="AG118" s="27"/>
      <c r="AH118" s="27"/>
      <c r="AI118" s="27"/>
      <c r="AJ118" s="27"/>
      <c r="CL118" s="27"/>
    </row>
    <row r="119" spans="2:90" s="18" customFormat="1" ht="14.1" customHeight="1" x14ac:dyDescent="0.2">
      <c r="B119" s="54"/>
      <c r="C119" s="54"/>
      <c r="D119" s="54"/>
      <c r="E119" s="50"/>
      <c r="F119" s="50"/>
      <c r="G119" s="50"/>
      <c r="H119" s="50"/>
      <c r="I119" s="50"/>
      <c r="J119" s="50"/>
      <c r="K119" s="50"/>
      <c r="L119" s="50"/>
      <c r="M119" s="50"/>
      <c r="N119" s="51"/>
      <c r="O119" s="51"/>
      <c r="P119" s="52"/>
      <c r="Q119" s="55"/>
      <c r="R119" s="55"/>
      <c r="S119" s="55"/>
      <c r="T119" s="55"/>
      <c r="U119" s="55"/>
      <c r="W119" s="27"/>
      <c r="Z119" s="27"/>
      <c r="AA119" s="27"/>
      <c r="AB119" s="27"/>
      <c r="AC119" s="27"/>
      <c r="AD119" s="13"/>
      <c r="AE119" s="13"/>
      <c r="AF119" s="13"/>
      <c r="AG119" s="27"/>
      <c r="AH119" s="27"/>
      <c r="AI119" s="27"/>
      <c r="AJ119" s="27"/>
      <c r="CL119" s="27"/>
    </row>
    <row r="120" spans="2:90" s="18" customFormat="1" ht="14.1" customHeight="1" x14ac:dyDescent="0.2">
      <c r="B120" s="54"/>
      <c r="C120" s="54"/>
      <c r="D120" s="54"/>
      <c r="E120" s="50"/>
      <c r="F120" s="50"/>
      <c r="G120" s="50"/>
      <c r="H120" s="50"/>
      <c r="I120" s="50"/>
      <c r="J120" s="50"/>
      <c r="K120" s="50"/>
      <c r="L120" s="50"/>
      <c r="M120" s="50"/>
      <c r="N120" s="51"/>
      <c r="O120" s="51"/>
      <c r="P120" s="52"/>
      <c r="Q120" s="55"/>
      <c r="R120" s="55"/>
      <c r="S120" s="55"/>
      <c r="T120" s="55"/>
      <c r="U120" s="55"/>
      <c r="W120" s="27"/>
      <c r="Z120" s="27"/>
      <c r="AA120" s="27"/>
      <c r="AB120" s="27"/>
      <c r="AC120" s="27"/>
      <c r="AD120" s="13"/>
      <c r="AE120" s="13"/>
      <c r="AF120" s="13"/>
      <c r="AG120" s="27"/>
      <c r="AH120" s="27"/>
      <c r="AI120" s="27"/>
      <c r="AJ120" s="27"/>
      <c r="CL120" s="27"/>
    </row>
    <row r="121" spans="2:90" s="18" customFormat="1" ht="14.1" customHeight="1" x14ac:dyDescent="0.2">
      <c r="B121" s="54"/>
      <c r="C121" s="54"/>
      <c r="D121" s="54"/>
      <c r="E121" s="50"/>
      <c r="F121" s="50"/>
      <c r="G121" s="50"/>
      <c r="H121" s="50"/>
      <c r="I121" s="50"/>
      <c r="J121" s="50"/>
      <c r="K121" s="50"/>
      <c r="L121" s="50"/>
      <c r="M121" s="50"/>
      <c r="N121" s="51"/>
      <c r="O121" s="51"/>
      <c r="P121" s="52"/>
      <c r="Q121" s="55"/>
      <c r="R121" s="55"/>
      <c r="S121" s="55"/>
      <c r="T121" s="55"/>
      <c r="U121" s="55"/>
      <c r="W121" s="27"/>
      <c r="Z121" s="27"/>
      <c r="AA121" s="27"/>
      <c r="AB121" s="27"/>
      <c r="AC121" s="27"/>
      <c r="AD121" s="13"/>
      <c r="AE121" s="13"/>
      <c r="AF121" s="13"/>
      <c r="AG121" s="27"/>
      <c r="AH121" s="27"/>
      <c r="AI121" s="27"/>
      <c r="AJ121" s="27"/>
      <c r="CL121" s="27"/>
    </row>
    <row r="122" spans="2:90" s="18" customFormat="1" ht="14.1" customHeight="1" x14ac:dyDescent="0.2">
      <c r="B122" s="54"/>
      <c r="C122" s="54"/>
      <c r="D122" s="54"/>
      <c r="E122" s="50"/>
      <c r="F122" s="50"/>
      <c r="G122" s="50"/>
      <c r="H122" s="50"/>
      <c r="I122" s="50"/>
      <c r="J122" s="50"/>
      <c r="K122" s="50"/>
      <c r="L122" s="50"/>
      <c r="M122" s="50"/>
      <c r="N122" s="51"/>
      <c r="O122" s="51"/>
      <c r="P122" s="52"/>
      <c r="Q122" s="55"/>
      <c r="R122" s="55"/>
      <c r="S122" s="55"/>
      <c r="T122" s="55"/>
      <c r="U122" s="55"/>
      <c r="W122" s="27"/>
      <c r="Z122" s="27"/>
      <c r="AA122" s="27"/>
      <c r="AB122" s="27"/>
      <c r="AC122" s="27"/>
      <c r="AD122" s="13"/>
      <c r="AE122" s="13"/>
      <c r="AF122" s="13"/>
      <c r="AG122" s="27"/>
      <c r="AH122" s="27"/>
      <c r="AI122" s="27"/>
      <c r="AJ122" s="27"/>
      <c r="CL122" s="27"/>
    </row>
    <row r="123" spans="2:90" s="18" customFormat="1" ht="14.1" customHeight="1" x14ac:dyDescent="0.2">
      <c r="B123" s="54"/>
      <c r="C123" s="54"/>
      <c r="D123" s="54"/>
      <c r="E123" s="50"/>
      <c r="F123" s="50"/>
      <c r="G123" s="50"/>
      <c r="H123" s="50"/>
      <c r="I123" s="50"/>
      <c r="J123" s="50"/>
      <c r="K123" s="50"/>
      <c r="L123" s="50"/>
      <c r="M123" s="50"/>
      <c r="N123" s="51"/>
      <c r="O123" s="51"/>
      <c r="P123" s="52"/>
      <c r="Q123" s="55"/>
      <c r="R123" s="55"/>
      <c r="S123" s="55"/>
      <c r="T123" s="55"/>
      <c r="U123" s="55"/>
      <c r="W123" s="27"/>
      <c r="Z123" s="27"/>
      <c r="AA123" s="27"/>
      <c r="AB123" s="27"/>
      <c r="AC123" s="27"/>
      <c r="AD123" s="13"/>
      <c r="AE123" s="13"/>
      <c r="AF123" s="13"/>
      <c r="AG123" s="27"/>
      <c r="AH123" s="27"/>
      <c r="AI123" s="27"/>
      <c r="AJ123" s="27"/>
      <c r="CL123" s="27"/>
    </row>
    <row r="124" spans="2:90" s="18" customFormat="1" ht="14.1" customHeight="1" x14ac:dyDescent="0.2">
      <c r="B124" s="54"/>
      <c r="C124" s="54"/>
      <c r="D124" s="54"/>
      <c r="E124" s="50"/>
      <c r="F124" s="50"/>
      <c r="G124" s="50"/>
      <c r="H124" s="50"/>
      <c r="I124" s="50"/>
      <c r="J124" s="50"/>
      <c r="K124" s="50"/>
      <c r="L124" s="50"/>
      <c r="M124" s="50"/>
      <c r="N124" s="51"/>
      <c r="O124" s="51"/>
      <c r="P124" s="52"/>
      <c r="Q124" s="55"/>
      <c r="R124" s="55"/>
      <c r="S124" s="55"/>
      <c r="T124" s="55"/>
      <c r="U124" s="55"/>
      <c r="W124" s="27"/>
      <c r="Z124" s="27"/>
      <c r="AA124" s="27"/>
      <c r="AB124" s="27"/>
      <c r="AC124" s="27"/>
      <c r="AD124" s="13"/>
      <c r="AE124" s="13"/>
      <c r="AF124" s="13"/>
      <c r="AG124" s="27"/>
      <c r="AH124" s="27"/>
      <c r="AI124" s="27"/>
      <c r="AJ124" s="27"/>
      <c r="CL124" s="27"/>
    </row>
    <row r="125" spans="2:90" s="18" customFormat="1" ht="14.1" customHeight="1" x14ac:dyDescent="0.2">
      <c r="B125" s="54"/>
      <c r="C125" s="54"/>
      <c r="D125" s="54"/>
      <c r="E125" s="50"/>
      <c r="F125" s="50"/>
      <c r="G125" s="50"/>
      <c r="H125" s="50"/>
      <c r="I125" s="50"/>
      <c r="J125" s="50"/>
      <c r="K125" s="50"/>
      <c r="L125" s="50"/>
      <c r="M125" s="50"/>
      <c r="N125" s="51"/>
      <c r="O125" s="51"/>
      <c r="P125" s="52"/>
      <c r="Q125" s="55"/>
      <c r="R125" s="55"/>
      <c r="S125" s="55"/>
      <c r="T125" s="55"/>
      <c r="U125" s="55"/>
      <c r="W125" s="27"/>
      <c r="Z125" s="27"/>
      <c r="AA125" s="27"/>
      <c r="AB125" s="27"/>
      <c r="AC125" s="27"/>
      <c r="AD125" s="13"/>
      <c r="AE125" s="13"/>
      <c r="AF125" s="13"/>
      <c r="AG125" s="27"/>
      <c r="AH125" s="27"/>
      <c r="AI125" s="27"/>
      <c r="AJ125" s="27"/>
      <c r="CL125" s="27"/>
    </row>
    <row r="126" spans="2:90" s="18" customFormat="1" ht="14.1" customHeight="1" x14ac:dyDescent="0.2">
      <c r="B126" s="54"/>
      <c r="C126" s="54"/>
      <c r="D126" s="54"/>
      <c r="E126" s="50"/>
      <c r="F126" s="50"/>
      <c r="G126" s="50"/>
      <c r="H126" s="50"/>
      <c r="I126" s="50"/>
      <c r="J126" s="50"/>
      <c r="K126" s="50"/>
      <c r="L126" s="50"/>
      <c r="M126" s="50"/>
      <c r="N126" s="51"/>
      <c r="O126" s="51"/>
      <c r="P126" s="52"/>
      <c r="Q126" s="55"/>
      <c r="R126" s="55"/>
      <c r="S126" s="55"/>
      <c r="T126" s="55"/>
      <c r="U126" s="55"/>
      <c r="W126" s="27"/>
      <c r="Z126" s="27"/>
      <c r="AA126" s="27"/>
      <c r="AB126" s="27"/>
      <c r="AC126" s="27"/>
      <c r="AD126" s="13"/>
      <c r="AE126" s="13"/>
      <c r="AF126" s="13"/>
      <c r="AG126" s="27"/>
      <c r="AH126" s="27"/>
      <c r="AI126" s="27"/>
      <c r="AJ126" s="27"/>
      <c r="CL126" s="27"/>
    </row>
    <row r="127" spans="2:90" s="18" customFormat="1" ht="14.1" customHeight="1" x14ac:dyDescent="0.2">
      <c r="B127" s="54"/>
      <c r="C127" s="54"/>
      <c r="D127" s="54"/>
      <c r="E127" s="50"/>
      <c r="F127" s="50"/>
      <c r="G127" s="50"/>
      <c r="H127" s="50"/>
      <c r="I127" s="50"/>
      <c r="J127" s="50"/>
      <c r="K127" s="50"/>
      <c r="L127" s="50"/>
      <c r="M127" s="50"/>
      <c r="N127" s="51"/>
      <c r="O127" s="51"/>
      <c r="P127" s="52"/>
      <c r="Q127" s="55"/>
      <c r="R127" s="55"/>
      <c r="S127" s="55"/>
      <c r="T127" s="55"/>
      <c r="U127" s="55"/>
      <c r="W127" s="27"/>
      <c r="Z127" s="27"/>
      <c r="AA127" s="27"/>
      <c r="AB127" s="27"/>
      <c r="AC127" s="27"/>
      <c r="AD127" s="13"/>
      <c r="AE127" s="13"/>
      <c r="AF127" s="13"/>
      <c r="AG127" s="27"/>
      <c r="AH127" s="27"/>
      <c r="AI127" s="27"/>
      <c r="AJ127" s="27"/>
      <c r="CL127" s="27"/>
    </row>
    <row r="128" spans="2:90" s="18" customFormat="1" ht="14.1" customHeight="1" x14ac:dyDescent="0.2">
      <c r="B128" s="54"/>
      <c r="C128" s="54"/>
      <c r="D128" s="54"/>
      <c r="E128" s="50"/>
      <c r="F128" s="50"/>
      <c r="G128" s="50"/>
      <c r="H128" s="50"/>
      <c r="I128" s="50"/>
      <c r="J128" s="50"/>
      <c r="K128" s="50"/>
      <c r="L128" s="50"/>
      <c r="M128" s="50"/>
      <c r="N128" s="51"/>
      <c r="O128" s="51"/>
      <c r="P128" s="52"/>
      <c r="Q128" s="55"/>
      <c r="R128" s="55"/>
      <c r="S128" s="55"/>
      <c r="T128" s="55"/>
      <c r="U128" s="55"/>
      <c r="W128" s="27"/>
      <c r="Z128" s="27"/>
      <c r="AA128" s="27"/>
      <c r="AB128" s="27"/>
      <c r="AC128" s="27"/>
      <c r="AD128" s="13"/>
      <c r="AE128" s="13"/>
      <c r="AF128" s="13"/>
      <c r="AG128" s="27"/>
      <c r="AH128" s="27"/>
      <c r="AI128" s="27"/>
      <c r="AJ128" s="27"/>
      <c r="CL128" s="27"/>
    </row>
    <row r="129" spans="2:90" s="18" customFormat="1" ht="14.1" customHeight="1" x14ac:dyDescent="0.2">
      <c r="B129" s="54"/>
      <c r="C129" s="54"/>
      <c r="D129" s="54"/>
      <c r="E129" s="50"/>
      <c r="F129" s="50"/>
      <c r="G129" s="50"/>
      <c r="H129" s="50"/>
      <c r="I129" s="50"/>
      <c r="J129" s="50"/>
      <c r="K129" s="50"/>
      <c r="L129" s="50"/>
      <c r="M129" s="50"/>
      <c r="N129" s="51"/>
      <c r="O129" s="51"/>
      <c r="P129" s="52"/>
      <c r="Q129" s="55"/>
      <c r="R129" s="55"/>
      <c r="S129" s="55"/>
      <c r="T129" s="55"/>
      <c r="U129" s="55"/>
      <c r="W129" s="27"/>
      <c r="Z129" s="27"/>
      <c r="AA129" s="27"/>
      <c r="AB129" s="27"/>
      <c r="AC129" s="27"/>
      <c r="AD129" s="13"/>
      <c r="AE129" s="13"/>
      <c r="AF129" s="13"/>
      <c r="AG129" s="27"/>
      <c r="AH129" s="27"/>
      <c r="AI129" s="27"/>
      <c r="AJ129" s="27"/>
      <c r="CL129" s="27"/>
    </row>
    <row r="130" spans="2:90" s="18" customFormat="1" ht="14.1" customHeight="1" x14ac:dyDescent="0.2">
      <c r="B130" s="54"/>
      <c r="C130" s="54"/>
      <c r="D130" s="54"/>
      <c r="E130" s="50"/>
      <c r="F130" s="50"/>
      <c r="G130" s="50"/>
      <c r="H130" s="50"/>
      <c r="I130" s="50"/>
      <c r="J130" s="50"/>
      <c r="K130" s="50"/>
      <c r="L130" s="50"/>
      <c r="M130" s="50"/>
      <c r="N130" s="51"/>
      <c r="O130" s="51"/>
      <c r="P130" s="52"/>
      <c r="Q130" s="55"/>
      <c r="R130" s="55"/>
      <c r="S130" s="55"/>
      <c r="T130" s="55"/>
      <c r="U130" s="55"/>
      <c r="W130" s="27"/>
      <c r="Z130" s="27"/>
      <c r="AA130" s="27"/>
      <c r="AB130" s="27"/>
      <c r="AC130" s="27"/>
      <c r="AD130" s="13"/>
      <c r="AE130" s="13"/>
      <c r="AF130" s="13"/>
      <c r="AG130" s="27"/>
      <c r="AH130" s="27"/>
      <c r="AI130" s="27"/>
      <c r="AJ130" s="27"/>
      <c r="CL130" s="27"/>
    </row>
    <row r="131" spans="2:90" s="18" customFormat="1" ht="14.1" customHeight="1" x14ac:dyDescent="0.2">
      <c r="B131" s="54"/>
      <c r="C131" s="54"/>
      <c r="D131" s="54"/>
      <c r="E131" s="50"/>
      <c r="F131" s="50"/>
      <c r="G131" s="50"/>
      <c r="H131" s="50"/>
      <c r="I131" s="50"/>
      <c r="J131" s="50"/>
      <c r="K131" s="50"/>
      <c r="L131" s="50"/>
      <c r="M131" s="50"/>
      <c r="N131" s="51"/>
      <c r="O131" s="51"/>
      <c r="P131" s="52"/>
      <c r="Q131" s="55"/>
      <c r="R131" s="55"/>
      <c r="S131" s="55"/>
      <c r="T131" s="55"/>
      <c r="U131" s="55"/>
      <c r="W131" s="27"/>
      <c r="Z131" s="27"/>
      <c r="AA131" s="27"/>
      <c r="AB131" s="27"/>
      <c r="AC131" s="27"/>
      <c r="AD131" s="13"/>
      <c r="AE131" s="13"/>
      <c r="AF131" s="13"/>
      <c r="AG131" s="27"/>
      <c r="AH131" s="27"/>
      <c r="AI131" s="27"/>
      <c r="AJ131" s="27"/>
      <c r="CL131" s="27"/>
    </row>
    <row r="132" spans="2:90" s="18" customFormat="1" ht="14.1" customHeight="1" x14ac:dyDescent="0.2">
      <c r="B132" s="54"/>
      <c r="C132" s="54"/>
      <c r="D132" s="54"/>
      <c r="E132" s="50"/>
      <c r="F132" s="50"/>
      <c r="G132" s="50"/>
      <c r="H132" s="50"/>
      <c r="I132" s="50"/>
      <c r="J132" s="50"/>
      <c r="K132" s="50"/>
      <c r="L132" s="50"/>
      <c r="M132" s="50"/>
      <c r="N132" s="51"/>
      <c r="O132" s="51"/>
      <c r="P132" s="52"/>
      <c r="Q132" s="55"/>
      <c r="R132" s="55"/>
      <c r="S132" s="55"/>
      <c r="T132" s="55"/>
      <c r="U132" s="55"/>
      <c r="W132" s="27"/>
      <c r="Z132" s="27"/>
      <c r="AA132" s="27"/>
      <c r="AB132" s="27"/>
      <c r="AC132" s="27"/>
      <c r="AD132" s="13"/>
      <c r="AE132" s="13"/>
      <c r="AF132" s="13"/>
      <c r="AG132" s="27"/>
      <c r="AH132" s="27"/>
      <c r="AI132" s="27"/>
      <c r="AJ132" s="27"/>
      <c r="CL132" s="27"/>
    </row>
    <row r="133" spans="2:90" s="18" customFormat="1" ht="14.1" customHeight="1" x14ac:dyDescent="0.2">
      <c r="B133" s="54"/>
      <c r="C133" s="54"/>
      <c r="D133" s="54"/>
      <c r="E133" s="50"/>
      <c r="F133" s="50"/>
      <c r="G133" s="50"/>
      <c r="H133" s="50"/>
      <c r="I133" s="50"/>
      <c r="J133" s="50"/>
      <c r="K133" s="50"/>
      <c r="L133" s="50"/>
      <c r="M133" s="50"/>
      <c r="N133" s="51"/>
      <c r="O133" s="51"/>
      <c r="P133" s="52"/>
      <c r="Q133" s="55"/>
      <c r="R133" s="55"/>
      <c r="S133" s="55"/>
      <c r="T133" s="55"/>
      <c r="U133" s="55"/>
      <c r="W133" s="27"/>
      <c r="Z133" s="27"/>
      <c r="AA133" s="27"/>
      <c r="AB133" s="27"/>
      <c r="AC133" s="27"/>
      <c r="AD133" s="13"/>
      <c r="AE133" s="13"/>
      <c r="AF133" s="13"/>
      <c r="AG133" s="27"/>
      <c r="AH133" s="27"/>
      <c r="AI133" s="27"/>
      <c r="AJ133" s="27"/>
      <c r="CL133" s="27"/>
    </row>
    <row r="134" spans="2:90" s="18" customFormat="1" ht="14.1" customHeight="1" x14ac:dyDescent="0.2">
      <c r="B134" s="54"/>
      <c r="C134" s="54"/>
      <c r="D134" s="54"/>
      <c r="E134" s="50"/>
      <c r="F134" s="50"/>
      <c r="G134" s="50"/>
      <c r="H134" s="50"/>
      <c r="I134" s="50"/>
      <c r="J134" s="50"/>
      <c r="K134" s="50"/>
      <c r="L134" s="50"/>
      <c r="M134" s="50"/>
      <c r="N134" s="51"/>
      <c r="O134" s="51"/>
      <c r="P134" s="52"/>
      <c r="Q134" s="55"/>
      <c r="R134" s="55"/>
      <c r="S134" s="55"/>
      <c r="T134" s="55"/>
      <c r="U134" s="55"/>
      <c r="W134" s="27"/>
      <c r="Z134" s="27"/>
      <c r="AA134" s="27"/>
      <c r="AB134" s="27"/>
      <c r="AC134" s="27"/>
      <c r="AD134" s="13"/>
      <c r="AE134" s="13"/>
      <c r="AF134" s="13"/>
      <c r="AG134" s="27"/>
      <c r="AH134" s="27"/>
      <c r="AI134" s="27"/>
      <c r="AJ134" s="27"/>
      <c r="CL134" s="27"/>
    </row>
    <row r="135" spans="2:90" s="18" customFormat="1" ht="14.1" customHeight="1" x14ac:dyDescent="0.2">
      <c r="B135" s="54"/>
      <c r="C135" s="54"/>
      <c r="D135" s="54"/>
      <c r="E135" s="50"/>
      <c r="F135" s="50"/>
      <c r="G135" s="50"/>
      <c r="H135" s="50"/>
      <c r="I135" s="50"/>
      <c r="J135" s="50"/>
      <c r="K135" s="50"/>
      <c r="L135" s="50"/>
      <c r="M135" s="50"/>
      <c r="N135" s="51"/>
      <c r="O135" s="51"/>
      <c r="P135" s="52"/>
      <c r="Q135" s="55"/>
      <c r="R135" s="55"/>
      <c r="S135" s="55"/>
      <c r="T135" s="55"/>
      <c r="U135" s="55"/>
      <c r="W135" s="27"/>
      <c r="Z135" s="27"/>
      <c r="AA135" s="27"/>
      <c r="AB135" s="27"/>
      <c r="AC135" s="27"/>
      <c r="AD135" s="13"/>
      <c r="AE135" s="13"/>
      <c r="AF135" s="13"/>
      <c r="AG135" s="27"/>
      <c r="AH135" s="27"/>
      <c r="AI135" s="27"/>
      <c r="AJ135" s="27"/>
      <c r="CL135" s="27"/>
    </row>
    <row r="136" spans="2:90" s="18" customFormat="1" ht="14.1" customHeight="1" x14ac:dyDescent="0.2">
      <c r="B136" s="54"/>
      <c r="C136" s="54"/>
      <c r="D136" s="54"/>
      <c r="E136" s="50"/>
      <c r="F136" s="50"/>
      <c r="G136" s="50"/>
      <c r="H136" s="50"/>
      <c r="I136" s="50"/>
      <c r="J136" s="50"/>
      <c r="K136" s="50"/>
      <c r="L136" s="50"/>
      <c r="M136" s="50"/>
      <c r="N136" s="51"/>
      <c r="O136" s="51"/>
      <c r="P136" s="52"/>
      <c r="Q136" s="55"/>
      <c r="R136" s="55"/>
      <c r="S136" s="55"/>
      <c r="T136" s="55"/>
      <c r="U136" s="55"/>
      <c r="W136" s="27"/>
      <c r="Z136" s="27"/>
      <c r="AA136" s="27"/>
      <c r="AB136" s="27"/>
      <c r="AC136" s="27"/>
      <c r="AD136" s="13"/>
      <c r="AE136" s="13"/>
      <c r="AF136" s="13"/>
      <c r="AG136" s="27"/>
      <c r="AH136" s="27"/>
      <c r="AI136" s="27"/>
      <c r="AJ136" s="27"/>
      <c r="CL136" s="27"/>
    </row>
    <row r="137" spans="2:90" s="18" customFormat="1" ht="14.1" customHeight="1" x14ac:dyDescent="0.2">
      <c r="B137" s="54"/>
      <c r="C137" s="54"/>
      <c r="D137" s="54"/>
      <c r="E137" s="50"/>
      <c r="F137" s="50"/>
      <c r="G137" s="50"/>
      <c r="H137" s="50"/>
      <c r="I137" s="50"/>
      <c r="J137" s="50"/>
      <c r="K137" s="50"/>
      <c r="L137" s="50"/>
      <c r="M137" s="50"/>
      <c r="N137" s="51"/>
      <c r="O137" s="51"/>
      <c r="P137" s="52"/>
      <c r="Q137" s="55"/>
      <c r="R137" s="55"/>
      <c r="S137" s="55"/>
      <c r="T137" s="55"/>
      <c r="U137" s="55"/>
      <c r="W137" s="27"/>
      <c r="Z137" s="27"/>
      <c r="AA137" s="27"/>
      <c r="AB137" s="27"/>
      <c r="AC137" s="27"/>
      <c r="AD137" s="13"/>
      <c r="AE137" s="13"/>
      <c r="AF137" s="13"/>
      <c r="AG137" s="27"/>
      <c r="AH137" s="27"/>
      <c r="AI137" s="27"/>
      <c r="AJ137" s="27"/>
      <c r="CL137" s="27"/>
    </row>
    <row r="138" spans="2:90" s="18" customFormat="1" ht="14.1" customHeight="1" x14ac:dyDescent="0.2">
      <c r="B138" s="54"/>
      <c r="C138" s="54"/>
      <c r="D138" s="54"/>
      <c r="E138" s="50"/>
      <c r="F138" s="50"/>
      <c r="G138" s="50"/>
      <c r="H138" s="50"/>
      <c r="I138" s="50"/>
      <c r="J138" s="50"/>
      <c r="K138" s="50"/>
      <c r="L138" s="50"/>
      <c r="M138" s="50"/>
      <c r="N138" s="51"/>
      <c r="O138" s="51"/>
      <c r="P138" s="52"/>
      <c r="Q138" s="55"/>
      <c r="R138" s="55"/>
      <c r="S138" s="55"/>
      <c r="T138" s="55"/>
      <c r="U138" s="55"/>
      <c r="W138" s="27"/>
      <c r="Z138" s="27"/>
      <c r="AA138" s="27"/>
      <c r="AB138" s="27"/>
      <c r="AC138" s="27"/>
      <c r="AD138" s="13"/>
      <c r="AE138" s="13"/>
      <c r="AF138" s="13"/>
      <c r="AG138" s="27"/>
      <c r="AH138" s="27"/>
      <c r="AI138" s="27"/>
      <c r="AJ138" s="27"/>
      <c r="CL138" s="27"/>
    </row>
    <row r="139" spans="2:90" s="18" customFormat="1" ht="14.1" customHeight="1" x14ac:dyDescent="0.2">
      <c r="B139" s="54"/>
      <c r="C139" s="54"/>
      <c r="D139" s="54"/>
      <c r="E139" s="50"/>
      <c r="F139" s="50"/>
      <c r="G139" s="50"/>
      <c r="H139" s="50"/>
      <c r="I139" s="50"/>
      <c r="J139" s="50"/>
      <c r="K139" s="50"/>
      <c r="L139" s="50"/>
      <c r="M139" s="50"/>
      <c r="N139" s="51"/>
      <c r="O139" s="51"/>
      <c r="P139" s="52"/>
      <c r="Q139" s="55"/>
      <c r="R139" s="55"/>
      <c r="S139" s="55"/>
      <c r="T139" s="55"/>
      <c r="U139" s="55"/>
      <c r="W139" s="27"/>
      <c r="Z139" s="27"/>
      <c r="AA139" s="27"/>
      <c r="AB139" s="27"/>
      <c r="AC139" s="27"/>
      <c r="AD139" s="13"/>
      <c r="AE139" s="13"/>
      <c r="AF139" s="13"/>
      <c r="AG139" s="27"/>
      <c r="AH139" s="27"/>
      <c r="AI139" s="27"/>
      <c r="AJ139" s="27"/>
      <c r="CL139" s="27"/>
    </row>
    <row r="140" spans="2:90" s="18" customFormat="1" ht="14.1" customHeight="1" x14ac:dyDescent="0.2">
      <c r="B140" s="54"/>
      <c r="C140" s="54"/>
      <c r="D140" s="54"/>
      <c r="E140" s="50"/>
      <c r="F140" s="50"/>
      <c r="G140" s="50"/>
      <c r="H140" s="50"/>
      <c r="I140" s="50"/>
      <c r="J140" s="50"/>
      <c r="K140" s="50"/>
      <c r="L140" s="50"/>
      <c r="M140" s="50"/>
      <c r="N140" s="51"/>
      <c r="O140" s="51"/>
      <c r="P140" s="52"/>
      <c r="Q140" s="55"/>
      <c r="R140" s="55"/>
      <c r="S140" s="55"/>
      <c r="T140" s="55"/>
      <c r="U140" s="55"/>
      <c r="W140" s="27"/>
      <c r="Z140" s="27"/>
      <c r="AA140" s="27"/>
      <c r="AB140" s="27"/>
      <c r="AC140" s="27"/>
      <c r="AD140" s="13"/>
      <c r="AE140" s="13"/>
      <c r="AF140" s="13"/>
      <c r="AG140" s="27"/>
      <c r="AH140" s="27"/>
      <c r="AI140" s="27"/>
      <c r="AJ140" s="27"/>
      <c r="CL140" s="27"/>
    </row>
    <row r="141" spans="2:90" s="18" customFormat="1" ht="14.1" customHeight="1" x14ac:dyDescent="0.2">
      <c r="B141" s="54"/>
      <c r="C141" s="54"/>
      <c r="D141" s="54"/>
      <c r="E141" s="50"/>
      <c r="F141" s="50"/>
      <c r="G141" s="50"/>
      <c r="H141" s="50"/>
      <c r="I141" s="50"/>
      <c r="J141" s="50"/>
      <c r="K141" s="50"/>
      <c r="L141" s="50"/>
      <c r="M141" s="50"/>
      <c r="N141" s="51"/>
      <c r="O141" s="51"/>
      <c r="P141" s="52"/>
      <c r="Q141" s="55"/>
      <c r="R141" s="55"/>
      <c r="S141" s="55"/>
      <c r="T141" s="55"/>
      <c r="U141" s="55"/>
      <c r="W141" s="27"/>
      <c r="Z141" s="27"/>
      <c r="AA141" s="27"/>
      <c r="AB141" s="27"/>
      <c r="AC141" s="27"/>
      <c r="AD141" s="13"/>
      <c r="AE141" s="13"/>
      <c r="AF141" s="13"/>
      <c r="AG141" s="27"/>
      <c r="AH141" s="27"/>
      <c r="AI141" s="27"/>
      <c r="AJ141" s="27"/>
      <c r="CL141" s="27"/>
    </row>
    <row r="142" spans="2:90" s="18" customFormat="1" ht="14.1" customHeight="1" x14ac:dyDescent="0.2">
      <c r="B142" s="54"/>
      <c r="C142" s="54"/>
      <c r="D142" s="54"/>
      <c r="E142" s="50"/>
      <c r="F142" s="50"/>
      <c r="G142" s="50"/>
      <c r="H142" s="50"/>
      <c r="I142" s="50"/>
      <c r="J142" s="50"/>
      <c r="K142" s="50"/>
      <c r="L142" s="50"/>
      <c r="M142" s="50"/>
      <c r="N142" s="51"/>
      <c r="O142" s="51"/>
      <c r="P142" s="52"/>
      <c r="Q142" s="55"/>
      <c r="R142" s="55"/>
      <c r="S142" s="55"/>
      <c r="T142" s="55"/>
      <c r="U142" s="55"/>
      <c r="W142" s="27"/>
      <c r="Z142" s="27"/>
      <c r="AA142" s="27"/>
      <c r="AB142" s="27"/>
      <c r="AC142" s="27"/>
      <c r="AD142" s="13"/>
      <c r="AE142" s="13"/>
      <c r="AF142" s="13"/>
      <c r="AG142" s="27"/>
      <c r="AH142" s="27"/>
      <c r="AI142" s="27"/>
      <c r="AJ142" s="27"/>
      <c r="CL142" s="27"/>
    </row>
    <row r="143" spans="2:90" s="18" customFormat="1" ht="14.1" customHeight="1" x14ac:dyDescent="0.2">
      <c r="B143" s="54"/>
      <c r="C143" s="54"/>
      <c r="D143" s="54"/>
      <c r="E143" s="50"/>
      <c r="F143" s="50"/>
      <c r="G143" s="50"/>
      <c r="H143" s="50"/>
      <c r="I143" s="50"/>
      <c r="J143" s="50"/>
      <c r="K143" s="50"/>
      <c r="L143" s="50"/>
      <c r="M143" s="50"/>
      <c r="N143" s="51"/>
      <c r="O143" s="51"/>
      <c r="P143" s="52"/>
      <c r="Q143" s="55"/>
      <c r="R143" s="55"/>
      <c r="S143" s="55"/>
      <c r="T143" s="55"/>
      <c r="U143" s="55"/>
      <c r="W143" s="27"/>
      <c r="Z143" s="27"/>
      <c r="AA143" s="27"/>
      <c r="AB143" s="27"/>
      <c r="AC143" s="27"/>
      <c r="AD143" s="13"/>
      <c r="AE143" s="13"/>
      <c r="AF143" s="13"/>
      <c r="AG143" s="27"/>
      <c r="AH143" s="27"/>
      <c r="AI143" s="27"/>
      <c r="AJ143" s="27"/>
      <c r="CL143" s="27"/>
    </row>
    <row r="144" spans="2:90" s="18" customFormat="1" ht="14.1" customHeight="1" x14ac:dyDescent="0.2">
      <c r="B144" s="54"/>
      <c r="C144" s="54"/>
      <c r="D144" s="54"/>
      <c r="E144" s="50"/>
      <c r="F144" s="50"/>
      <c r="G144" s="50"/>
      <c r="H144" s="50"/>
      <c r="I144" s="50"/>
      <c r="J144" s="50"/>
      <c r="K144" s="50"/>
      <c r="L144" s="50"/>
      <c r="M144" s="50"/>
      <c r="N144" s="51"/>
      <c r="O144" s="51"/>
      <c r="P144" s="52"/>
      <c r="Q144" s="55"/>
      <c r="R144" s="55"/>
      <c r="S144" s="55"/>
      <c r="T144" s="55"/>
      <c r="U144" s="55"/>
      <c r="W144" s="27"/>
      <c r="Z144" s="27"/>
      <c r="AA144" s="27"/>
      <c r="AB144" s="27"/>
      <c r="AC144" s="27"/>
      <c r="AD144" s="13"/>
      <c r="AE144" s="13"/>
      <c r="AF144" s="13"/>
      <c r="AG144" s="27"/>
      <c r="AH144" s="27"/>
      <c r="AI144" s="27"/>
      <c r="AJ144" s="27"/>
      <c r="CL144" s="27"/>
    </row>
    <row r="145" spans="2:90" s="18" customFormat="1" ht="14.1" customHeight="1" x14ac:dyDescent="0.2">
      <c r="B145" s="54"/>
      <c r="C145" s="54"/>
      <c r="D145" s="54"/>
      <c r="E145" s="50"/>
      <c r="F145" s="50"/>
      <c r="G145" s="50"/>
      <c r="H145" s="50"/>
      <c r="I145" s="50"/>
      <c r="J145" s="50"/>
      <c r="K145" s="50"/>
      <c r="L145" s="50"/>
      <c r="M145" s="50"/>
      <c r="N145" s="51"/>
      <c r="O145" s="51"/>
      <c r="P145" s="52"/>
      <c r="Q145" s="55"/>
      <c r="R145" s="55"/>
      <c r="S145" s="55"/>
      <c r="T145" s="55"/>
      <c r="U145" s="55"/>
      <c r="W145" s="27"/>
      <c r="Z145" s="27"/>
      <c r="AA145" s="27"/>
      <c r="AB145" s="27"/>
      <c r="AC145" s="27"/>
      <c r="AD145" s="13"/>
      <c r="AE145" s="13"/>
      <c r="AF145" s="13"/>
      <c r="AG145" s="27"/>
      <c r="AH145" s="27"/>
      <c r="AI145" s="27"/>
      <c r="AJ145" s="27"/>
      <c r="CL145" s="27"/>
    </row>
    <row r="146" spans="2:90" s="18" customFormat="1" ht="14.1" customHeight="1" x14ac:dyDescent="0.2">
      <c r="B146" s="54"/>
      <c r="C146" s="54"/>
      <c r="D146" s="54"/>
      <c r="E146" s="50"/>
      <c r="F146" s="50"/>
      <c r="G146" s="50"/>
      <c r="H146" s="50"/>
      <c r="I146" s="50"/>
      <c r="J146" s="50"/>
      <c r="K146" s="50"/>
      <c r="L146" s="50"/>
      <c r="M146" s="50"/>
      <c r="N146" s="51"/>
      <c r="O146" s="51"/>
      <c r="P146" s="52"/>
      <c r="Q146" s="55"/>
      <c r="R146" s="55"/>
      <c r="S146" s="55"/>
      <c r="T146" s="55"/>
      <c r="U146" s="55"/>
      <c r="W146" s="27"/>
      <c r="Z146" s="27"/>
      <c r="AA146" s="27"/>
      <c r="AB146" s="27"/>
      <c r="AC146" s="27"/>
      <c r="AD146" s="13"/>
      <c r="AE146" s="13"/>
      <c r="AF146" s="13"/>
      <c r="AG146" s="27"/>
      <c r="AH146" s="27"/>
      <c r="AI146" s="27"/>
      <c r="AJ146" s="27"/>
      <c r="CL146" s="27"/>
    </row>
    <row r="147" spans="2:90" s="18" customFormat="1" ht="14.1" customHeight="1" x14ac:dyDescent="0.2">
      <c r="B147" s="54"/>
      <c r="C147" s="54"/>
      <c r="D147" s="54"/>
      <c r="E147" s="50"/>
      <c r="F147" s="50"/>
      <c r="G147" s="50"/>
      <c r="H147" s="50"/>
      <c r="I147" s="50"/>
      <c r="J147" s="50"/>
      <c r="K147" s="50"/>
      <c r="L147" s="50"/>
      <c r="M147" s="50"/>
      <c r="N147" s="51"/>
      <c r="O147" s="51"/>
      <c r="P147" s="52"/>
      <c r="Q147" s="55"/>
      <c r="R147" s="55"/>
      <c r="S147" s="55"/>
      <c r="T147" s="55"/>
      <c r="U147" s="55"/>
      <c r="W147" s="27"/>
      <c r="Z147" s="27"/>
      <c r="AA147" s="27"/>
      <c r="AB147" s="27"/>
      <c r="AC147" s="27"/>
      <c r="AD147" s="13"/>
      <c r="AE147" s="13"/>
      <c r="AF147" s="13"/>
      <c r="AG147" s="27"/>
      <c r="AH147" s="27"/>
      <c r="AI147" s="27"/>
      <c r="AJ147" s="27"/>
      <c r="CL147" s="27"/>
    </row>
    <row r="148" spans="2:90" s="18" customFormat="1" ht="14.1" customHeight="1" x14ac:dyDescent="0.2">
      <c r="B148" s="54"/>
      <c r="C148" s="54"/>
      <c r="D148" s="54"/>
      <c r="E148" s="50"/>
      <c r="F148" s="50"/>
      <c r="G148" s="50"/>
      <c r="H148" s="50"/>
      <c r="I148" s="50"/>
      <c r="J148" s="50"/>
      <c r="K148" s="50"/>
      <c r="L148" s="50"/>
      <c r="M148" s="50"/>
      <c r="N148" s="51"/>
      <c r="O148" s="51"/>
      <c r="P148" s="52"/>
      <c r="Q148" s="55"/>
      <c r="R148" s="55"/>
      <c r="S148" s="55"/>
      <c r="T148" s="55"/>
      <c r="U148" s="55"/>
      <c r="W148" s="27"/>
      <c r="Z148" s="27"/>
      <c r="AA148" s="27"/>
      <c r="AB148" s="27"/>
      <c r="AC148" s="27"/>
      <c r="AD148" s="13"/>
      <c r="AE148" s="13"/>
      <c r="AF148" s="13"/>
      <c r="AG148" s="27"/>
      <c r="AH148" s="27"/>
      <c r="AI148" s="27"/>
      <c r="AJ148" s="27"/>
      <c r="CL148" s="27"/>
    </row>
    <row r="149" spans="2:90" s="18" customFormat="1" ht="14.1" customHeight="1" x14ac:dyDescent="0.2">
      <c r="B149" s="54"/>
      <c r="C149" s="54"/>
      <c r="D149" s="54"/>
      <c r="E149" s="50"/>
      <c r="F149" s="50"/>
      <c r="G149" s="50"/>
      <c r="H149" s="50"/>
      <c r="I149" s="50"/>
      <c r="J149" s="50"/>
      <c r="K149" s="50"/>
      <c r="L149" s="50"/>
      <c r="M149" s="50"/>
      <c r="N149" s="51"/>
      <c r="O149" s="51"/>
      <c r="P149" s="52"/>
      <c r="Q149" s="55"/>
      <c r="R149" s="55"/>
      <c r="S149" s="55"/>
      <c r="T149" s="55"/>
      <c r="U149" s="55"/>
      <c r="W149" s="27"/>
      <c r="Z149" s="27"/>
      <c r="AA149" s="27"/>
      <c r="AB149" s="27"/>
      <c r="AC149" s="27"/>
      <c r="AD149" s="13"/>
      <c r="AE149" s="13"/>
      <c r="AF149" s="13"/>
      <c r="AG149" s="27"/>
      <c r="AH149" s="27"/>
      <c r="AI149" s="27"/>
      <c r="AJ149" s="27"/>
      <c r="CL149" s="27"/>
    </row>
    <row r="150" spans="2:90" s="18" customFormat="1" ht="14.1" customHeight="1" x14ac:dyDescent="0.2">
      <c r="B150" s="54"/>
      <c r="C150" s="54"/>
      <c r="D150" s="54"/>
      <c r="E150" s="50"/>
      <c r="F150" s="50"/>
      <c r="G150" s="50"/>
      <c r="H150" s="50"/>
      <c r="I150" s="50"/>
      <c r="J150" s="50"/>
      <c r="K150" s="50"/>
      <c r="L150" s="50"/>
      <c r="M150" s="50"/>
      <c r="N150" s="51"/>
      <c r="O150" s="51"/>
      <c r="P150" s="52"/>
      <c r="Q150" s="55"/>
      <c r="R150" s="55"/>
      <c r="S150" s="55"/>
      <c r="T150" s="55"/>
      <c r="U150" s="55"/>
      <c r="W150" s="27"/>
      <c r="Z150" s="27"/>
      <c r="AA150" s="27"/>
      <c r="AB150" s="27"/>
      <c r="AC150" s="27"/>
      <c r="AD150" s="13"/>
      <c r="AE150" s="13"/>
      <c r="AF150" s="13"/>
      <c r="AG150" s="27"/>
      <c r="AH150" s="27"/>
      <c r="AI150" s="27"/>
      <c r="AJ150" s="27"/>
      <c r="CL150" s="27"/>
    </row>
    <row r="151" spans="2:90" s="18" customFormat="1" ht="14.1" customHeight="1" x14ac:dyDescent="0.2">
      <c r="B151" s="54"/>
      <c r="C151" s="54"/>
      <c r="D151" s="54"/>
      <c r="E151" s="50"/>
      <c r="F151" s="50"/>
      <c r="G151" s="50"/>
      <c r="H151" s="50"/>
      <c r="I151" s="50"/>
      <c r="J151" s="50"/>
      <c r="K151" s="50"/>
      <c r="L151" s="50"/>
      <c r="M151" s="50"/>
      <c r="N151" s="51"/>
      <c r="O151" s="51"/>
      <c r="P151" s="52"/>
      <c r="Q151" s="55"/>
      <c r="R151" s="55"/>
      <c r="S151" s="55"/>
      <c r="T151" s="55"/>
      <c r="U151" s="55"/>
      <c r="W151" s="27"/>
      <c r="Z151" s="27"/>
      <c r="AA151" s="27"/>
      <c r="AB151" s="27"/>
      <c r="AC151" s="27"/>
      <c r="AD151" s="13"/>
      <c r="AE151" s="13"/>
      <c r="AF151" s="13"/>
      <c r="AG151" s="27"/>
      <c r="AH151" s="27"/>
      <c r="AI151" s="27"/>
      <c r="AJ151" s="27"/>
      <c r="CL151" s="27"/>
    </row>
    <row r="152" spans="2:90" s="18" customFormat="1" ht="14.1" customHeight="1" x14ac:dyDescent="0.2">
      <c r="B152" s="54"/>
      <c r="C152" s="54"/>
      <c r="D152" s="54"/>
      <c r="E152" s="50"/>
      <c r="F152" s="50"/>
      <c r="G152" s="50"/>
      <c r="H152" s="50"/>
      <c r="I152" s="50"/>
      <c r="J152" s="50"/>
      <c r="K152" s="50"/>
      <c r="L152" s="50"/>
      <c r="M152" s="50"/>
      <c r="N152" s="51"/>
      <c r="O152" s="51"/>
      <c r="P152" s="52"/>
      <c r="Q152" s="55"/>
      <c r="R152" s="55"/>
      <c r="S152" s="55"/>
      <c r="T152" s="55"/>
      <c r="U152" s="55"/>
      <c r="W152" s="27"/>
      <c r="Z152" s="27"/>
      <c r="AA152" s="27"/>
      <c r="AB152" s="27"/>
      <c r="AC152" s="27"/>
      <c r="AD152" s="13"/>
      <c r="AE152" s="13"/>
      <c r="AF152" s="13"/>
      <c r="AG152" s="27"/>
      <c r="AH152" s="27"/>
      <c r="AI152" s="27"/>
      <c r="AJ152" s="27"/>
      <c r="CL152" s="27"/>
    </row>
    <row r="153" spans="2:90" s="18" customFormat="1" ht="14.1" customHeight="1" x14ac:dyDescent="0.2">
      <c r="B153" s="54"/>
      <c r="C153" s="54"/>
      <c r="D153" s="54"/>
      <c r="E153" s="50"/>
      <c r="F153" s="50"/>
      <c r="G153" s="50"/>
      <c r="H153" s="50"/>
      <c r="I153" s="50"/>
      <c r="J153" s="50"/>
      <c r="K153" s="50"/>
      <c r="L153" s="50"/>
      <c r="M153" s="50"/>
      <c r="N153" s="51"/>
      <c r="O153" s="51"/>
      <c r="P153" s="52"/>
      <c r="Q153" s="55"/>
      <c r="R153" s="55"/>
      <c r="S153" s="55"/>
      <c r="T153" s="55"/>
      <c r="U153" s="55"/>
      <c r="W153" s="27"/>
      <c r="Z153" s="27"/>
      <c r="AA153" s="27"/>
      <c r="AB153" s="27"/>
      <c r="AC153" s="27"/>
      <c r="AD153" s="13"/>
      <c r="AE153" s="13"/>
      <c r="AF153" s="13"/>
      <c r="AG153" s="27"/>
      <c r="AH153" s="27"/>
      <c r="AI153" s="27"/>
      <c r="AJ153" s="27"/>
      <c r="CL153" s="27"/>
    </row>
    <row r="154" spans="2:90" s="18" customFormat="1" ht="14.1" customHeight="1" x14ac:dyDescent="0.2">
      <c r="B154" s="54"/>
      <c r="C154" s="54"/>
      <c r="D154" s="54"/>
      <c r="E154" s="50"/>
      <c r="F154" s="50"/>
      <c r="G154" s="50"/>
      <c r="H154" s="50"/>
      <c r="I154" s="50"/>
      <c r="J154" s="50"/>
      <c r="K154" s="50"/>
      <c r="L154" s="50"/>
      <c r="M154" s="50"/>
      <c r="N154" s="51"/>
      <c r="O154" s="51"/>
      <c r="P154" s="52"/>
      <c r="Q154" s="55"/>
      <c r="R154" s="55"/>
      <c r="S154" s="55"/>
      <c r="T154" s="55"/>
      <c r="U154" s="55"/>
      <c r="W154" s="27"/>
      <c r="Z154" s="27"/>
      <c r="AA154" s="27"/>
      <c r="AB154" s="27"/>
      <c r="AC154" s="27"/>
      <c r="AD154" s="13"/>
      <c r="AE154" s="13"/>
      <c r="AF154" s="13"/>
      <c r="AG154" s="27"/>
      <c r="AH154" s="27"/>
      <c r="AI154" s="27"/>
      <c r="AJ154" s="27"/>
      <c r="CL154" s="27"/>
    </row>
    <row r="155" spans="2:90" s="18" customFormat="1" ht="14.1" customHeight="1" x14ac:dyDescent="0.2">
      <c r="B155" s="54"/>
      <c r="C155" s="54"/>
      <c r="D155" s="54"/>
      <c r="E155" s="50"/>
      <c r="F155" s="50"/>
      <c r="G155" s="50"/>
      <c r="H155" s="50"/>
      <c r="I155" s="50"/>
      <c r="J155" s="50"/>
      <c r="K155" s="50"/>
      <c r="L155" s="50"/>
      <c r="M155" s="50"/>
      <c r="N155" s="51"/>
      <c r="O155" s="51"/>
      <c r="P155" s="52"/>
      <c r="Q155" s="55"/>
      <c r="R155" s="55"/>
      <c r="S155" s="55"/>
      <c r="T155" s="55"/>
      <c r="U155" s="55"/>
      <c r="W155" s="27"/>
      <c r="Z155" s="27"/>
      <c r="AA155" s="27"/>
      <c r="AB155" s="27"/>
      <c r="AC155" s="27"/>
      <c r="AD155" s="13"/>
      <c r="AE155" s="13"/>
      <c r="AF155" s="13"/>
      <c r="AG155" s="27"/>
      <c r="AH155" s="27"/>
      <c r="AI155" s="27"/>
      <c r="AJ155" s="27"/>
      <c r="CL155" s="27"/>
    </row>
    <row r="156" spans="2:90" s="18" customFormat="1" ht="14.1" customHeight="1" x14ac:dyDescent="0.2">
      <c r="B156" s="54"/>
      <c r="C156" s="54"/>
      <c r="D156" s="54"/>
      <c r="E156" s="50"/>
      <c r="F156" s="50"/>
      <c r="G156" s="50"/>
      <c r="H156" s="50"/>
      <c r="I156" s="50"/>
      <c r="J156" s="50"/>
      <c r="K156" s="50"/>
      <c r="L156" s="50"/>
      <c r="M156" s="50"/>
      <c r="N156" s="51"/>
      <c r="O156" s="51"/>
      <c r="P156" s="52"/>
      <c r="Q156" s="55"/>
      <c r="R156" s="55"/>
      <c r="S156" s="55"/>
      <c r="T156" s="55"/>
      <c r="U156" s="55"/>
      <c r="W156" s="27"/>
      <c r="Z156" s="27"/>
      <c r="AA156" s="27"/>
      <c r="AB156" s="27"/>
      <c r="AC156" s="27"/>
      <c r="AD156" s="13"/>
      <c r="AE156" s="13"/>
      <c r="AF156" s="13"/>
      <c r="AG156" s="27"/>
      <c r="AH156" s="27"/>
      <c r="AI156" s="27"/>
      <c r="AJ156" s="27"/>
      <c r="CL156" s="27"/>
    </row>
    <row r="157" spans="2:90" s="18" customFormat="1" ht="14.1" customHeight="1" x14ac:dyDescent="0.2">
      <c r="B157" s="54"/>
      <c r="C157" s="54"/>
      <c r="D157" s="54"/>
      <c r="E157" s="50"/>
      <c r="F157" s="50"/>
      <c r="G157" s="50"/>
      <c r="H157" s="50"/>
      <c r="I157" s="50"/>
      <c r="J157" s="50"/>
      <c r="K157" s="50"/>
      <c r="L157" s="50"/>
      <c r="M157" s="50"/>
      <c r="N157" s="51"/>
      <c r="O157" s="51"/>
      <c r="P157" s="52"/>
      <c r="Q157" s="55"/>
      <c r="R157" s="55"/>
      <c r="S157" s="55"/>
      <c r="T157" s="55"/>
      <c r="U157" s="55"/>
      <c r="W157" s="27"/>
      <c r="Z157" s="27"/>
      <c r="AA157" s="27"/>
      <c r="AB157" s="27"/>
      <c r="AC157" s="27"/>
      <c r="AD157" s="13"/>
      <c r="AE157" s="13"/>
      <c r="AF157" s="13"/>
      <c r="AG157" s="27"/>
      <c r="AH157" s="27"/>
      <c r="AI157" s="27"/>
      <c r="AJ157" s="27"/>
      <c r="CL157" s="27"/>
    </row>
    <row r="158" spans="2:90" s="18" customFormat="1" ht="14.1" customHeight="1" x14ac:dyDescent="0.2">
      <c r="B158" s="54"/>
      <c r="C158" s="54"/>
      <c r="D158" s="54"/>
      <c r="E158" s="50"/>
      <c r="F158" s="50"/>
      <c r="G158" s="50"/>
      <c r="H158" s="50"/>
      <c r="I158" s="50"/>
      <c r="J158" s="50"/>
      <c r="K158" s="50"/>
      <c r="L158" s="50"/>
      <c r="M158" s="50"/>
      <c r="N158" s="51"/>
      <c r="O158" s="51"/>
      <c r="P158" s="52"/>
      <c r="Q158" s="55"/>
      <c r="R158" s="55"/>
      <c r="S158" s="55"/>
      <c r="T158" s="55"/>
      <c r="U158" s="55"/>
      <c r="W158" s="27"/>
      <c r="Z158" s="27"/>
      <c r="AA158" s="27"/>
      <c r="AB158" s="27"/>
      <c r="AC158" s="27"/>
      <c r="AD158" s="13"/>
      <c r="AE158" s="13"/>
      <c r="AF158" s="13"/>
      <c r="AG158" s="27"/>
      <c r="AH158" s="27"/>
      <c r="AI158" s="27"/>
      <c r="AJ158" s="27"/>
      <c r="CL158" s="27"/>
    </row>
    <row r="159" spans="2:90" s="18" customFormat="1" ht="14.1" customHeight="1" x14ac:dyDescent="0.2">
      <c r="B159" s="54"/>
      <c r="C159" s="54"/>
      <c r="D159" s="54"/>
      <c r="E159" s="50"/>
      <c r="F159" s="50"/>
      <c r="G159" s="50"/>
      <c r="H159" s="50"/>
      <c r="I159" s="50"/>
      <c r="J159" s="50"/>
      <c r="K159" s="50"/>
      <c r="L159" s="50"/>
      <c r="M159" s="50"/>
      <c r="N159" s="51"/>
      <c r="O159" s="51"/>
      <c r="P159" s="52"/>
      <c r="Q159" s="55"/>
      <c r="R159" s="55"/>
      <c r="S159" s="55"/>
      <c r="T159" s="55"/>
      <c r="U159" s="55"/>
      <c r="W159" s="27"/>
      <c r="Z159" s="27"/>
      <c r="AA159" s="27"/>
      <c r="AB159" s="27"/>
      <c r="AC159" s="27"/>
      <c r="AD159" s="13"/>
      <c r="AE159" s="13"/>
      <c r="AF159" s="13"/>
      <c r="AG159" s="27"/>
      <c r="AH159" s="27"/>
      <c r="AI159" s="27"/>
      <c r="AJ159" s="27"/>
      <c r="CL159" s="27"/>
    </row>
    <row r="160" spans="2:90" s="18" customFormat="1" ht="14.1" customHeight="1" x14ac:dyDescent="0.2">
      <c r="B160" s="54"/>
      <c r="C160" s="54"/>
      <c r="D160" s="54"/>
      <c r="E160" s="50"/>
      <c r="F160" s="50"/>
      <c r="G160" s="50"/>
      <c r="H160" s="50"/>
      <c r="I160" s="50"/>
      <c r="J160" s="50"/>
      <c r="K160" s="50"/>
      <c r="L160" s="50"/>
      <c r="M160" s="50"/>
      <c r="N160" s="51"/>
      <c r="O160" s="51"/>
      <c r="P160" s="52"/>
      <c r="Q160" s="55"/>
      <c r="R160" s="55"/>
      <c r="S160" s="55"/>
      <c r="T160" s="55"/>
      <c r="U160" s="55"/>
      <c r="W160" s="27"/>
      <c r="Z160" s="27"/>
      <c r="AA160" s="27"/>
      <c r="AB160" s="27"/>
      <c r="AC160" s="27"/>
      <c r="AD160" s="13"/>
      <c r="AE160" s="13"/>
      <c r="AF160" s="13"/>
      <c r="AG160" s="27"/>
      <c r="AH160" s="27"/>
      <c r="AI160" s="27"/>
      <c r="AJ160" s="27"/>
      <c r="CL160" s="27"/>
    </row>
    <row r="161" spans="2:90" s="18" customFormat="1" ht="14.1" customHeight="1" x14ac:dyDescent="0.2">
      <c r="B161" s="54"/>
      <c r="C161" s="54"/>
      <c r="D161" s="54"/>
      <c r="E161" s="50"/>
      <c r="F161" s="50"/>
      <c r="G161" s="50"/>
      <c r="H161" s="50"/>
      <c r="I161" s="50"/>
      <c r="J161" s="50"/>
      <c r="K161" s="50"/>
      <c r="L161" s="50"/>
      <c r="M161" s="50"/>
      <c r="N161" s="51"/>
      <c r="O161" s="51"/>
      <c r="P161" s="52"/>
      <c r="Q161" s="55"/>
      <c r="R161" s="55"/>
      <c r="S161" s="55"/>
      <c r="T161" s="55"/>
      <c r="U161" s="55"/>
      <c r="W161" s="27"/>
      <c r="Z161" s="27"/>
      <c r="AA161" s="27"/>
      <c r="AB161" s="27"/>
      <c r="AC161" s="27"/>
      <c r="AD161" s="13"/>
      <c r="AE161" s="13"/>
      <c r="AF161" s="13"/>
      <c r="AG161" s="27"/>
      <c r="AH161" s="27"/>
      <c r="AI161" s="27"/>
      <c r="AJ161" s="27"/>
      <c r="CL161" s="27"/>
    </row>
    <row r="162" spans="2:90" s="18" customFormat="1" ht="14.1" customHeight="1" x14ac:dyDescent="0.2">
      <c r="B162" s="54"/>
      <c r="C162" s="54"/>
      <c r="D162" s="54"/>
      <c r="E162" s="50"/>
      <c r="F162" s="50"/>
      <c r="G162" s="50"/>
      <c r="H162" s="50"/>
      <c r="I162" s="50"/>
      <c r="J162" s="50"/>
      <c r="K162" s="50"/>
      <c r="L162" s="50"/>
      <c r="M162" s="50"/>
      <c r="N162" s="51"/>
      <c r="O162" s="51"/>
      <c r="P162" s="52"/>
      <c r="Q162" s="55"/>
      <c r="R162" s="55"/>
      <c r="S162" s="55"/>
      <c r="T162" s="55"/>
      <c r="U162" s="55"/>
      <c r="W162" s="27"/>
      <c r="Z162" s="27"/>
      <c r="AA162" s="27"/>
      <c r="AB162" s="27"/>
      <c r="AC162" s="27"/>
      <c r="AD162" s="13"/>
      <c r="AE162" s="13"/>
      <c r="AF162" s="13"/>
      <c r="AG162" s="27"/>
      <c r="AH162" s="27"/>
      <c r="AI162" s="27"/>
      <c r="AJ162" s="27"/>
      <c r="CL162" s="27"/>
    </row>
    <row r="163" spans="2:90" s="18" customFormat="1" ht="14.1" customHeight="1" x14ac:dyDescent="0.2">
      <c r="B163" s="54"/>
      <c r="C163" s="54"/>
      <c r="D163" s="54"/>
      <c r="E163" s="50"/>
      <c r="F163" s="50"/>
      <c r="G163" s="50"/>
      <c r="H163" s="50"/>
      <c r="I163" s="50"/>
      <c r="J163" s="50"/>
      <c r="K163" s="50"/>
      <c r="L163" s="50"/>
      <c r="M163" s="50"/>
      <c r="N163" s="51"/>
      <c r="O163" s="51"/>
      <c r="P163" s="52"/>
      <c r="Q163" s="55"/>
      <c r="R163" s="55"/>
      <c r="S163" s="55"/>
      <c r="T163" s="55"/>
      <c r="U163" s="55"/>
      <c r="W163" s="27"/>
      <c r="Z163" s="27"/>
      <c r="AA163" s="27"/>
      <c r="AB163" s="27"/>
      <c r="AC163" s="27"/>
      <c r="AD163" s="13"/>
      <c r="AE163" s="13"/>
      <c r="AF163" s="13"/>
      <c r="AG163" s="27"/>
      <c r="AH163" s="27"/>
      <c r="AI163" s="27"/>
      <c r="AJ163" s="27"/>
      <c r="CL163" s="27"/>
    </row>
    <row r="164" spans="2:90" s="18" customFormat="1" ht="14.1" customHeight="1" x14ac:dyDescent="0.2">
      <c r="B164" s="54"/>
      <c r="C164" s="54"/>
      <c r="D164" s="54"/>
      <c r="E164" s="50"/>
      <c r="F164" s="50"/>
      <c r="G164" s="50"/>
      <c r="H164" s="50"/>
      <c r="I164" s="50"/>
      <c r="J164" s="50"/>
      <c r="K164" s="50"/>
      <c r="L164" s="50"/>
      <c r="M164" s="50"/>
      <c r="N164" s="51"/>
      <c r="O164" s="51"/>
      <c r="P164" s="52"/>
      <c r="Q164" s="55"/>
      <c r="R164" s="55"/>
      <c r="S164" s="55"/>
      <c r="T164" s="55"/>
      <c r="U164" s="55"/>
      <c r="W164" s="27"/>
      <c r="Z164" s="27"/>
      <c r="AA164" s="27"/>
      <c r="AB164" s="27"/>
      <c r="AC164" s="27"/>
      <c r="AD164" s="13"/>
      <c r="AE164" s="13"/>
      <c r="AF164" s="13"/>
      <c r="AG164" s="27"/>
      <c r="AH164" s="27"/>
      <c r="AI164" s="27"/>
      <c r="AJ164" s="27"/>
      <c r="CL164" s="27"/>
    </row>
    <row r="165" spans="2:90" s="18" customFormat="1" ht="14.1" customHeight="1" x14ac:dyDescent="0.2">
      <c r="B165" s="54"/>
      <c r="C165" s="54"/>
      <c r="D165" s="54"/>
      <c r="E165" s="50"/>
      <c r="F165" s="50"/>
      <c r="G165" s="50"/>
      <c r="H165" s="50"/>
      <c r="I165" s="50"/>
      <c r="J165" s="50"/>
      <c r="K165" s="50"/>
      <c r="L165" s="50"/>
      <c r="M165" s="50"/>
      <c r="N165" s="51"/>
      <c r="O165" s="51"/>
      <c r="P165" s="52"/>
      <c r="Q165" s="55"/>
      <c r="R165" s="55"/>
      <c r="S165" s="55"/>
      <c r="T165" s="55"/>
      <c r="U165" s="55"/>
      <c r="W165" s="27"/>
      <c r="Z165" s="27"/>
      <c r="AA165" s="27"/>
      <c r="AB165" s="27"/>
      <c r="AC165" s="27"/>
      <c r="AD165" s="13"/>
      <c r="AE165" s="13"/>
      <c r="AF165" s="13"/>
      <c r="AG165" s="27"/>
      <c r="AH165" s="27"/>
      <c r="AI165" s="27"/>
      <c r="AJ165" s="27"/>
      <c r="CL165" s="27"/>
    </row>
    <row r="166" spans="2:90" s="18" customFormat="1" ht="14.1" customHeight="1" x14ac:dyDescent="0.2">
      <c r="B166" s="54"/>
      <c r="C166" s="54"/>
      <c r="D166" s="54"/>
      <c r="E166" s="50"/>
      <c r="F166" s="50"/>
      <c r="G166" s="50"/>
      <c r="H166" s="50"/>
      <c r="I166" s="50"/>
      <c r="J166" s="50"/>
      <c r="K166" s="50"/>
      <c r="L166" s="50"/>
      <c r="M166" s="50"/>
      <c r="N166" s="51"/>
      <c r="O166" s="51"/>
      <c r="P166" s="52"/>
      <c r="Q166" s="55"/>
      <c r="R166" s="55"/>
      <c r="S166" s="55"/>
      <c r="T166" s="55"/>
      <c r="U166" s="55"/>
      <c r="W166" s="27"/>
      <c r="Z166" s="27"/>
      <c r="AA166" s="27"/>
      <c r="AB166" s="27"/>
      <c r="AC166" s="27"/>
      <c r="AD166" s="13"/>
      <c r="AE166" s="13"/>
      <c r="AF166" s="13"/>
      <c r="AG166" s="27"/>
      <c r="AH166" s="27"/>
      <c r="AI166" s="27"/>
      <c r="AJ166" s="27"/>
      <c r="CL166" s="27"/>
    </row>
    <row r="167" spans="2:90" s="18" customFormat="1" ht="14.1" customHeight="1" x14ac:dyDescent="0.2">
      <c r="B167" s="54"/>
      <c r="C167" s="54"/>
      <c r="D167" s="54"/>
      <c r="E167" s="50"/>
      <c r="F167" s="50"/>
      <c r="G167" s="50"/>
      <c r="H167" s="50"/>
      <c r="I167" s="50"/>
      <c r="J167" s="50"/>
      <c r="K167" s="50"/>
      <c r="L167" s="50"/>
      <c r="M167" s="50"/>
      <c r="N167" s="51"/>
      <c r="O167" s="51"/>
      <c r="P167" s="52"/>
      <c r="Q167" s="55"/>
      <c r="R167" s="55"/>
      <c r="S167" s="55"/>
      <c r="T167" s="55"/>
      <c r="U167" s="55"/>
      <c r="W167" s="27"/>
      <c r="Z167" s="27"/>
      <c r="AA167" s="27"/>
      <c r="AB167" s="27"/>
      <c r="AC167" s="27"/>
      <c r="AD167" s="13"/>
      <c r="AE167" s="13"/>
      <c r="AF167" s="13"/>
      <c r="AG167" s="27"/>
      <c r="AH167" s="27"/>
      <c r="AI167" s="27"/>
      <c r="AJ167" s="27"/>
      <c r="CL167" s="27"/>
    </row>
    <row r="168" spans="2:90" s="18" customFormat="1" ht="14.1" customHeight="1" x14ac:dyDescent="0.2">
      <c r="B168" s="54"/>
      <c r="C168" s="54"/>
      <c r="D168" s="54"/>
      <c r="E168" s="50"/>
      <c r="F168" s="50"/>
      <c r="G168" s="50"/>
      <c r="H168" s="50"/>
      <c r="I168" s="50"/>
      <c r="J168" s="50"/>
      <c r="K168" s="50"/>
      <c r="L168" s="50"/>
      <c r="M168" s="50"/>
      <c r="N168" s="51"/>
      <c r="O168" s="51"/>
      <c r="P168" s="52"/>
      <c r="Q168" s="55"/>
      <c r="R168" s="55"/>
      <c r="S168" s="55"/>
      <c r="T168" s="55"/>
      <c r="U168" s="55"/>
      <c r="W168" s="27"/>
      <c r="Z168" s="27"/>
      <c r="AA168" s="27"/>
      <c r="AB168" s="27"/>
      <c r="AC168" s="27"/>
      <c r="AD168" s="13"/>
      <c r="AE168" s="13"/>
      <c r="AF168" s="13"/>
      <c r="AG168" s="27"/>
      <c r="AH168" s="27"/>
      <c r="AI168" s="27"/>
      <c r="AJ168" s="27"/>
      <c r="CL168" s="27"/>
    </row>
    <row r="169" spans="2:90" s="18" customFormat="1" ht="14.1" customHeight="1" x14ac:dyDescent="0.2">
      <c r="B169" s="54"/>
      <c r="C169" s="54"/>
      <c r="D169" s="54"/>
      <c r="E169" s="50"/>
      <c r="F169" s="50"/>
      <c r="G169" s="50"/>
      <c r="H169" s="50"/>
      <c r="I169" s="50"/>
      <c r="J169" s="50"/>
      <c r="K169" s="50"/>
      <c r="L169" s="50"/>
      <c r="M169" s="50"/>
      <c r="N169" s="51"/>
      <c r="O169" s="51"/>
      <c r="P169" s="52"/>
      <c r="Q169" s="55"/>
      <c r="R169" s="55"/>
      <c r="S169" s="55"/>
      <c r="T169" s="55"/>
      <c r="U169" s="55"/>
      <c r="W169" s="27"/>
      <c r="Z169" s="27"/>
      <c r="AA169" s="27"/>
      <c r="AB169" s="27"/>
      <c r="AC169" s="27"/>
      <c r="AD169" s="13"/>
      <c r="AE169" s="13"/>
      <c r="AF169" s="13"/>
      <c r="AG169" s="27"/>
      <c r="AH169" s="27"/>
      <c r="AI169" s="27"/>
      <c r="AJ169" s="27"/>
      <c r="CL169" s="27"/>
    </row>
    <row r="170" spans="2:90" s="18" customFormat="1" ht="14.1" customHeight="1" x14ac:dyDescent="0.2">
      <c r="B170" s="54"/>
      <c r="C170" s="54"/>
      <c r="D170" s="54"/>
      <c r="E170" s="50"/>
      <c r="F170" s="50"/>
      <c r="G170" s="50"/>
      <c r="H170" s="50"/>
      <c r="I170" s="50"/>
      <c r="J170" s="50"/>
      <c r="K170" s="50"/>
      <c r="L170" s="50"/>
      <c r="M170" s="50"/>
      <c r="N170" s="51"/>
      <c r="O170" s="51"/>
      <c r="P170" s="52"/>
      <c r="Q170" s="55"/>
      <c r="R170" s="55"/>
      <c r="S170" s="55"/>
      <c r="T170" s="55"/>
      <c r="U170" s="55"/>
      <c r="W170" s="27"/>
      <c r="Z170" s="27"/>
      <c r="AA170" s="27"/>
      <c r="AB170" s="27"/>
      <c r="AC170" s="27"/>
      <c r="AD170" s="13"/>
      <c r="AE170" s="13"/>
      <c r="AF170" s="13"/>
      <c r="AG170" s="27"/>
      <c r="AH170" s="27"/>
      <c r="AI170" s="27"/>
      <c r="AJ170" s="27"/>
      <c r="CL170" s="27"/>
    </row>
    <row r="171" spans="2:90" s="18" customFormat="1" ht="14.1" customHeight="1" x14ac:dyDescent="0.2">
      <c r="B171" s="54"/>
      <c r="C171" s="54"/>
      <c r="D171" s="54"/>
      <c r="E171" s="50"/>
      <c r="F171" s="50"/>
      <c r="G171" s="50"/>
      <c r="H171" s="50"/>
      <c r="I171" s="50"/>
      <c r="J171" s="50"/>
      <c r="K171" s="50"/>
      <c r="L171" s="50"/>
      <c r="M171" s="50"/>
      <c r="N171" s="51"/>
      <c r="O171" s="51"/>
      <c r="P171" s="52"/>
      <c r="Q171" s="55"/>
      <c r="R171" s="55"/>
      <c r="S171" s="55"/>
      <c r="T171" s="55"/>
      <c r="U171" s="55"/>
      <c r="W171" s="27"/>
      <c r="Z171" s="27"/>
      <c r="AA171" s="27"/>
      <c r="AB171" s="27"/>
      <c r="AC171" s="27"/>
      <c r="AD171" s="13"/>
      <c r="AE171" s="13"/>
      <c r="AF171" s="13"/>
      <c r="AG171" s="27"/>
      <c r="AH171" s="27"/>
      <c r="AI171" s="27"/>
      <c r="AJ171" s="27"/>
      <c r="CL171" s="27"/>
    </row>
    <row r="172" spans="2:90" s="18" customFormat="1" ht="14.1" customHeight="1" x14ac:dyDescent="0.2">
      <c r="B172" s="54"/>
      <c r="C172" s="54"/>
      <c r="D172" s="54"/>
      <c r="E172" s="50"/>
      <c r="F172" s="50"/>
      <c r="G172" s="50"/>
      <c r="H172" s="50"/>
      <c r="I172" s="50"/>
      <c r="J172" s="50"/>
      <c r="K172" s="50"/>
      <c r="L172" s="50"/>
      <c r="M172" s="50"/>
      <c r="N172" s="51"/>
      <c r="O172" s="51"/>
      <c r="P172" s="52"/>
      <c r="Q172" s="55"/>
      <c r="R172" s="55"/>
      <c r="S172" s="55"/>
      <c r="T172" s="55"/>
      <c r="U172" s="55"/>
      <c r="W172" s="27"/>
      <c r="Z172" s="27"/>
      <c r="AA172" s="27"/>
      <c r="AB172" s="27"/>
      <c r="AC172" s="27"/>
      <c r="AD172" s="13"/>
      <c r="AE172" s="13"/>
      <c r="AF172" s="13"/>
      <c r="AG172" s="27"/>
      <c r="AH172" s="27"/>
      <c r="AI172" s="27"/>
      <c r="AJ172" s="27"/>
      <c r="CL172" s="27"/>
    </row>
    <row r="173" spans="2:90" s="18" customFormat="1" ht="14.1" customHeight="1" x14ac:dyDescent="0.2">
      <c r="B173" s="54"/>
      <c r="C173" s="54"/>
      <c r="D173" s="54"/>
      <c r="E173" s="50"/>
      <c r="F173" s="50"/>
      <c r="G173" s="50"/>
      <c r="H173" s="50"/>
      <c r="I173" s="50"/>
      <c r="J173" s="50"/>
      <c r="K173" s="50"/>
      <c r="L173" s="50"/>
      <c r="M173" s="50"/>
      <c r="N173" s="51"/>
      <c r="O173" s="51"/>
      <c r="P173" s="52"/>
      <c r="Q173" s="55"/>
      <c r="R173" s="55"/>
      <c r="S173" s="55"/>
      <c r="T173" s="55"/>
      <c r="U173" s="55"/>
      <c r="W173" s="27"/>
      <c r="Z173" s="27"/>
      <c r="AA173" s="27"/>
      <c r="AB173" s="27"/>
      <c r="AC173" s="27"/>
      <c r="AD173" s="13"/>
      <c r="AE173" s="13"/>
      <c r="AF173" s="13"/>
      <c r="AG173" s="27"/>
      <c r="AH173" s="27"/>
      <c r="AI173" s="27"/>
      <c r="AJ173" s="27"/>
      <c r="CL173" s="27"/>
    </row>
    <row r="174" spans="2:90" s="18" customFormat="1" ht="14.1" customHeight="1" x14ac:dyDescent="0.2">
      <c r="B174" s="54"/>
      <c r="C174" s="54"/>
      <c r="D174" s="54"/>
      <c r="E174" s="50"/>
      <c r="F174" s="50"/>
      <c r="G174" s="50"/>
      <c r="H174" s="50"/>
      <c r="I174" s="50"/>
      <c r="J174" s="50"/>
      <c r="K174" s="50"/>
      <c r="L174" s="50"/>
      <c r="M174" s="50"/>
      <c r="N174" s="51"/>
      <c r="O174" s="51"/>
      <c r="P174" s="52"/>
      <c r="Q174" s="55"/>
      <c r="R174" s="55"/>
      <c r="S174" s="55"/>
      <c r="T174" s="55"/>
      <c r="U174" s="55"/>
      <c r="W174" s="27"/>
      <c r="Z174" s="27"/>
      <c r="AA174" s="27"/>
      <c r="AB174" s="27"/>
      <c r="AC174" s="27"/>
      <c r="AD174" s="13"/>
      <c r="AE174" s="13"/>
      <c r="AF174" s="13"/>
      <c r="AG174" s="27"/>
      <c r="AH174" s="27"/>
      <c r="AI174" s="27"/>
      <c r="AJ174" s="27"/>
      <c r="CL174" s="27"/>
    </row>
    <row r="175" spans="2:90" s="18" customFormat="1" ht="14.1" customHeight="1" x14ac:dyDescent="0.2">
      <c r="B175" s="54"/>
      <c r="C175" s="54"/>
      <c r="D175" s="54"/>
      <c r="E175" s="50"/>
      <c r="F175" s="50"/>
      <c r="G175" s="50"/>
      <c r="H175" s="50"/>
      <c r="I175" s="50"/>
      <c r="J175" s="50"/>
      <c r="K175" s="50"/>
      <c r="L175" s="50"/>
      <c r="M175" s="50"/>
      <c r="N175" s="51"/>
      <c r="O175" s="51"/>
      <c r="P175" s="52"/>
      <c r="Q175" s="55"/>
      <c r="R175" s="55"/>
      <c r="S175" s="55"/>
      <c r="T175" s="55"/>
      <c r="U175" s="55"/>
      <c r="W175" s="27"/>
      <c r="Z175" s="27"/>
      <c r="AA175" s="27"/>
      <c r="AB175" s="27"/>
      <c r="AC175" s="27"/>
      <c r="AD175" s="13"/>
      <c r="AE175" s="13"/>
      <c r="AF175" s="13"/>
      <c r="AG175" s="27"/>
      <c r="AH175" s="27"/>
      <c r="AI175" s="27"/>
      <c r="AJ175" s="27"/>
      <c r="CL175" s="27"/>
    </row>
    <row r="176" spans="2:90" s="18" customFormat="1" ht="14.1" customHeight="1" x14ac:dyDescent="0.2">
      <c r="B176" s="54"/>
      <c r="C176" s="54"/>
      <c r="D176" s="54"/>
      <c r="E176" s="50"/>
      <c r="F176" s="50"/>
      <c r="G176" s="50"/>
      <c r="H176" s="50"/>
      <c r="I176" s="50"/>
      <c r="J176" s="50"/>
      <c r="K176" s="50"/>
      <c r="L176" s="50"/>
      <c r="M176" s="50"/>
      <c r="N176" s="51"/>
      <c r="O176" s="51"/>
      <c r="P176" s="52"/>
      <c r="Q176" s="55"/>
      <c r="R176" s="55"/>
      <c r="S176" s="55"/>
      <c r="T176" s="55"/>
      <c r="U176" s="55"/>
      <c r="W176" s="27"/>
      <c r="Z176" s="27"/>
      <c r="AA176" s="27"/>
      <c r="AB176" s="27"/>
      <c r="AC176" s="27"/>
      <c r="AD176" s="13"/>
      <c r="AE176" s="13"/>
      <c r="AF176" s="13"/>
      <c r="AG176" s="27"/>
      <c r="AH176" s="27"/>
      <c r="AI176" s="27"/>
      <c r="AJ176" s="27"/>
      <c r="CL176" s="27"/>
    </row>
    <row r="177" spans="2:90" s="18" customFormat="1" ht="14.1" customHeight="1" x14ac:dyDescent="0.2">
      <c r="B177" s="54"/>
      <c r="C177" s="54"/>
      <c r="D177" s="54"/>
      <c r="E177" s="50"/>
      <c r="F177" s="50"/>
      <c r="G177" s="50"/>
      <c r="H177" s="50"/>
      <c r="I177" s="50"/>
      <c r="J177" s="50"/>
      <c r="K177" s="50"/>
      <c r="L177" s="50"/>
      <c r="M177" s="50"/>
      <c r="N177" s="51"/>
      <c r="O177" s="51"/>
      <c r="P177" s="52"/>
      <c r="Q177" s="55"/>
      <c r="R177" s="55"/>
      <c r="S177" s="55"/>
      <c r="T177" s="55"/>
      <c r="U177" s="55"/>
      <c r="W177" s="27"/>
      <c r="Z177" s="27"/>
      <c r="AA177" s="27"/>
      <c r="AB177" s="27"/>
      <c r="AC177" s="27"/>
      <c r="AD177" s="13"/>
      <c r="AE177" s="13"/>
      <c r="AF177" s="13"/>
      <c r="AG177" s="27"/>
      <c r="AH177" s="27"/>
      <c r="AI177" s="27"/>
      <c r="AJ177" s="27"/>
      <c r="CL177" s="27"/>
    </row>
    <row r="178" spans="2:90" s="18" customFormat="1" ht="14.1" customHeight="1" x14ac:dyDescent="0.2">
      <c r="B178" s="54"/>
      <c r="C178" s="54"/>
      <c r="D178" s="54"/>
      <c r="E178" s="50"/>
      <c r="F178" s="50"/>
      <c r="G178" s="50"/>
      <c r="H178" s="50"/>
      <c r="I178" s="50"/>
      <c r="J178" s="50"/>
      <c r="K178" s="50"/>
      <c r="L178" s="50"/>
      <c r="M178" s="50"/>
      <c r="N178" s="51"/>
      <c r="O178" s="51"/>
      <c r="P178" s="52"/>
      <c r="Q178" s="55"/>
      <c r="R178" s="55"/>
      <c r="S178" s="55"/>
      <c r="T178" s="55"/>
      <c r="U178" s="55"/>
      <c r="W178" s="27"/>
      <c r="Z178" s="27"/>
      <c r="AA178" s="27"/>
      <c r="AB178" s="27"/>
      <c r="AC178" s="27"/>
      <c r="AD178" s="13"/>
      <c r="AE178" s="13"/>
      <c r="AF178" s="13"/>
      <c r="AG178" s="27"/>
      <c r="AH178" s="27"/>
      <c r="AI178" s="27"/>
      <c r="AJ178" s="27"/>
      <c r="CL178" s="27"/>
    </row>
    <row r="179" spans="2:90" s="18" customFormat="1" ht="14.1" customHeight="1" x14ac:dyDescent="0.2">
      <c r="B179" s="54"/>
      <c r="C179" s="54"/>
      <c r="D179" s="54"/>
      <c r="E179" s="50"/>
      <c r="F179" s="50"/>
      <c r="G179" s="50"/>
      <c r="H179" s="50"/>
      <c r="I179" s="50"/>
      <c r="J179" s="50"/>
      <c r="K179" s="50"/>
      <c r="L179" s="50"/>
      <c r="M179" s="50"/>
      <c r="N179" s="51"/>
      <c r="O179" s="51"/>
      <c r="P179" s="52"/>
      <c r="Q179" s="55"/>
      <c r="R179" s="55"/>
      <c r="S179" s="55"/>
      <c r="T179" s="55"/>
      <c r="U179" s="55"/>
      <c r="W179" s="27"/>
      <c r="Z179" s="27"/>
      <c r="AA179" s="27"/>
      <c r="AB179" s="27"/>
      <c r="AC179" s="27"/>
      <c r="AD179" s="13"/>
      <c r="AE179" s="13"/>
      <c r="AF179" s="13"/>
      <c r="AG179" s="27"/>
      <c r="AH179" s="27"/>
      <c r="AI179" s="27"/>
      <c r="AJ179" s="27"/>
      <c r="CL179" s="27"/>
    </row>
    <row r="180" spans="2:90" s="18" customFormat="1" ht="14.1" customHeight="1" x14ac:dyDescent="0.2">
      <c r="B180" s="54"/>
      <c r="C180" s="54"/>
      <c r="D180" s="54"/>
      <c r="E180" s="50"/>
      <c r="F180" s="50"/>
      <c r="G180" s="50"/>
      <c r="H180" s="50"/>
      <c r="I180" s="50"/>
      <c r="J180" s="50"/>
      <c r="K180" s="50"/>
      <c r="L180" s="50"/>
      <c r="M180" s="50"/>
      <c r="N180" s="51"/>
      <c r="O180" s="51"/>
      <c r="P180" s="52"/>
      <c r="Q180" s="55"/>
      <c r="R180" s="55"/>
      <c r="S180" s="55"/>
      <c r="T180" s="55"/>
      <c r="U180" s="55"/>
      <c r="W180" s="27"/>
      <c r="Z180" s="27"/>
      <c r="AA180" s="27"/>
      <c r="AB180" s="27"/>
      <c r="AC180" s="27"/>
      <c r="AD180" s="13"/>
      <c r="AE180" s="13"/>
      <c r="AF180" s="13"/>
      <c r="AG180" s="27"/>
      <c r="AH180" s="27"/>
      <c r="AI180" s="27"/>
      <c r="AJ180" s="27"/>
      <c r="CL180" s="27"/>
    </row>
    <row r="181" spans="2:90" s="18" customFormat="1" ht="14.1" customHeight="1" x14ac:dyDescent="0.2">
      <c r="B181" s="54"/>
      <c r="C181" s="54"/>
      <c r="D181" s="54"/>
      <c r="E181" s="50"/>
      <c r="F181" s="50"/>
      <c r="G181" s="50"/>
      <c r="H181" s="50"/>
      <c r="I181" s="50"/>
      <c r="J181" s="50"/>
      <c r="K181" s="50"/>
      <c r="L181" s="50"/>
      <c r="M181" s="50"/>
      <c r="N181" s="51"/>
      <c r="O181" s="51"/>
      <c r="P181" s="52"/>
      <c r="Q181" s="55"/>
      <c r="R181" s="55"/>
      <c r="S181" s="55"/>
      <c r="T181" s="55"/>
      <c r="U181" s="55"/>
      <c r="W181" s="27"/>
      <c r="Z181" s="27"/>
      <c r="AA181" s="27"/>
      <c r="AB181" s="27"/>
      <c r="AC181" s="27"/>
      <c r="AD181" s="13"/>
      <c r="AE181" s="13"/>
      <c r="AF181" s="13"/>
      <c r="AG181" s="27"/>
      <c r="AH181" s="27"/>
      <c r="AI181" s="27"/>
      <c r="AJ181" s="27"/>
      <c r="CL181" s="27"/>
    </row>
    <row r="182" spans="2:90" s="18" customFormat="1" ht="14.1" customHeight="1" x14ac:dyDescent="0.2">
      <c r="B182" s="54"/>
      <c r="C182" s="54"/>
      <c r="D182" s="54"/>
      <c r="E182" s="50"/>
      <c r="F182" s="50"/>
      <c r="G182" s="50"/>
      <c r="H182" s="50"/>
      <c r="I182" s="50"/>
      <c r="J182" s="50"/>
      <c r="K182" s="50"/>
      <c r="L182" s="50"/>
      <c r="M182" s="50"/>
      <c r="N182" s="51"/>
      <c r="O182" s="51"/>
      <c r="P182" s="52"/>
      <c r="Q182" s="55"/>
      <c r="R182" s="55"/>
      <c r="S182" s="55"/>
      <c r="T182" s="55"/>
      <c r="U182" s="55"/>
      <c r="W182" s="27"/>
      <c r="Z182" s="27"/>
      <c r="AA182" s="27"/>
      <c r="AB182" s="27"/>
      <c r="AC182" s="27"/>
      <c r="AD182" s="13"/>
      <c r="AE182" s="13"/>
      <c r="AF182" s="13"/>
      <c r="AG182" s="27"/>
      <c r="AH182" s="27"/>
      <c r="AI182" s="27"/>
      <c r="AJ182" s="27"/>
      <c r="CL182" s="27"/>
    </row>
    <row r="183" spans="2:90" s="18" customFormat="1" ht="14.1" customHeight="1" x14ac:dyDescent="0.2">
      <c r="B183" s="54"/>
      <c r="C183" s="54"/>
      <c r="D183" s="54"/>
      <c r="E183" s="50"/>
      <c r="F183" s="50"/>
      <c r="G183" s="50"/>
      <c r="H183" s="50"/>
      <c r="I183" s="50"/>
      <c r="J183" s="50"/>
      <c r="K183" s="50"/>
      <c r="L183" s="50"/>
      <c r="M183" s="50"/>
      <c r="N183" s="51"/>
      <c r="O183" s="51"/>
      <c r="P183" s="52"/>
      <c r="Q183" s="55"/>
      <c r="R183" s="55"/>
      <c r="S183" s="55"/>
      <c r="T183" s="55"/>
      <c r="U183" s="55"/>
      <c r="W183" s="27"/>
      <c r="Z183" s="27"/>
      <c r="AA183" s="27"/>
      <c r="AB183" s="27"/>
      <c r="AC183" s="27"/>
      <c r="AD183" s="13"/>
      <c r="AE183" s="13"/>
      <c r="AF183" s="13"/>
      <c r="AG183" s="27"/>
      <c r="AH183" s="27"/>
      <c r="AI183" s="27"/>
      <c r="AJ183" s="27"/>
      <c r="CL183" s="27"/>
    </row>
    <row r="184" spans="2:90" s="18" customFormat="1" ht="14.1" customHeight="1" x14ac:dyDescent="0.2">
      <c r="B184" s="54"/>
      <c r="C184" s="54"/>
      <c r="D184" s="54"/>
      <c r="E184" s="50"/>
      <c r="F184" s="50"/>
      <c r="G184" s="50"/>
      <c r="H184" s="50"/>
      <c r="I184" s="50"/>
      <c r="J184" s="50"/>
      <c r="K184" s="50"/>
      <c r="L184" s="50"/>
      <c r="M184" s="50"/>
      <c r="N184" s="51"/>
      <c r="O184" s="51"/>
      <c r="P184" s="52"/>
      <c r="Q184" s="55"/>
      <c r="R184" s="55"/>
      <c r="S184" s="55"/>
      <c r="T184" s="55"/>
      <c r="U184" s="55"/>
      <c r="W184" s="27"/>
      <c r="Z184" s="27"/>
      <c r="AA184" s="27"/>
      <c r="AB184" s="27"/>
      <c r="AC184" s="27"/>
      <c r="AD184" s="13"/>
      <c r="AE184" s="13"/>
      <c r="AF184" s="13"/>
      <c r="AG184" s="27"/>
      <c r="AH184" s="27"/>
      <c r="AI184" s="27"/>
      <c r="AJ184" s="27"/>
      <c r="CL184" s="27"/>
    </row>
    <row r="185" spans="2:90" s="18" customFormat="1" ht="14.1" customHeight="1" x14ac:dyDescent="0.2">
      <c r="B185" s="54"/>
      <c r="C185" s="54"/>
      <c r="D185" s="54"/>
      <c r="E185" s="50"/>
      <c r="F185" s="50"/>
      <c r="G185" s="50"/>
      <c r="H185" s="50"/>
      <c r="I185" s="50"/>
      <c r="J185" s="50"/>
      <c r="K185" s="50"/>
      <c r="L185" s="50"/>
      <c r="M185" s="50"/>
      <c r="N185" s="51"/>
      <c r="O185" s="51"/>
      <c r="P185" s="52"/>
      <c r="Q185" s="55"/>
      <c r="R185" s="55"/>
      <c r="S185" s="55"/>
      <c r="T185" s="55"/>
      <c r="U185" s="55"/>
      <c r="W185" s="27"/>
      <c r="Z185" s="27"/>
      <c r="AA185" s="27"/>
      <c r="AB185" s="27"/>
      <c r="AC185" s="27"/>
      <c r="AD185" s="13"/>
      <c r="AE185" s="13"/>
      <c r="AF185" s="13"/>
      <c r="AG185" s="27"/>
      <c r="AH185" s="27"/>
      <c r="AI185" s="27"/>
      <c r="AJ185" s="27"/>
      <c r="CL185" s="27"/>
    </row>
    <row r="186" spans="2:90" s="18" customFormat="1" ht="14.1" customHeight="1" x14ac:dyDescent="0.2">
      <c r="B186" s="54"/>
      <c r="C186" s="54"/>
      <c r="D186" s="54"/>
      <c r="E186" s="50"/>
      <c r="F186" s="50"/>
      <c r="G186" s="50"/>
      <c r="H186" s="50"/>
      <c r="I186" s="50"/>
      <c r="J186" s="50"/>
      <c r="K186" s="50"/>
      <c r="L186" s="50"/>
      <c r="M186" s="50"/>
      <c r="N186" s="51"/>
      <c r="O186" s="51"/>
      <c r="P186" s="52"/>
      <c r="Q186" s="55"/>
      <c r="R186" s="55"/>
      <c r="S186" s="55"/>
      <c r="T186" s="55"/>
      <c r="U186" s="55"/>
      <c r="W186" s="27"/>
      <c r="Z186" s="27"/>
      <c r="AA186" s="27"/>
      <c r="AB186" s="27"/>
      <c r="AC186" s="27"/>
      <c r="AD186" s="13"/>
      <c r="AE186" s="13"/>
      <c r="AF186" s="13"/>
      <c r="AG186" s="27"/>
      <c r="AH186" s="27"/>
      <c r="AI186" s="27"/>
      <c r="AJ186" s="27"/>
      <c r="CL186" s="27"/>
    </row>
    <row r="187" spans="2:90" s="18" customFormat="1" ht="14.1" customHeight="1" x14ac:dyDescent="0.2">
      <c r="B187" s="54"/>
      <c r="C187" s="54"/>
      <c r="D187" s="54"/>
      <c r="E187" s="50"/>
      <c r="F187" s="50"/>
      <c r="G187" s="50"/>
      <c r="H187" s="50"/>
      <c r="I187" s="50"/>
      <c r="J187" s="50"/>
      <c r="K187" s="50"/>
      <c r="L187" s="50"/>
      <c r="M187" s="50"/>
      <c r="N187" s="51"/>
      <c r="O187" s="51"/>
      <c r="P187" s="52"/>
      <c r="Q187" s="55"/>
      <c r="R187" s="55"/>
      <c r="S187" s="55"/>
      <c r="T187" s="55"/>
      <c r="U187" s="55"/>
      <c r="W187" s="27"/>
      <c r="Z187" s="27"/>
      <c r="AA187" s="27"/>
      <c r="AB187" s="27"/>
      <c r="AC187" s="27"/>
      <c r="AD187" s="13"/>
      <c r="AE187" s="13"/>
      <c r="AF187" s="13"/>
      <c r="AG187" s="27"/>
      <c r="AH187" s="27"/>
      <c r="AI187" s="27"/>
      <c r="AJ187" s="27"/>
      <c r="CL187" s="27"/>
    </row>
    <row r="188" spans="2:90" s="18" customFormat="1" ht="14.1" customHeight="1" x14ac:dyDescent="0.2">
      <c r="B188" s="54"/>
      <c r="C188" s="54"/>
      <c r="D188" s="54"/>
      <c r="E188" s="50"/>
      <c r="F188" s="50"/>
      <c r="G188" s="50"/>
      <c r="H188" s="50"/>
      <c r="I188" s="50"/>
      <c r="J188" s="50"/>
      <c r="K188" s="50"/>
      <c r="L188" s="50"/>
      <c r="M188" s="50"/>
      <c r="N188" s="51"/>
      <c r="O188" s="51"/>
      <c r="P188" s="52"/>
      <c r="Q188" s="55"/>
      <c r="R188" s="55"/>
      <c r="S188" s="55"/>
      <c r="T188" s="55"/>
      <c r="U188" s="55"/>
      <c r="W188" s="27"/>
      <c r="Z188" s="27"/>
      <c r="AA188" s="27"/>
      <c r="AB188" s="27"/>
      <c r="AC188" s="27"/>
      <c r="AD188" s="13"/>
      <c r="AE188" s="13"/>
      <c r="AF188" s="13"/>
      <c r="AG188" s="27"/>
      <c r="AH188" s="27"/>
      <c r="AI188" s="27"/>
      <c r="AJ188" s="27"/>
      <c r="CL188" s="27"/>
    </row>
    <row r="189" spans="2:90" s="18" customFormat="1" ht="14.1" customHeight="1" x14ac:dyDescent="0.2">
      <c r="B189" s="54"/>
      <c r="C189" s="54"/>
      <c r="D189" s="54"/>
      <c r="E189" s="50"/>
      <c r="F189" s="50"/>
      <c r="G189" s="50"/>
      <c r="H189" s="50"/>
      <c r="I189" s="50"/>
      <c r="J189" s="50"/>
      <c r="K189" s="50"/>
      <c r="L189" s="50"/>
      <c r="M189" s="50"/>
      <c r="N189" s="51"/>
      <c r="O189" s="51"/>
      <c r="P189" s="52"/>
      <c r="Q189" s="55"/>
      <c r="R189" s="55"/>
      <c r="S189" s="55"/>
      <c r="T189" s="55"/>
      <c r="U189" s="55"/>
      <c r="W189" s="27"/>
      <c r="Z189" s="27"/>
      <c r="AA189" s="27"/>
      <c r="AB189" s="27"/>
      <c r="AC189" s="27"/>
      <c r="AD189" s="13"/>
      <c r="AE189" s="13"/>
      <c r="AF189" s="13"/>
      <c r="AG189" s="27"/>
      <c r="AH189" s="27"/>
      <c r="AI189" s="27"/>
      <c r="AJ189" s="27"/>
      <c r="CL189" s="27"/>
    </row>
    <row r="190" spans="2:90" s="18" customFormat="1" ht="14.1" customHeight="1" x14ac:dyDescent="0.2">
      <c r="B190" s="54"/>
      <c r="C190" s="54"/>
      <c r="D190" s="54"/>
      <c r="E190" s="50"/>
      <c r="F190" s="50"/>
      <c r="G190" s="50"/>
      <c r="H190" s="50"/>
      <c r="I190" s="50"/>
      <c r="J190" s="50"/>
      <c r="K190" s="50"/>
      <c r="L190" s="50"/>
      <c r="M190" s="50"/>
      <c r="N190" s="51"/>
      <c r="O190" s="51"/>
      <c r="P190" s="52"/>
      <c r="Q190" s="55"/>
      <c r="R190" s="55"/>
      <c r="S190" s="55"/>
      <c r="T190" s="55"/>
      <c r="U190" s="55"/>
      <c r="W190" s="27"/>
      <c r="Z190" s="27"/>
      <c r="AA190" s="27"/>
      <c r="AB190" s="27"/>
      <c r="AC190" s="27"/>
      <c r="AD190" s="13"/>
      <c r="AE190" s="13"/>
      <c r="AF190" s="13"/>
      <c r="AG190" s="27"/>
      <c r="AH190" s="27"/>
      <c r="AI190" s="27"/>
      <c r="AJ190" s="27"/>
      <c r="CL190" s="27"/>
    </row>
    <row r="191" spans="2:90" s="18" customFormat="1" ht="14.1" customHeight="1" x14ac:dyDescent="0.2">
      <c r="B191" s="54"/>
      <c r="C191" s="54"/>
      <c r="D191" s="54"/>
      <c r="E191" s="50"/>
      <c r="F191" s="50"/>
      <c r="G191" s="50"/>
      <c r="H191" s="50"/>
      <c r="I191" s="50"/>
      <c r="J191" s="50"/>
      <c r="K191" s="50"/>
      <c r="L191" s="50"/>
      <c r="M191" s="50"/>
      <c r="N191" s="51"/>
      <c r="O191" s="51"/>
      <c r="P191" s="52"/>
      <c r="Q191" s="55"/>
      <c r="R191" s="55"/>
      <c r="S191" s="55"/>
      <c r="T191" s="55"/>
      <c r="U191" s="55"/>
      <c r="W191" s="27"/>
      <c r="Z191" s="27"/>
      <c r="AA191" s="27"/>
      <c r="AB191" s="27"/>
      <c r="AC191" s="27"/>
      <c r="AD191" s="13"/>
      <c r="AE191" s="13"/>
      <c r="AF191" s="13"/>
      <c r="AG191" s="27"/>
      <c r="AH191" s="27"/>
      <c r="AI191" s="27"/>
      <c r="AJ191" s="27"/>
      <c r="CL191" s="27"/>
    </row>
    <row r="192" spans="2:90" s="18" customFormat="1" ht="14.1" customHeight="1" x14ac:dyDescent="0.2">
      <c r="B192" s="54"/>
      <c r="C192" s="54"/>
      <c r="D192" s="54"/>
      <c r="E192" s="50"/>
      <c r="F192" s="50"/>
      <c r="G192" s="50"/>
      <c r="H192" s="50"/>
      <c r="I192" s="50"/>
      <c r="J192" s="50"/>
      <c r="K192" s="50"/>
      <c r="L192" s="50"/>
      <c r="M192" s="50"/>
      <c r="N192" s="51"/>
      <c r="O192" s="51"/>
      <c r="P192" s="52"/>
      <c r="Q192" s="55"/>
      <c r="R192" s="55"/>
      <c r="S192" s="55"/>
      <c r="T192" s="55"/>
      <c r="U192" s="55"/>
      <c r="W192" s="27"/>
      <c r="Z192" s="27"/>
      <c r="AA192" s="27"/>
      <c r="AB192" s="27"/>
      <c r="AC192" s="27"/>
      <c r="AD192" s="13"/>
      <c r="AE192" s="13"/>
      <c r="AF192" s="13"/>
      <c r="AG192" s="27"/>
      <c r="AH192" s="27"/>
      <c r="AI192" s="27"/>
      <c r="AJ192" s="27"/>
      <c r="CL192" s="27"/>
    </row>
    <row r="193" spans="2:90" s="18" customFormat="1" ht="14.1" customHeight="1" x14ac:dyDescent="0.2">
      <c r="B193" s="54"/>
      <c r="C193" s="54"/>
      <c r="D193" s="54"/>
      <c r="E193" s="50"/>
      <c r="F193" s="50"/>
      <c r="G193" s="50"/>
      <c r="H193" s="50"/>
      <c r="I193" s="50"/>
      <c r="J193" s="50"/>
      <c r="K193" s="50"/>
      <c r="L193" s="50"/>
      <c r="M193" s="50"/>
      <c r="N193" s="51"/>
      <c r="O193" s="51"/>
      <c r="P193" s="52"/>
      <c r="Q193" s="55"/>
      <c r="R193" s="55"/>
      <c r="S193" s="55"/>
      <c r="T193" s="55"/>
      <c r="U193" s="55"/>
      <c r="W193" s="27"/>
      <c r="Z193" s="27"/>
      <c r="AA193" s="27"/>
      <c r="AB193" s="27"/>
      <c r="AC193" s="27"/>
      <c r="AD193" s="13"/>
      <c r="AE193" s="13"/>
      <c r="AF193" s="13"/>
      <c r="AG193" s="27"/>
      <c r="AH193" s="27"/>
      <c r="AI193" s="27"/>
      <c r="AJ193" s="27"/>
      <c r="CL193" s="27"/>
    </row>
    <row r="194" spans="2:90" s="18" customFormat="1" ht="14.1" customHeight="1" x14ac:dyDescent="0.2">
      <c r="B194" s="54"/>
      <c r="C194" s="54"/>
      <c r="D194" s="54"/>
      <c r="E194" s="50"/>
      <c r="F194" s="50"/>
      <c r="G194" s="50"/>
      <c r="H194" s="50"/>
      <c r="I194" s="50"/>
      <c r="J194" s="50"/>
      <c r="K194" s="50"/>
      <c r="L194" s="50"/>
      <c r="M194" s="50"/>
      <c r="N194" s="51"/>
      <c r="O194" s="51"/>
      <c r="P194" s="52"/>
      <c r="Q194" s="55"/>
      <c r="R194" s="55"/>
      <c r="S194" s="55"/>
      <c r="T194" s="55"/>
      <c r="U194" s="55"/>
      <c r="W194" s="27"/>
      <c r="Z194" s="27"/>
      <c r="AA194" s="27"/>
      <c r="AB194" s="27"/>
      <c r="AC194" s="27"/>
      <c r="AD194" s="13"/>
      <c r="AE194" s="13"/>
      <c r="AF194" s="13"/>
      <c r="AG194" s="27"/>
      <c r="AH194" s="27"/>
      <c r="AI194" s="27"/>
      <c r="AJ194" s="27"/>
      <c r="CL194" s="27"/>
    </row>
    <row r="195" spans="2:90" s="18" customFormat="1" ht="14.1" customHeight="1" x14ac:dyDescent="0.2">
      <c r="B195" s="54"/>
      <c r="C195" s="54"/>
      <c r="D195" s="54"/>
      <c r="E195" s="50"/>
      <c r="F195" s="50"/>
      <c r="G195" s="50"/>
      <c r="H195" s="50"/>
      <c r="I195" s="50"/>
      <c r="J195" s="50"/>
      <c r="K195" s="50"/>
      <c r="L195" s="50"/>
      <c r="M195" s="50"/>
      <c r="N195" s="51"/>
      <c r="O195" s="51"/>
      <c r="P195" s="52"/>
      <c r="Q195" s="55"/>
      <c r="R195" s="55"/>
      <c r="S195" s="55"/>
      <c r="T195" s="55"/>
      <c r="U195" s="55"/>
      <c r="W195" s="27"/>
      <c r="Z195" s="27"/>
      <c r="AA195" s="27"/>
      <c r="AB195" s="27"/>
      <c r="AC195" s="27"/>
      <c r="AD195" s="13"/>
      <c r="AE195" s="13"/>
      <c r="AF195" s="13"/>
      <c r="AG195" s="27"/>
      <c r="AH195" s="27"/>
      <c r="AI195" s="27"/>
      <c r="AJ195" s="27"/>
      <c r="CL195" s="27"/>
    </row>
    <row r="196" spans="2:90" s="18" customFormat="1" ht="14.1" customHeight="1" x14ac:dyDescent="0.2">
      <c r="B196" s="54"/>
      <c r="C196" s="54"/>
      <c r="D196" s="54"/>
      <c r="E196" s="50"/>
      <c r="F196" s="50"/>
      <c r="G196" s="50"/>
      <c r="H196" s="50"/>
      <c r="I196" s="50"/>
      <c r="J196" s="50"/>
      <c r="K196" s="50"/>
      <c r="L196" s="50"/>
      <c r="M196" s="50"/>
      <c r="N196" s="51"/>
      <c r="O196" s="51"/>
      <c r="P196" s="52"/>
      <c r="Q196" s="55"/>
      <c r="R196" s="55"/>
      <c r="S196" s="55"/>
      <c r="T196" s="55"/>
      <c r="U196" s="55"/>
      <c r="W196" s="27"/>
      <c r="Z196" s="27"/>
      <c r="AA196" s="27"/>
      <c r="AB196" s="27"/>
      <c r="AC196" s="27"/>
      <c r="AD196" s="13"/>
      <c r="AE196" s="13"/>
      <c r="AF196" s="13"/>
      <c r="AG196" s="27"/>
      <c r="AH196" s="27"/>
      <c r="AI196" s="27"/>
      <c r="AJ196" s="27"/>
      <c r="CL196" s="27"/>
    </row>
    <row r="197" spans="2:90" s="18" customFormat="1" ht="14.1" customHeight="1" x14ac:dyDescent="0.2">
      <c r="B197" s="54"/>
      <c r="C197" s="54"/>
      <c r="D197" s="54"/>
      <c r="E197" s="50"/>
      <c r="F197" s="50"/>
      <c r="G197" s="50"/>
      <c r="H197" s="50"/>
      <c r="I197" s="50"/>
      <c r="J197" s="50"/>
      <c r="K197" s="50"/>
      <c r="L197" s="50"/>
      <c r="M197" s="50"/>
      <c r="N197" s="51"/>
      <c r="O197" s="51"/>
      <c r="P197" s="52"/>
      <c r="Q197" s="55"/>
      <c r="R197" s="55"/>
      <c r="S197" s="55"/>
      <c r="T197" s="55"/>
      <c r="U197" s="55"/>
      <c r="W197" s="27"/>
      <c r="Z197" s="27"/>
      <c r="AA197" s="27"/>
      <c r="AB197" s="27"/>
      <c r="AC197" s="27"/>
      <c r="AD197" s="13"/>
      <c r="AE197" s="13"/>
      <c r="AF197" s="13"/>
      <c r="AG197" s="27"/>
      <c r="AH197" s="27"/>
      <c r="AI197" s="27"/>
      <c r="AJ197" s="27"/>
      <c r="CL197" s="27"/>
    </row>
    <row r="198" spans="2:90" s="18" customFormat="1" ht="14.1" customHeight="1" x14ac:dyDescent="0.2">
      <c r="B198" s="54"/>
      <c r="C198" s="54"/>
      <c r="D198" s="54"/>
      <c r="E198" s="50"/>
      <c r="F198" s="50"/>
      <c r="G198" s="50"/>
      <c r="H198" s="50"/>
      <c r="I198" s="50"/>
      <c r="J198" s="50"/>
      <c r="K198" s="50"/>
      <c r="L198" s="50"/>
      <c r="M198" s="50"/>
      <c r="N198" s="51"/>
      <c r="O198" s="51"/>
      <c r="P198" s="52"/>
      <c r="Q198" s="55"/>
      <c r="R198" s="55"/>
      <c r="S198" s="55"/>
      <c r="T198" s="55"/>
      <c r="U198" s="55"/>
      <c r="W198" s="27"/>
      <c r="Z198" s="27"/>
      <c r="AA198" s="27"/>
      <c r="AB198" s="27"/>
      <c r="AC198" s="27"/>
      <c r="AD198" s="13"/>
      <c r="AE198" s="13"/>
      <c r="AF198" s="13"/>
      <c r="AG198" s="27"/>
      <c r="AH198" s="27"/>
      <c r="AI198" s="27"/>
      <c r="AJ198" s="27"/>
      <c r="CL198" s="27"/>
    </row>
    <row r="199" spans="2:90" s="18" customFormat="1" ht="14.1" customHeight="1" x14ac:dyDescent="0.2">
      <c r="B199" s="54"/>
      <c r="C199" s="54"/>
      <c r="D199" s="54"/>
      <c r="E199" s="50"/>
      <c r="F199" s="50"/>
      <c r="G199" s="50"/>
      <c r="H199" s="50"/>
      <c r="I199" s="50"/>
      <c r="J199" s="50"/>
      <c r="K199" s="50"/>
      <c r="L199" s="50"/>
      <c r="M199" s="50"/>
      <c r="N199" s="51"/>
      <c r="O199" s="51"/>
      <c r="P199" s="52"/>
      <c r="Q199" s="55"/>
      <c r="R199" s="55"/>
      <c r="S199" s="55"/>
      <c r="T199" s="55"/>
      <c r="U199" s="55"/>
      <c r="W199" s="27"/>
      <c r="Z199" s="27"/>
      <c r="AA199" s="27"/>
      <c r="AB199" s="27"/>
      <c r="AC199" s="27"/>
      <c r="AD199" s="13"/>
      <c r="AE199" s="13"/>
      <c r="AF199" s="13"/>
      <c r="AG199" s="27"/>
      <c r="AH199" s="27"/>
      <c r="AI199" s="27"/>
      <c r="AJ199" s="27"/>
      <c r="CL199" s="27"/>
    </row>
    <row r="200" spans="2:90" s="18" customFormat="1" ht="14.1" customHeight="1" x14ac:dyDescent="0.2">
      <c r="B200" s="54"/>
      <c r="C200" s="54"/>
      <c r="D200" s="54"/>
      <c r="E200" s="50"/>
      <c r="F200" s="50"/>
      <c r="G200" s="50"/>
      <c r="H200" s="50"/>
      <c r="I200" s="50"/>
      <c r="J200" s="50"/>
      <c r="K200" s="50"/>
      <c r="L200" s="50"/>
      <c r="M200" s="50"/>
      <c r="N200" s="51"/>
      <c r="O200" s="51"/>
      <c r="P200" s="52"/>
      <c r="Q200" s="55"/>
      <c r="R200" s="55"/>
      <c r="S200" s="55"/>
      <c r="T200" s="55"/>
      <c r="U200" s="55"/>
      <c r="W200" s="27"/>
      <c r="Z200" s="27"/>
      <c r="AA200" s="27"/>
      <c r="AB200" s="27"/>
      <c r="AC200" s="27"/>
      <c r="AD200" s="13"/>
      <c r="AE200" s="13"/>
      <c r="AF200" s="13"/>
      <c r="AG200" s="27"/>
      <c r="AH200" s="27"/>
      <c r="AI200" s="27"/>
      <c r="AJ200" s="27"/>
      <c r="CL200" s="27"/>
    </row>
    <row r="201" spans="2:90" s="18" customFormat="1" ht="14.1" customHeight="1" x14ac:dyDescent="0.2">
      <c r="B201" s="54"/>
      <c r="C201" s="54"/>
      <c r="D201" s="54"/>
      <c r="E201" s="50"/>
      <c r="F201" s="50"/>
      <c r="G201" s="50"/>
      <c r="H201" s="50"/>
      <c r="I201" s="50"/>
      <c r="J201" s="50"/>
      <c r="K201" s="50"/>
      <c r="L201" s="50"/>
      <c r="M201" s="50"/>
      <c r="N201" s="51"/>
      <c r="O201" s="51"/>
      <c r="P201" s="52"/>
      <c r="Q201" s="55"/>
      <c r="R201" s="55"/>
      <c r="S201" s="55"/>
      <c r="T201" s="55"/>
      <c r="U201" s="55"/>
      <c r="W201" s="27"/>
      <c r="Z201" s="27"/>
      <c r="AA201" s="27"/>
      <c r="AB201" s="27"/>
      <c r="AC201" s="27"/>
      <c r="AD201" s="13"/>
      <c r="AE201" s="13"/>
      <c r="AF201" s="13"/>
      <c r="AG201" s="27"/>
      <c r="AH201" s="27"/>
      <c r="AI201" s="27"/>
      <c r="AJ201" s="27"/>
      <c r="CL201" s="27"/>
    </row>
    <row r="202" spans="2:90" s="18" customFormat="1" ht="14.1" customHeight="1" x14ac:dyDescent="0.2">
      <c r="B202" s="54"/>
      <c r="C202" s="54"/>
      <c r="D202" s="54"/>
      <c r="E202" s="50"/>
      <c r="F202" s="50"/>
      <c r="G202" s="50"/>
      <c r="H202" s="50"/>
      <c r="I202" s="50"/>
      <c r="J202" s="50"/>
      <c r="K202" s="50"/>
      <c r="L202" s="50"/>
      <c r="M202" s="50"/>
      <c r="N202" s="51"/>
      <c r="O202" s="51"/>
      <c r="P202" s="52"/>
      <c r="Q202" s="55"/>
      <c r="R202" s="55"/>
      <c r="S202" s="55"/>
      <c r="T202" s="55"/>
      <c r="U202" s="55"/>
      <c r="W202" s="27"/>
      <c r="Z202" s="27"/>
      <c r="AA202" s="27"/>
      <c r="AB202" s="27"/>
      <c r="AC202" s="27"/>
      <c r="AD202" s="13"/>
      <c r="AE202" s="13"/>
      <c r="AF202" s="13"/>
      <c r="AG202" s="27"/>
      <c r="AH202" s="27"/>
      <c r="AI202" s="27"/>
      <c r="AJ202" s="27"/>
      <c r="CL202" s="27"/>
    </row>
    <row r="203" spans="2:90" s="18" customFormat="1" ht="14.1" customHeight="1" x14ac:dyDescent="0.2">
      <c r="B203" s="54"/>
      <c r="C203" s="54"/>
      <c r="D203" s="54"/>
      <c r="E203" s="50"/>
      <c r="F203" s="50"/>
      <c r="G203" s="50"/>
      <c r="H203" s="50"/>
      <c r="I203" s="50"/>
      <c r="J203" s="50"/>
      <c r="K203" s="50"/>
      <c r="L203" s="50"/>
      <c r="M203" s="50"/>
      <c r="N203" s="51"/>
      <c r="O203" s="51"/>
      <c r="P203" s="52"/>
      <c r="Q203" s="55"/>
      <c r="R203" s="55"/>
      <c r="S203" s="55"/>
      <c r="T203" s="55"/>
      <c r="U203" s="55"/>
      <c r="W203" s="27"/>
      <c r="Z203" s="27"/>
      <c r="AA203" s="27"/>
      <c r="AB203" s="27"/>
      <c r="AC203" s="27"/>
      <c r="AD203" s="13"/>
      <c r="AE203" s="13"/>
      <c r="AF203" s="13"/>
      <c r="AG203" s="27"/>
      <c r="AH203" s="27"/>
      <c r="AI203" s="27"/>
      <c r="AJ203" s="27"/>
      <c r="CL203" s="27"/>
    </row>
    <row r="204" spans="2:90" s="18" customFormat="1" ht="14.1" customHeight="1" x14ac:dyDescent="0.2">
      <c r="B204" s="54"/>
      <c r="C204" s="54"/>
      <c r="D204" s="54"/>
      <c r="E204" s="50"/>
      <c r="F204" s="50"/>
      <c r="G204" s="50"/>
      <c r="H204" s="50"/>
      <c r="I204" s="50"/>
      <c r="J204" s="50"/>
      <c r="K204" s="50"/>
      <c r="L204" s="50"/>
      <c r="M204" s="50"/>
      <c r="N204" s="51"/>
      <c r="O204" s="51"/>
      <c r="P204" s="52"/>
      <c r="Q204" s="55"/>
      <c r="R204" s="55"/>
      <c r="S204" s="55"/>
      <c r="T204" s="55"/>
      <c r="U204" s="55"/>
      <c r="W204" s="27"/>
      <c r="Z204" s="27"/>
      <c r="AA204" s="27"/>
      <c r="AB204" s="27"/>
      <c r="AC204" s="27"/>
      <c r="AD204" s="13"/>
      <c r="AE204" s="13"/>
      <c r="AF204" s="13"/>
      <c r="AG204" s="27"/>
      <c r="AH204" s="27"/>
      <c r="AI204" s="27"/>
      <c r="AJ204" s="27"/>
      <c r="CL204" s="27"/>
    </row>
    <row r="205" spans="2:90" s="18" customFormat="1" ht="14.1" customHeight="1" x14ac:dyDescent="0.2">
      <c r="B205" s="54"/>
      <c r="C205" s="54"/>
      <c r="D205" s="54"/>
      <c r="E205" s="50"/>
      <c r="F205" s="50"/>
      <c r="G205" s="50"/>
      <c r="H205" s="50"/>
      <c r="I205" s="50"/>
      <c r="J205" s="50"/>
      <c r="K205" s="50"/>
      <c r="L205" s="50"/>
      <c r="M205" s="50"/>
      <c r="N205" s="51"/>
      <c r="O205" s="51"/>
      <c r="P205" s="52"/>
      <c r="Q205" s="55"/>
      <c r="R205" s="55"/>
      <c r="S205" s="55"/>
      <c r="T205" s="55"/>
      <c r="U205" s="55"/>
      <c r="W205" s="27"/>
      <c r="Z205" s="27"/>
      <c r="AA205" s="27"/>
      <c r="AB205" s="27"/>
      <c r="AC205" s="27"/>
      <c r="AD205" s="13"/>
      <c r="AE205" s="13"/>
      <c r="AF205" s="13"/>
      <c r="AG205" s="27"/>
      <c r="AH205" s="27"/>
      <c r="AI205" s="27"/>
      <c r="AJ205" s="27"/>
      <c r="CL205" s="27"/>
    </row>
    <row r="206" spans="2:90" s="18" customFormat="1" ht="14.1" customHeight="1" x14ac:dyDescent="0.2">
      <c r="B206" s="54"/>
      <c r="C206" s="54"/>
      <c r="D206" s="54"/>
      <c r="E206" s="50"/>
      <c r="F206" s="50"/>
      <c r="G206" s="50"/>
      <c r="H206" s="50"/>
      <c r="I206" s="50"/>
      <c r="J206" s="50"/>
      <c r="K206" s="50"/>
      <c r="L206" s="50"/>
      <c r="M206" s="50"/>
      <c r="N206" s="51"/>
      <c r="O206" s="51"/>
      <c r="P206" s="52"/>
      <c r="Q206" s="55"/>
      <c r="R206" s="55"/>
      <c r="S206" s="55"/>
      <c r="T206" s="55"/>
      <c r="U206" s="55"/>
      <c r="W206" s="27"/>
      <c r="Z206" s="27"/>
      <c r="AA206" s="27"/>
      <c r="AB206" s="27"/>
      <c r="AC206" s="27"/>
      <c r="AD206" s="13"/>
      <c r="AE206" s="13"/>
      <c r="AF206" s="13"/>
      <c r="AG206" s="27"/>
      <c r="AH206" s="27"/>
      <c r="AI206" s="27"/>
      <c r="AJ206" s="27"/>
      <c r="CL206" s="27"/>
    </row>
    <row r="207" spans="2:90" s="18" customFormat="1" ht="14.1" customHeight="1" x14ac:dyDescent="0.2">
      <c r="B207" s="54"/>
      <c r="C207" s="54"/>
      <c r="D207" s="54"/>
      <c r="E207" s="50"/>
      <c r="F207" s="50"/>
      <c r="G207" s="50"/>
      <c r="H207" s="50"/>
      <c r="I207" s="50"/>
      <c r="J207" s="50"/>
      <c r="K207" s="50"/>
      <c r="L207" s="50"/>
      <c r="M207" s="50"/>
      <c r="N207" s="51"/>
      <c r="O207" s="51"/>
      <c r="P207" s="52"/>
      <c r="Q207" s="55"/>
      <c r="R207" s="55"/>
      <c r="S207" s="55"/>
      <c r="T207" s="55"/>
      <c r="U207" s="55"/>
      <c r="W207" s="27"/>
      <c r="Z207" s="27"/>
      <c r="AA207" s="27"/>
      <c r="AB207" s="27"/>
      <c r="AC207" s="27"/>
      <c r="AD207" s="13"/>
      <c r="AE207" s="13"/>
      <c r="AF207" s="13"/>
      <c r="AG207" s="27"/>
      <c r="AH207" s="27"/>
      <c r="AI207" s="27"/>
      <c r="AJ207" s="27"/>
      <c r="CL207" s="27"/>
    </row>
    <row r="208" spans="2:90" s="18" customFormat="1" ht="14.1" customHeight="1" x14ac:dyDescent="0.2">
      <c r="B208" s="54"/>
      <c r="C208" s="54"/>
      <c r="D208" s="54"/>
      <c r="E208" s="50"/>
      <c r="F208" s="50"/>
      <c r="G208" s="50"/>
      <c r="H208" s="50"/>
      <c r="I208" s="50"/>
      <c r="J208" s="50"/>
      <c r="K208" s="50"/>
      <c r="L208" s="50"/>
      <c r="M208" s="50"/>
      <c r="N208" s="51"/>
      <c r="O208" s="51"/>
      <c r="P208" s="52"/>
      <c r="Q208" s="55"/>
      <c r="R208" s="55"/>
      <c r="S208" s="55"/>
      <c r="T208" s="55"/>
      <c r="U208" s="55"/>
      <c r="W208" s="27"/>
      <c r="Z208" s="27"/>
      <c r="AA208" s="27"/>
      <c r="AB208" s="27"/>
      <c r="AC208" s="27"/>
      <c r="AD208" s="13"/>
      <c r="AE208" s="13"/>
      <c r="AF208" s="13"/>
      <c r="AG208" s="27"/>
      <c r="AH208" s="27"/>
      <c r="AI208" s="27"/>
      <c r="AJ208" s="27"/>
      <c r="CL208" s="27"/>
    </row>
    <row r="209" spans="2:90" s="18" customFormat="1" ht="14.1" customHeight="1" x14ac:dyDescent="0.2">
      <c r="B209" s="54"/>
      <c r="C209" s="54"/>
      <c r="D209" s="54"/>
      <c r="E209" s="50"/>
      <c r="F209" s="50"/>
      <c r="G209" s="50"/>
      <c r="H209" s="50"/>
      <c r="I209" s="50"/>
      <c r="J209" s="50"/>
      <c r="K209" s="50"/>
      <c r="L209" s="50"/>
      <c r="M209" s="50"/>
      <c r="N209" s="51"/>
      <c r="O209" s="51"/>
      <c r="P209" s="52"/>
      <c r="Q209" s="55"/>
      <c r="R209" s="55"/>
      <c r="S209" s="55"/>
      <c r="T209" s="55"/>
      <c r="U209" s="55"/>
      <c r="W209" s="27"/>
      <c r="Z209" s="27"/>
      <c r="AA209" s="27"/>
      <c r="AB209" s="27"/>
      <c r="AC209" s="27"/>
      <c r="AD209" s="13"/>
      <c r="AE209" s="13"/>
      <c r="AF209" s="13"/>
      <c r="AG209" s="27"/>
      <c r="AH209" s="27"/>
      <c r="AI209" s="27"/>
      <c r="AJ209" s="27"/>
      <c r="CL209" s="27"/>
    </row>
    <row r="210" spans="2:90" s="18" customFormat="1" ht="14.1" customHeight="1" x14ac:dyDescent="0.2">
      <c r="B210" s="54"/>
      <c r="C210" s="54"/>
      <c r="D210" s="54"/>
      <c r="E210" s="50"/>
      <c r="F210" s="50"/>
      <c r="G210" s="50"/>
      <c r="H210" s="50"/>
      <c r="I210" s="50"/>
      <c r="J210" s="50"/>
      <c r="K210" s="50"/>
      <c r="L210" s="50"/>
      <c r="M210" s="50"/>
      <c r="N210" s="51"/>
      <c r="O210" s="51"/>
      <c r="P210" s="52"/>
      <c r="Q210" s="55"/>
      <c r="R210" s="55"/>
      <c r="S210" s="55"/>
      <c r="T210" s="55"/>
      <c r="U210" s="55"/>
      <c r="W210" s="27"/>
      <c r="Z210" s="27"/>
      <c r="AA210" s="27"/>
      <c r="AB210" s="27"/>
      <c r="AC210" s="27"/>
      <c r="AD210" s="13"/>
      <c r="AE210" s="13"/>
      <c r="AF210" s="13"/>
      <c r="AG210" s="27"/>
      <c r="AH210" s="27"/>
      <c r="AI210" s="27"/>
      <c r="AJ210" s="27"/>
      <c r="CL210" s="27"/>
    </row>
    <row r="211" spans="2:90" s="18" customFormat="1" ht="14.1" customHeight="1" x14ac:dyDescent="0.2">
      <c r="B211" s="54"/>
      <c r="C211" s="54"/>
      <c r="D211" s="54"/>
      <c r="E211" s="50"/>
      <c r="F211" s="50"/>
      <c r="G211" s="50"/>
      <c r="H211" s="50"/>
      <c r="I211" s="50"/>
      <c r="J211" s="50"/>
      <c r="K211" s="50"/>
      <c r="L211" s="50"/>
      <c r="M211" s="50"/>
      <c r="N211" s="51"/>
      <c r="O211" s="51"/>
      <c r="P211" s="52"/>
      <c r="Q211" s="55"/>
      <c r="R211" s="55"/>
      <c r="S211" s="55"/>
      <c r="T211" s="55"/>
      <c r="U211" s="55"/>
      <c r="W211" s="27"/>
      <c r="Z211" s="27"/>
      <c r="AA211" s="27"/>
      <c r="AB211" s="27"/>
      <c r="AC211" s="27"/>
      <c r="AD211" s="13"/>
      <c r="AE211" s="13"/>
      <c r="AF211" s="13"/>
      <c r="AG211" s="27"/>
      <c r="AH211" s="27"/>
      <c r="AI211" s="27"/>
      <c r="AJ211" s="27"/>
      <c r="CL211" s="27"/>
    </row>
    <row r="212" spans="2:90" s="18" customFormat="1" ht="14.1" customHeight="1" x14ac:dyDescent="0.2">
      <c r="B212" s="54"/>
      <c r="C212" s="54"/>
      <c r="D212" s="54"/>
      <c r="E212" s="50"/>
      <c r="F212" s="50"/>
      <c r="G212" s="50"/>
      <c r="H212" s="50"/>
      <c r="I212" s="50"/>
      <c r="J212" s="50"/>
      <c r="K212" s="50"/>
      <c r="L212" s="50"/>
      <c r="M212" s="50"/>
      <c r="N212" s="51"/>
      <c r="O212" s="51"/>
      <c r="P212" s="52"/>
      <c r="Q212" s="55"/>
      <c r="R212" s="55"/>
      <c r="S212" s="55"/>
      <c r="T212" s="55"/>
      <c r="U212" s="55"/>
      <c r="W212" s="27"/>
      <c r="Z212" s="27"/>
      <c r="AA212" s="27"/>
      <c r="AB212" s="27"/>
      <c r="AC212" s="27"/>
      <c r="AD212" s="13"/>
      <c r="AE212" s="13"/>
      <c r="AF212" s="13"/>
      <c r="AG212" s="27"/>
      <c r="AH212" s="27"/>
      <c r="AI212" s="27"/>
      <c r="AJ212" s="27"/>
      <c r="CL212" s="27"/>
    </row>
    <row r="213" spans="2:90" s="18" customFormat="1" ht="14.1" customHeight="1" x14ac:dyDescent="0.2">
      <c r="B213" s="54"/>
      <c r="C213" s="54"/>
      <c r="D213" s="54"/>
      <c r="E213" s="50"/>
      <c r="F213" s="50"/>
      <c r="G213" s="50"/>
      <c r="H213" s="50"/>
      <c r="I213" s="50"/>
      <c r="J213" s="50"/>
      <c r="K213" s="50"/>
      <c r="L213" s="50"/>
      <c r="M213" s="50"/>
      <c r="N213" s="51"/>
      <c r="O213" s="51"/>
      <c r="P213" s="52"/>
      <c r="Q213" s="55"/>
      <c r="R213" s="55"/>
      <c r="S213" s="55"/>
      <c r="T213" s="55"/>
      <c r="U213" s="55"/>
      <c r="W213" s="27"/>
      <c r="Z213" s="27"/>
      <c r="AA213" s="27"/>
      <c r="AB213" s="27"/>
      <c r="AC213" s="27"/>
      <c r="AD213" s="13"/>
      <c r="AE213" s="13"/>
      <c r="AF213" s="13"/>
      <c r="AG213" s="27"/>
      <c r="AH213" s="27"/>
      <c r="AI213" s="27"/>
      <c r="AJ213" s="27"/>
      <c r="CL213" s="27"/>
    </row>
    <row r="214" spans="2:90" s="18" customFormat="1" ht="14.1" customHeight="1" x14ac:dyDescent="0.2">
      <c r="B214" s="54"/>
      <c r="C214" s="54"/>
      <c r="D214" s="54"/>
      <c r="E214" s="50"/>
      <c r="F214" s="50"/>
      <c r="G214" s="50"/>
      <c r="H214" s="50"/>
      <c r="I214" s="50"/>
      <c r="J214" s="50"/>
      <c r="K214" s="50"/>
      <c r="L214" s="50"/>
      <c r="M214" s="50"/>
      <c r="N214" s="51"/>
      <c r="O214" s="51"/>
      <c r="P214" s="52"/>
      <c r="Q214" s="55"/>
      <c r="R214" s="55"/>
      <c r="S214" s="55"/>
      <c r="T214" s="55"/>
      <c r="U214" s="55"/>
      <c r="W214" s="27"/>
      <c r="Z214" s="27"/>
      <c r="AA214" s="27"/>
      <c r="AB214" s="27"/>
      <c r="AC214" s="27"/>
      <c r="AD214" s="13"/>
      <c r="AE214" s="13"/>
      <c r="AF214" s="13"/>
      <c r="AG214" s="27"/>
      <c r="AH214" s="27"/>
      <c r="AI214" s="27"/>
      <c r="AJ214" s="27"/>
      <c r="CL214" s="27"/>
    </row>
    <row r="215" spans="2:90" s="18" customFormat="1" ht="14.1" customHeight="1" x14ac:dyDescent="0.2">
      <c r="B215" s="54"/>
      <c r="C215" s="54"/>
      <c r="D215" s="54"/>
      <c r="E215" s="50"/>
      <c r="F215" s="50"/>
      <c r="G215" s="50"/>
      <c r="H215" s="50"/>
      <c r="I215" s="50"/>
      <c r="J215" s="50"/>
      <c r="K215" s="50"/>
      <c r="L215" s="50"/>
      <c r="M215" s="50"/>
      <c r="N215" s="51"/>
      <c r="O215" s="51"/>
      <c r="P215" s="52"/>
      <c r="Q215" s="55"/>
      <c r="R215" s="55"/>
      <c r="S215" s="55"/>
      <c r="T215" s="55"/>
      <c r="U215" s="55"/>
      <c r="W215" s="27"/>
      <c r="Z215" s="27"/>
      <c r="AA215" s="27"/>
      <c r="AB215" s="27"/>
      <c r="AC215" s="27"/>
      <c r="AD215" s="13"/>
      <c r="AE215" s="13"/>
      <c r="AF215" s="13"/>
      <c r="AG215" s="27"/>
      <c r="AH215" s="27"/>
      <c r="AI215" s="27"/>
      <c r="AJ215" s="27"/>
      <c r="CL215" s="27"/>
    </row>
    <row r="216" spans="2:90" s="18" customFormat="1" ht="14.1" customHeight="1" x14ac:dyDescent="0.2">
      <c r="B216" s="54"/>
      <c r="C216" s="54"/>
      <c r="D216" s="54"/>
      <c r="E216" s="50"/>
      <c r="F216" s="50"/>
      <c r="G216" s="50"/>
      <c r="H216" s="50"/>
      <c r="I216" s="50"/>
      <c r="J216" s="50"/>
      <c r="K216" s="50"/>
      <c r="L216" s="50"/>
      <c r="M216" s="50"/>
      <c r="N216" s="51"/>
      <c r="O216" s="51"/>
      <c r="P216" s="52"/>
      <c r="Q216" s="55"/>
      <c r="R216" s="55"/>
      <c r="S216" s="55"/>
      <c r="T216" s="55"/>
      <c r="U216" s="55"/>
      <c r="W216" s="27"/>
      <c r="Z216" s="27"/>
      <c r="AA216" s="27"/>
      <c r="AB216" s="27"/>
      <c r="AC216" s="27"/>
      <c r="AD216" s="13"/>
      <c r="AE216" s="13"/>
      <c r="AF216" s="13"/>
      <c r="AG216" s="27"/>
      <c r="AH216" s="27"/>
      <c r="AI216" s="27"/>
      <c r="AJ216" s="27"/>
      <c r="CL216" s="27"/>
    </row>
    <row r="217" spans="2:90" s="18" customFormat="1" ht="14.1" customHeight="1" x14ac:dyDescent="0.2">
      <c r="B217" s="54"/>
      <c r="C217" s="54"/>
      <c r="D217" s="54"/>
      <c r="E217" s="50"/>
      <c r="F217" s="50"/>
      <c r="G217" s="50"/>
      <c r="H217" s="50"/>
      <c r="I217" s="50"/>
      <c r="J217" s="50"/>
      <c r="K217" s="50"/>
      <c r="L217" s="50"/>
      <c r="M217" s="50"/>
      <c r="N217" s="51"/>
      <c r="O217" s="51"/>
      <c r="P217" s="52"/>
      <c r="Q217" s="55"/>
      <c r="R217" s="55"/>
      <c r="S217" s="55"/>
      <c r="T217" s="55"/>
      <c r="U217" s="55"/>
      <c r="W217" s="27"/>
      <c r="Z217" s="27"/>
      <c r="AA217" s="27"/>
      <c r="AB217" s="27"/>
      <c r="AC217" s="27"/>
      <c r="AD217" s="13"/>
      <c r="AE217" s="13"/>
      <c r="AF217" s="13"/>
      <c r="AG217" s="27"/>
      <c r="AH217" s="27"/>
      <c r="AI217" s="27"/>
      <c r="AJ217" s="27"/>
      <c r="CL217" s="27"/>
    </row>
    <row r="218" spans="2:90" s="18" customFormat="1" ht="14.1" customHeight="1" x14ac:dyDescent="0.2">
      <c r="B218" s="54"/>
      <c r="C218" s="54"/>
      <c r="D218" s="54"/>
      <c r="E218" s="50"/>
      <c r="F218" s="50"/>
      <c r="G218" s="50"/>
      <c r="H218" s="50"/>
      <c r="I218" s="50"/>
      <c r="J218" s="50"/>
      <c r="K218" s="50"/>
      <c r="L218" s="50"/>
      <c r="M218" s="50"/>
      <c r="N218" s="51"/>
      <c r="O218" s="51"/>
      <c r="P218" s="52"/>
      <c r="Q218" s="55"/>
      <c r="R218" s="55"/>
      <c r="S218" s="55"/>
      <c r="T218" s="55"/>
      <c r="U218" s="55"/>
      <c r="W218" s="27"/>
      <c r="Z218" s="27"/>
      <c r="AA218" s="27"/>
      <c r="AB218" s="27"/>
      <c r="AC218" s="27"/>
      <c r="AD218" s="13"/>
      <c r="AE218" s="13"/>
      <c r="AF218" s="13"/>
      <c r="AG218" s="27"/>
      <c r="AH218" s="27"/>
      <c r="AI218" s="27"/>
      <c r="AJ218" s="27"/>
      <c r="CL218" s="27"/>
    </row>
    <row r="219" spans="2:90" s="18" customFormat="1" ht="14.1" customHeight="1" x14ac:dyDescent="0.2">
      <c r="B219" s="54"/>
      <c r="C219" s="54"/>
      <c r="D219" s="54"/>
      <c r="E219" s="50"/>
      <c r="F219" s="50"/>
      <c r="G219" s="50"/>
      <c r="H219" s="50"/>
      <c r="I219" s="50"/>
      <c r="J219" s="50"/>
      <c r="K219" s="50"/>
      <c r="L219" s="50"/>
      <c r="M219" s="50"/>
      <c r="N219" s="51"/>
      <c r="O219" s="51"/>
      <c r="P219" s="52"/>
      <c r="Q219" s="55"/>
      <c r="R219" s="55"/>
      <c r="S219" s="55"/>
      <c r="T219" s="55"/>
      <c r="U219" s="55"/>
      <c r="W219" s="27"/>
      <c r="Z219" s="27"/>
      <c r="AA219" s="27"/>
      <c r="AB219" s="27"/>
      <c r="AC219" s="27"/>
      <c r="AD219" s="13"/>
      <c r="AE219" s="13"/>
      <c r="AF219" s="13"/>
      <c r="AG219" s="27"/>
      <c r="AH219" s="27"/>
      <c r="AI219" s="27"/>
      <c r="AJ219" s="27"/>
      <c r="CL219" s="27"/>
    </row>
    <row r="220" spans="2:90" s="18" customFormat="1" ht="14.1" customHeight="1" x14ac:dyDescent="0.2">
      <c r="B220" s="54"/>
      <c r="C220" s="54"/>
      <c r="D220" s="54"/>
      <c r="E220" s="50"/>
      <c r="F220" s="50"/>
      <c r="G220" s="50"/>
      <c r="H220" s="50"/>
      <c r="I220" s="50"/>
      <c r="J220" s="50"/>
      <c r="K220" s="50"/>
      <c r="L220" s="50"/>
      <c r="M220" s="50"/>
      <c r="N220" s="51"/>
      <c r="O220" s="51"/>
      <c r="P220" s="52"/>
      <c r="Q220" s="55"/>
      <c r="R220" s="55"/>
      <c r="S220" s="55"/>
      <c r="T220" s="55"/>
      <c r="U220" s="55"/>
      <c r="W220" s="27"/>
      <c r="Z220" s="27"/>
      <c r="AA220" s="27"/>
      <c r="AB220" s="27"/>
      <c r="AC220" s="27"/>
      <c r="AD220" s="13"/>
      <c r="AE220" s="13"/>
      <c r="AF220" s="13"/>
      <c r="AG220" s="27"/>
      <c r="AH220" s="27"/>
      <c r="AI220" s="27"/>
      <c r="AJ220" s="27"/>
      <c r="CL220" s="27"/>
    </row>
    <row r="221" spans="2:90" s="18" customFormat="1" ht="14.1" customHeight="1" x14ac:dyDescent="0.2">
      <c r="B221" s="54"/>
      <c r="C221" s="54"/>
      <c r="D221" s="54"/>
      <c r="E221" s="50"/>
      <c r="F221" s="50"/>
      <c r="G221" s="50"/>
      <c r="H221" s="50"/>
      <c r="I221" s="50"/>
      <c r="J221" s="50"/>
      <c r="K221" s="50"/>
      <c r="L221" s="50"/>
      <c r="M221" s="50"/>
      <c r="N221" s="51"/>
      <c r="O221" s="51"/>
      <c r="P221" s="52"/>
      <c r="Q221" s="55"/>
      <c r="R221" s="55"/>
      <c r="S221" s="55"/>
      <c r="T221" s="55"/>
      <c r="U221" s="55"/>
      <c r="W221" s="27"/>
      <c r="Z221" s="27"/>
      <c r="AA221" s="27"/>
      <c r="AB221" s="27"/>
      <c r="AC221" s="27"/>
      <c r="AD221" s="13"/>
      <c r="AE221" s="13"/>
      <c r="AF221" s="13"/>
      <c r="AG221" s="27"/>
      <c r="AH221" s="27"/>
      <c r="AI221" s="27"/>
      <c r="AJ221" s="27"/>
      <c r="CL221" s="27"/>
    </row>
    <row r="222" spans="2:90" s="18" customFormat="1" ht="14.1" customHeight="1" x14ac:dyDescent="0.2">
      <c r="B222" s="54"/>
      <c r="C222" s="54"/>
      <c r="D222" s="54"/>
      <c r="E222" s="50"/>
      <c r="F222" s="50"/>
      <c r="G222" s="50"/>
      <c r="H222" s="50"/>
      <c r="I222" s="50"/>
      <c r="J222" s="50"/>
      <c r="K222" s="50"/>
      <c r="L222" s="50"/>
      <c r="M222" s="50"/>
      <c r="N222" s="51"/>
      <c r="O222" s="51"/>
      <c r="P222" s="52"/>
      <c r="Q222" s="55"/>
      <c r="R222" s="55"/>
      <c r="S222" s="55"/>
      <c r="T222" s="55"/>
      <c r="U222" s="55"/>
      <c r="W222" s="27"/>
      <c r="Z222" s="27"/>
      <c r="AA222" s="27"/>
      <c r="AB222" s="27"/>
      <c r="AC222" s="27"/>
      <c r="AD222" s="13"/>
      <c r="AE222" s="13"/>
      <c r="AF222" s="13"/>
      <c r="AG222" s="27"/>
      <c r="AH222" s="27"/>
      <c r="AI222" s="27"/>
      <c r="AJ222" s="27"/>
      <c r="CL222" s="27"/>
    </row>
    <row r="223" spans="2:90" s="18" customFormat="1" ht="14.1" customHeight="1" x14ac:dyDescent="0.2">
      <c r="B223" s="54"/>
      <c r="C223" s="54"/>
      <c r="D223" s="54"/>
      <c r="E223" s="50"/>
      <c r="F223" s="50"/>
      <c r="G223" s="50"/>
      <c r="H223" s="50"/>
      <c r="I223" s="50"/>
      <c r="J223" s="50"/>
      <c r="K223" s="50"/>
      <c r="L223" s="50"/>
      <c r="M223" s="50"/>
      <c r="N223" s="51"/>
      <c r="O223" s="51"/>
      <c r="P223" s="52"/>
      <c r="Q223" s="55"/>
      <c r="R223" s="55"/>
      <c r="S223" s="55"/>
      <c r="T223" s="55"/>
      <c r="U223" s="55"/>
      <c r="W223" s="27"/>
      <c r="Z223" s="27"/>
      <c r="AA223" s="27"/>
      <c r="AB223" s="27"/>
      <c r="AC223" s="27"/>
      <c r="AD223" s="13"/>
      <c r="AE223" s="13"/>
      <c r="AF223" s="13"/>
      <c r="AG223" s="27"/>
      <c r="AH223" s="27"/>
      <c r="AI223" s="27"/>
      <c r="AJ223" s="27"/>
      <c r="CL223" s="27"/>
    </row>
    <row r="224" spans="2:90" s="18" customFormat="1" ht="14.1" customHeight="1" x14ac:dyDescent="0.2">
      <c r="B224" s="54"/>
      <c r="C224" s="54"/>
      <c r="D224" s="54"/>
      <c r="E224" s="50"/>
      <c r="F224" s="50"/>
      <c r="G224" s="50"/>
      <c r="H224" s="50"/>
      <c r="I224" s="50"/>
      <c r="J224" s="50"/>
      <c r="K224" s="50"/>
      <c r="L224" s="50"/>
      <c r="M224" s="50"/>
      <c r="N224" s="51"/>
      <c r="O224" s="51"/>
      <c r="P224" s="52"/>
      <c r="Q224" s="55"/>
      <c r="R224" s="55"/>
      <c r="S224" s="55"/>
      <c r="T224" s="55"/>
      <c r="U224" s="55"/>
      <c r="W224" s="27"/>
      <c r="Z224" s="27"/>
      <c r="AA224" s="27"/>
      <c r="AB224" s="27"/>
      <c r="AC224" s="27"/>
      <c r="AD224" s="13"/>
      <c r="AE224" s="13"/>
      <c r="AF224" s="13"/>
      <c r="AG224" s="27"/>
      <c r="AH224" s="27"/>
      <c r="AI224" s="27"/>
      <c r="AJ224" s="27"/>
      <c r="CL224" s="27"/>
    </row>
    <row r="225" spans="2:90" s="18" customFormat="1" ht="14.1" customHeight="1" x14ac:dyDescent="0.2">
      <c r="B225" s="54"/>
      <c r="C225" s="54"/>
      <c r="D225" s="54"/>
      <c r="E225" s="50"/>
      <c r="F225" s="50"/>
      <c r="G225" s="50"/>
      <c r="H225" s="50"/>
      <c r="I225" s="50"/>
      <c r="J225" s="50"/>
      <c r="K225" s="50"/>
      <c r="L225" s="50"/>
      <c r="M225" s="50"/>
      <c r="N225" s="51"/>
      <c r="O225" s="51"/>
      <c r="P225" s="52"/>
      <c r="Q225" s="55"/>
      <c r="R225" s="55"/>
      <c r="S225" s="55"/>
      <c r="T225" s="55"/>
      <c r="U225" s="55"/>
      <c r="W225" s="27"/>
      <c r="Z225" s="27"/>
      <c r="AA225" s="27"/>
      <c r="AB225" s="27"/>
      <c r="AC225" s="27"/>
      <c r="AD225" s="13"/>
      <c r="AE225" s="13"/>
      <c r="AF225" s="13"/>
      <c r="AG225" s="27"/>
      <c r="AH225" s="27"/>
      <c r="AI225" s="27"/>
      <c r="AJ225" s="27"/>
      <c r="CL225" s="27"/>
    </row>
    <row r="226" spans="2:90" s="18" customFormat="1" ht="14.1" customHeight="1" x14ac:dyDescent="0.2">
      <c r="B226" s="54"/>
      <c r="C226" s="54"/>
      <c r="D226" s="54"/>
      <c r="E226" s="50"/>
      <c r="F226" s="50"/>
      <c r="G226" s="50"/>
      <c r="H226" s="50"/>
      <c r="I226" s="50"/>
      <c r="J226" s="50"/>
      <c r="K226" s="50"/>
      <c r="L226" s="50"/>
      <c r="M226" s="50"/>
      <c r="N226" s="51"/>
      <c r="O226" s="51"/>
      <c r="P226" s="52"/>
      <c r="Q226" s="55"/>
      <c r="R226" s="55"/>
      <c r="S226" s="55"/>
      <c r="T226" s="55"/>
      <c r="U226" s="55"/>
      <c r="W226" s="27"/>
      <c r="Z226" s="27"/>
      <c r="AA226" s="27"/>
      <c r="AB226" s="27"/>
      <c r="AC226" s="27"/>
      <c r="AD226" s="13"/>
      <c r="AE226" s="13"/>
      <c r="AF226" s="13"/>
      <c r="AG226" s="27"/>
      <c r="AH226" s="27"/>
      <c r="AI226" s="27"/>
      <c r="AJ226" s="27"/>
      <c r="CL226" s="27"/>
    </row>
    <row r="227" spans="2:90" s="18" customFormat="1" ht="14.1" customHeight="1" x14ac:dyDescent="0.2">
      <c r="B227" s="54"/>
      <c r="C227" s="54"/>
      <c r="D227" s="54"/>
      <c r="E227" s="50"/>
      <c r="F227" s="50"/>
      <c r="G227" s="50"/>
      <c r="H227" s="50"/>
      <c r="I227" s="50"/>
      <c r="J227" s="50"/>
      <c r="K227" s="50"/>
      <c r="L227" s="50"/>
      <c r="M227" s="50"/>
      <c r="N227" s="51"/>
      <c r="O227" s="51"/>
      <c r="P227" s="52"/>
      <c r="Q227" s="55"/>
      <c r="R227" s="55"/>
      <c r="S227" s="55"/>
      <c r="T227" s="55"/>
      <c r="U227" s="55"/>
      <c r="W227" s="27"/>
      <c r="Z227" s="27"/>
      <c r="AA227" s="27"/>
      <c r="AB227" s="27"/>
      <c r="AC227" s="27"/>
      <c r="AD227" s="13"/>
      <c r="AE227" s="13"/>
      <c r="AF227" s="13"/>
      <c r="AG227" s="27"/>
      <c r="AH227" s="27"/>
      <c r="AI227" s="27"/>
      <c r="AJ227" s="27"/>
      <c r="CL227" s="27"/>
    </row>
    <row r="228" spans="2:90" s="18" customFormat="1" ht="14.1" customHeight="1" x14ac:dyDescent="0.2">
      <c r="B228" s="54"/>
      <c r="C228" s="54"/>
      <c r="D228" s="54"/>
      <c r="E228" s="50"/>
      <c r="F228" s="50"/>
      <c r="G228" s="50"/>
      <c r="H228" s="50"/>
      <c r="I228" s="50"/>
      <c r="J228" s="50"/>
      <c r="K228" s="50"/>
      <c r="L228" s="50"/>
      <c r="M228" s="50"/>
      <c r="N228" s="51"/>
      <c r="O228" s="51"/>
      <c r="P228" s="52"/>
      <c r="Q228" s="55"/>
      <c r="R228" s="55"/>
      <c r="S228" s="55"/>
      <c r="T228" s="55"/>
      <c r="U228" s="55"/>
      <c r="W228" s="27"/>
      <c r="Z228" s="27"/>
      <c r="AA228" s="27"/>
      <c r="AB228" s="27"/>
      <c r="AC228" s="27"/>
      <c r="AD228" s="13"/>
      <c r="AE228" s="13"/>
      <c r="AF228" s="13"/>
      <c r="AG228" s="27"/>
      <c r="AH228" s="27"/>
      <c r="AI228" s="27"/>
      <c r="AJ228" s="27"/>
      <c r="CL228" s="27"/>
    </row>
    <row r="229" spans="2:90" s="18" customFormat="1" ht="14.1" customHeight="1" x14ac:dyDescent="0.2">
      <c r="B229" s="54"/>
      <c r="C229" s="54"/>
      <c r="D229" s="54"/>
      <c r="E229" s="50"/>
      <c r="F229" s="50"/>
      <c r="G229" s="50"/>
      <c r="H229" s="50"/>
      <c r="I229" s="50"/>
      <c r="J229" s="50"/>
      <c r="K229" s="50"/>
      <c r="L229" s="50"/>
      <c r="M229" s="50"/>
      <c r="N229" s="51"/>
      <c r="O229" s="51"/>
      <c r="P229" s="52"/>
      <c r="Q229" s="55"/>
      <c r="R229" s="55"/>
      <c r="S229" s="55"/>
      <c r="T229" s="55"/>
      <c r="U229" s="55"/>
      <c r="W229" s="27"/>
      <c r="Z229" s="27"/>
      <c r="AA229" s="27"/>
      <c r="AB229" s="27"/>
      <c r="AC229" s="27"/>
      <c r="AD229" s="13"/>
      <c r="AE229" s="13"/>
      <c r="AF229" s="13"/>
      <c r="AG229" s="27"/>
      <c r="AH229" s="27"/>
      <c r="AI229" s="27"/>
      <c r="AJ229" s="27"/>
      <c r="CL229" s="27"/>
    </row>
    <row r="230" spans="2:90" s="18" customFormat="1" ht="14.1" customHeight="1" x14ac:dyDescent="0.2">
      <c r="B230" s="54"/>
      <c r="C230" s="54"/>
      <c r="D230" s="54"/>
      <c r="E230" s="50"/>
      <c r="F230" s="50"/>
      <c r="G230" s="50"/>
      <c r="H230" s="50"/>
      <c r="I230" s="50"/>
      <c r="J230" s="50"/>
      <c r="K230" s="50"/>
      <c r="L230" s="50"/>
      <c r="M230" s="50"/>
      <c r="N230" s="51"/>
      <c r="O230" s="51"/>
      <c r="P230" s="52"/>
      <c r="Q230" s="55"/>
      <c r="R230" s="55"/>
      <c r="S230" s="55"/>
      <c r="T230" s="55"/>
      <c r="U230" s="55"/>
      <c r="W230" s="27"/>
      <c r="Z230" s="27"/>
      <c r="AA230" s="27"/>
      <c r="AB230" s="27"/>
      <c r="AC230" s="27"/>
      <c r="AD230" s="13"/>
      <c r="AE230" s="13"/>
      <c r="AF230" s="13"/>
      <c r="AG230" s="27"/>
      <c r="AH230" s="27"/>
      <c r="AI230" s="27"/>
      <c r="AJ230" s="27"/>
      <c r="CL230" s="27"/>
    </row>
    <row r="231" spans="2:90" s="18" customFormat="1" ht="14.1" customHeight="1" x14ac:dyDescent="0.2">
      <c r="B231" s="54"/>
      <c r="C231" s="54"/>
      <c r="D231" s="54"/>
      <c r="E231" s="50"/>
      <c r="F231" s="50"/>
      <c r="G231" s="50"/>
      <c r="H231" s="50"/>
      <c r="I231" s="50"/>
      <c r="J231" s="50"/>
      <c r="K231" s="50"/>
      <c r="L231" s="50"/>
      <c r="M231" s="50"/>
      <c r="N231" s="51"/>
      <c r="O231" s="51"/>
      <c r="P231" s="52"/>
      <c r="Q231" s="55"/>
      <c r="R231" s="55"/>
      <c r="S231" s="55"/>
      <c r="T231" s="55"/>
      <c r="U231" s="55"/>
      <c r="W231" s="27"/>
      <c r="Z231" s="27"/>
      <c r="AA231" s="27"/>
      <c r="AB231" s="27"/>
      <c r="AC231" s="27"/>
      <c r="AD231" s="13"/>
      <c r="AE231" s="13"/>
      <c r="AF231" s="13"/>
      <c r="AG231" s="27"/>
      <c r="AH231" s="27"/>
      <c r="AI231" s="27"/>
      <c r="AJ231" s="27"/>
      <c r="CL231" s="27"/>
    </row>
    <row r="232" spans="2:90" s="18" customFormat="1" ht="14.1" customHeight="1" x14ac:dyDescent="0.2">
      <c r="B232" s="54"/>
      <c r="C232" s="54"/>
      <c r="D232" s="54"/>
      <c r="E232" s="50"/>
      <c r="F232" s="50"/>
      <c r="G232" s="50"/>
      <c r="H232" s="50"/>
      <c r="I232" s="50"/>
      <c r="J232" s="50"/>
      <c r="K232" s="50"/>
      <c r="L232" s="50"/>
      <c r="M232" s="50"/>
      <c r="N232" s="51"/>
      <c r="O232" s="51"/>
      <c r="P232" s="52"/>
      <c r="Q232" s="55"/>
      <c r="R232" s="55"/>
      <c r="S232" s="55"/>
      <c r="T232" s="55"/>
      <c r="U232" s="55"/>
      <c r="W232" s="27"/>
      <c r="Z232" s="27"/>
      <c r="AA232" s="27"/>
      <c r="AB232" s="27"/>
      <c r="AC232" s="27"/>
      <c r="AD232" s="13"/>
      <c r="AE232" s="13"/>
      <c r="AF232" s="13"/>
      <c r="AG232" s="27"/>
      <c r="AH232" s="27"/>
      <c r="AI232" s="27"/>
      <c r="AJ232" s="27"/>
      <c r="CL232" s="27"/>
    </row>
    <row r="233" spans="2:90" s="18" customFormat="1" ht="14.1" customHeight="1" x14ac:dyDescent="0.2">
      <c r="B233" s="54"/>
      <c r="C233" s="54"/>
      <c r="D233" s="54"/>
      <c r="E233" s="50"/>
      <c r="F233" s="50"/>
      <c r="G233" s="50"/>
      <c r="H233" s="50"/>
      <c r="I233" s="50"/>
      <c r="J233" s="50"/>
      <c r="K233" s="50"/>
      <c r="L233" s="50"/>
      <c r="M233" s="50"/>
      <c r="N233" s="51"/>
      <c r="O233" s="51"/>
      <c r="P233" s="52"/>
      <c r="Q233" s="55"/>
      <c r="R233" s="55"/>
      <c r="S233" s="55"/>
      <c r="T233" s="55"/>
      <c r="U233" s="55"/>
      <c r="W233" s="27"/>
      <c r="Z233" s="27"/>
      <c r="AA233" s="27"/>
      <c r="AB233" s="27"/>
      <c r="AC233" s="27"/>
      <c r="AD233" s="13"/>
      <c r="AE233" s="13"/>
      <c r="AF233" s="13"/>
      <c r="AG233" s="27"/>
      <c r="AH233" s="27"/>
      <c r="AI233" s="27"/>
      <c r="AJ233" s="27"/>
      <c r="CL233" s="27"/>
    </row>
    <row r="234" spans="2:90" s="18" customFormat="1" ht="14.1" customHeight="1" x14ac:dyDescent="0.2">
      <c r="B234" s="54"/>
      <c r="C234" s="54"/>
      <c r="D234" s="54"/>
      <c r="E234" s="50"/>
      <c r="F234" s="50"/>
      <c r="G234" s="50"/>
      <c r="H234" s="50"/>
      <c r="I234" s="50"/>
      <c r="J234" s="50"/>
      <c r="K234" s="50"/>
      <c r="L234" s="50"/>
      <c r="M234" s="50"/>
      <c r="N234" s="51"/>
      <c r="O234" s="51"/>
      <c r="P234" s="52"/>
      <c r="Q234" s="55"/>
      <c r="R234" s="55"/>
      <c r="S234" s="55"/>
      <c r="T234" s="55"/>
      <c r="U234" s="55"/>
      <c r="W234" s="27"/>
      <c r="Z234" s="27"/>
      <c r="AA234" s="27"/>
      <c r="AB234" s="27"/>
      <c r="AC234" s="27"/>
      <c r="AD234" s="13"/>
      <c r="AE234" s="13"/>
      <c r="AF234" s="13"/>
      <c r="AG234" s="27"/>
      <c r="AH234" s="27"/>
      <c r="AI234" s="27"/>
      <c r="AJ234" s="27"/>
      <c r="CL234" s="27"/>
    </row>
    <row r="235" spans="2:90" s="18" customFormat="1" ht="14.1" customHeight="1" x14ac:dyDescent="0.2">
      <c r="B235" s="54"/>
      <c r="C235" s="54"/>
      <c r="D235" s="54"/>
      <c r="E235" s="50"/>
      <c r="F235" s="50"/>
      <c r="G235" s="50"/>
      <c r="H235" s="50"/>
      <c r="I235" s="50"/>
      <c r="J235" s="50"/>
      <c r="K235" s="50"/>
      <c r="L235" s="50"/>
      <c r="M235" s="50"/>
      <c r="N235" s="51"/>
      <c r="O235" s="51"/>
      <c r="P235" s="52"/>
      <c r="Q235" s="55"/>
      <c r="R235" s="55"/>
      <c r="S235" s="55"/>
      <c r="T235" s="55"/>
      <c r="U235" s="55"/>
      <c r="W235" s="27"/>
      <c r="Z235" s="27"/>
      <c r="AA235" s="27"/>
      <c r="AB235" s="27"/>
      <c r="AC235" s="27"/>
      <c r="AD235" s="13"/>
      <c r="AE235" s="13"/>
      <c r="AF235" s="13"/>
      <c r="AG235" s="27"/>
      <c r="AH235" s="27"/>
      <c r="AI235" s="27"/>
      <c r="AJ235" s="27"/>
      <c r="CL235" s="27"/>
    </row>
    <row r="236" spans="2:90" s="18" customFormat="1" ht="14.1" customHeight="1" x14ac:dyDescent="0.2">
      <c r="B236" s="54"/>
      <c r="C236" s="54"/>
      <c r="D236" s="54"/>
      <c r="E236" s="50"/>
      <c r="F236" s="50"/>
      <c r="G236" s="50"/>
      <c r="H236" s="50"/>
      <c r="I236" s="50"/>
      <c r="J236" s="50"/>
      <c r="K236" s="50"/>
      <c r="L236" s="50"/>
      <c r="M236" s="50"/>
      <c r="N236" s="51"/>
      <c r="O236" s="51"/>
      <c r="P236" s="52"/>
      <c r="Q236" s="55"/>
      <c r="R236" s="55"/>
      <c r="S236" s="55"/>
      <c r="T236" s="55"/>
      <c r="U236" s="55"/>
      <c r="W236" s="27"/>
      <c r="Z236" s="27"/>
      <c r="AA236" s="27"/>
      <c r="AB236" s="27"/>
      <c r="AC236" s="27"/>
      <c r="AD236" s="13"/>
      <c r="AE236" s="13"/>
      <c r="AF236" s="13"/>
      <c r="AG236" s="27"/>
      <c r="AH236" s="27"/>
      <c r="AI236" s="27"/>
      <c r="AJ236" s="27"/>
      <c r="CL236" s="27"/>
    </row>
    <row r="237" spans="2:90" s="18" customFormat="1" ht="14.1" customHeight="1" x14ac:dyDescent="0.2">
      <c r="B237" s="54"/>
      <c r="C237" s="54"/>
      <c r="D237" s="54"/>
      <c r="E237" s="50"/>
      <c r="F237" s="50"/>
      <c r="G237" s="50"/>
      <c r="H237" s="50"/>
      <c r="I237" s="50"/>
      <c r="J237" s="50"/>
      <c r="K237" s="50"/>
      <c r="L237" s="50"/>
      <c r="M237" s="50"/>
      <c r="N237" s="51"/>
      <c r="O237" s="51"/>
      <c r="P237" s="52"/>
      <c r="Q237" s="55"/>
      <c r="R237" s="55"/>
      <c r="S237" s="55"/>
      <c r="T237" s="55"/>
      <c r="U237" s="55"/>
      <c r="W237" s="27"/>
      <c r="Z237" s="27"/>
      <c r="AA237" s="27"/>
      <c r="AB237" s="27"/>
      <c r="AC237" s="27"/>
      <c r="AD237" s="13"/>
      <c r="AE237" s="13"/>
      <c r="AF237" s="13"/>
      <c r="AG237" s="27"/>
      <c r="AH237" s="27"/>
      <c r="AI237" s="27"/>
      <c r="AJ237" s="27"/>
      <c r="CL237" s="27"/>
    </row>
    <row r="238" spans="2:90" s="18" customFormat="1" ht="14.1" customHeight="1" x14ac:dyDescent="0.2">
      <c r="B238" s="54"/>
      <c r="C238" s="54"/>
      <c r="D238" s="54"/>
      <c r="E238" s="50"/>
      <c r="F238" s="50"/>
      <c r="G238" s="50"/>
      <c r="H238" s="50"/>
      <c r="I238" s="50"/>
      <c r="J238" s="50"/>
      <c r="K238" s="50"/>
      <c r="L238" s="50"/>
      <c r="M238" s="50"/>
      <c r="N238" s="51"/>
      <c r="O238" s="51"/>
      <c r="P238" s="52"/>
      <c r="Q238" s="55"/>
      <c r="R238" s="55"/>
      <c r="S238" s="55"/>
      <c r="T238" s="55"/>
      <c r="U238" s="55"/>
      <c r="W238" s="27"/>
      <c r="Z238" s="27"/>
      <c r="AA238" s="27"/>
      <c r="AB238" s="27"/>
      <c r="AC238" s="27"/>
      <c r="AD238" s="13"/>
      <c r="AE238" s="13"/>
      <c r="AF238" s="13"/>
      <c r="AG238" s="27"/>
      <c r="AH238" s="27"/>
      <c r="AI238" s="27"/>
      <c r="AJ238" s="27"/>
      <c r="CL238" s="27"/>
    </row>
    <row r="239" spans="2:90" s="18" customFormat="1" ht="14.1" customHeight="1" x14ac:dyDescent="0.2">
      <c r="B239" s="54"/>
      <c r="C239" s="54"/>
      <c r="D239" s="54"/>
      <c r="E239" s="50"/>
      <c r="F239" s="50"/>
      <c r="G239" s="50"/>
      <c r="H239" s="50"/>
      <c r="I239" s="50"/>
      <c r="J239" s="50"/>
      <c r="K239" s="50"/>
      <c r="L239" s="50"/>
      <c r="M239" s="50"/>
      <c r="N239" s="51"/>
      <c r="O239" s="51"/>
      <c r="P239" s="52"/>
      <c r="Q239" s="55"/>
      <c r="R239" s="55"/>
      <c r="S239" s="55"/>
      <c r="T239" s="55"/>
      <c r="U239" s="55"/>
      <c r="W239" s="27"/>
      <c r="Z239" s="27"/>
      <c r="AA239" s="27"/>
      <c r="AB239" s="27"/>
      <c r="AC239" s="27"/>
      <c r="AD239" s="13"/>
      <c r="AE239" s="13"/>
      <c r="AF239" s="13"/>
      <c r="AG239" s="27"/>
      <c r="AH239" s="27"/>
      <c r="AI239" s="27"/>
      <c r="AJ239" s="27"/>
      <c r="CL239" s="27"/>
    </row>
    <row r="240" spans="2:90" s="18" customFormat="1" ht="14.1" customHeight="1" x14ac:dyDescent="0.2">
      <c r="B240" s="54"/>
      <c r="C240" s="54"/>
      <c r="D240" s="54"/>
      <c r="E240" s="50"/>
      <c r="F240" s="50"/>
      <c r="G240" s="50"/>
      <c r="H240" s="50"/>
      <c r="I240" s="50"/>
      <c r="J240" s="50"/>
      <c r="K240" s="50"/>
      <c r="L240" s="50"/>
      <c r="M240" s="50"/>
      <c r="N240" s="51"/>
      <c r="O240" s="51"/>
      <c r="P240" s="52"/>
      <c r="Q240" s="55"/>
      <c r="R240" s="55"/>
      <c r="S240" s="55"/>
      <c r="T240" s="55"/>
      <c r="U240" s="55"/>
      <c r="W240" s="27"/>
      <c r="Z240" s="27"/>
      <c r="AA240" s="27"/>
      <c r="AB240" s="27"/>
      <c r="AC240" s="27"/>
      <c r="AD240" s="13"/>
      <c r="AE240" s="13"/>
      <c r="AF240" s="13"/>
      <c r="AG240" s="27"/>
      <c r="AH240" s="27"/>
      <c r="AI240" s="27"/>
      <c r="AJ240" s="27"/>
      <c r="CL240" s="27"/>
    </row>
    <row r="241" spans="2:90" s="18" customFormat="1" ht="14.1" customHeight="1" x14ac:dyDescent="0.2">
      <c r="B241" s="54"/>
      <c r="C241" s="54"/>
      <c r="D241" s="54"/>
      <c r="E241" s="50"/>
      <c r="F241" s="50"/>
      <c r="G241" s="50"/>
      <c r="H241" s="50"/>
      <c r="I241" s="50"/>
      <c r="J241" s="50"/>
      <c r="K241" s="50"/>
      <c r="L241" s="50"/>
      <c r="M241" s="50"/>
      <c r="N241" s="51"/>
      <c r="O241" s="51"/>
      <c r="P241" s="52"/>
      <c r="Q241" s="55"/>
      <c r="R241" s="55"/>
      <c r="S241" s="55"/>
      <c r="T241" s="55"/>
      <c r="U241" s="55"/>
      <c r="W241" s="27"/>
      <c r="Z241" s="27"/>
      <c r="AA241" s="27"/>
      <c r="AB241" s="27"/>
      <c r="AC241" s="27"/>
      <c r="AD241" s="13"/>
      <c r="AE241" s="13"/>
      <c r="AF241" s="13"/>
      <c r="AG241" s="27"/>
      <c r="AH241" s="27"/>
      <c r="AI241" s="27"/>
      <c r="AJ241" s="27"/>
      <c r="CL241" s="27"/>
    </row>
    <row r="242" spans="2:90" s="18" customFormat="1" ht="14.1" customHeight="1" x14ac:dyDescent="0.2">
      <c r="B242" s="54"/>
      <c r="C242" s="54"/>
      <c r="D242" s="54"/>
      <c r="E242" s="50"/>
      <c r="F242" s="50"/>
      <c r="G242" s="50"/>
      <c r="H242" s="50"/>
      <c r="I242" s="50"/>
      <c r="J242" s="50"/>
      <c r="K242" s="50"/>
      <c r="L242" s="50"/>
      <c r="M242" s="50"/>
      <c r="N242" s="51"/>
      <c r="O242" s="51"/>
      <c r="P242" s="52"/>
      <c r="Q242" s="55"/>
      <c r="R242" s="55"/>
      <c r="S242" s="55"/>
      <c r="T242" s="55"/>
      <c r="U242" s="55"/>
      <c r="W242" s="27"/>
      <c r="Z242" s="27"/>
      <c r="AA242" s="27"/>
      <c r="AB242" s="27"/>
      <c r="AC242" s="27"/>
      <c r="AD242" s="13"/>
      <c r="AE242" s="13"/>
      <c r="AF242" s="13"/>
      <c r="AG242" s="27"/>
      <c r="AH242" s="27"/>
      <c r="AI242" s="27"/>
      <c r="AJ242" s="27"/>
      <c r="CL242" s="27"/>
    </row>
    <row r="243" spans="2:90" s="18" customFormat="1" ht="14.1" customHeight="1" x14ac:dyDescent="0.2">
      <c r="B243" s="54"/>
      <c r="C243" s="54"/>
      <c r="D243" s="54"/>
      <c r="E243" s="50"/>
      <c r="F243" s="50"/>
      <c r="G243" s="50"/>
      <c r="H243" s="50"/>
      <c r="I243" s="50"/>
      <c r="J243" s="50"/>
      <c r="K243" s="50"/>
      <c r="L243" s="50"/>
      <c r="M243" s="50"/>
      <c r="N243" s="51"/>
      <c r="O243" s="51"/>
      <c r="P243" s="52"/>
      <c r="Q243" s="55"/>
      <c r="R243" s="55"/>
      <c r="S243" s="55"/>
      <c r="T243" s="55"/>
      <c r="U243" s="55"/>
      <c r="W243" s="27"/>
      <c r="Z243" s="27"/>
      <c r="AA243" s="27"/>
      <c r="AB243" s="27"/>
      <c r="AC243" s="27"/>
      <c r="AD243" s="13"/>
      <c r="AE243" s="13"/>
      <c r="AF243" s="13"/>
      <c r="AG243" s="27"/>
      <c r="AH243" s="27"/>
      <c r="AI243" s="27"/>
      <c r="AJ243" s="27"/>
      <c r="CL243" s="27"/>
    </row>
    <row r="244" spans="2:90" s="18" customFormat="1" ht="14.1" customHeight="1" x14ac:dyDescent="0.2">
      <c r="B244" s="54"/>
      <c r="C244" s="54"/>
      <c r="D244" s="54"/>
      <c r="E244" s="50"/>
      <c r="F244" s="50"/>
      <c r="G244" s="50"/>
      <c r="H244" s="50"/>
      <c r="I244" s="50"/>
      <c r="J244" s="50"/>
      <c r="K244" s="50"/>
      <c r="L244" s="50"/>
      <c r="M244" s="50"/>
      <c r="N244" s="51"/>
      <c r="O244" s="51"/>
      <c r="P244" s="52"/>
      <c r="Q244" s="55"/>
      <c r="R244" s="55"/>
      <c r="S244" s="55"/>
      <c r="T244" s="55"/>
      <c r="U244" s="55"/>
      <c r="W244" s="27"/>
      <c r="Z244" s="27"/>
      <c r="AA244" s="27"/>
      <c r="AB244" s="27"/>
      <c r="AC244" s="27"/>
      <c r="AD244" s="13"/>
      <c r="AE244" s="13"/>
      <c r="AF244" s="13"/>
      <c r="AG244" s="27"/>
      <c r="AH244" s="27"/>
      <c r="AI244" s="27"/>
      <c r="AJ244" s="27"/>
      <c r="CL244" s="27"/>
    </row>
    <row r="245" spans="2:90" s="18" customFormat="1" ht="14.1" customHeight="1" x14ac:dyDescent="0.2">
      <c r="B245" s="54"/>
      <c r="C245" s="54"/>
      <c r="D245" s="54"/>
      <c r="E245" s="50"/>
      <c r="F245" s="50"/>
      <c r="G245" s="50"/>
      <c r="H245" s="50"/>
      <c r="I245" s="50"/>
      <c r="J245" s="50"/>
      <c r="K245" s="50"/>
      <c r="L245" s="50"/>
      <c r="M245" s="50"/>
      <c r="N245" s="51"/>
      <c r="O245" s="51"/>
      <c r="P245" s="52"/>
      <c r="Q245" s="55"/>
      <c r="R245" s="55"/>
      <c r="S245" s="55"/>
      <c r="T245" s="55"/>
      <c r="U245" s="55"/>
      <c r="W245" s="27"/>
      <c r="Z245" s="27"/>
      <c r="AA245" s="27"/>
      <c r="AB245" s="27"/>
      <c r="AC245" s="27"/>
      <c r="AD245" s="13"/>
      <c r="AE245" s="13"/>
      <c r="AF245" s="13"/>
      <c r="AG245" s="27"/>
      <c r="AH245" s="27"/>
      <c r="AI245" s="27"/>
      <c r="AJ245" s="27"/>
      <c r="CL245" s="27"/>
    </row>
    <row r="246" spans="2:90" s="18" customFormat="1" ht="14.1" customHeight="1" x14ac:dyDescent="0.2">
      <c r="B246" s="54"/>
      <c r="C246" s="54"/>
      <c r="D246" s="54"/>
      <c r="E246" s="50"/>
      <c r="F246" s="50"/>
      <c r="G246" s="50"/>
      <c r="H246" s="50"/>
      <c r="I246" s="50"/>
      <c r="J246" s="50"/>
      <c r="K246" s="50"/>
      <c r="L246" s="50"/>
      <c r="M246" s="50"/>
      <c r="N246" s="51"/>
      <c r="O246" s="51"/>
      <c r="P246" s="52"/>
      <c r="Q246" s="55"/>
      <c r="R246" s="55"/>
      <c r="S246" s="55"/>
      <c r="T246" s="55"/>
      <c r="U246" s="55"/>
      <c r="W246" s="27"/>
      <c r="Z246" s="27"/>
      <c r="AA246" s="27"/>
      <c r="AB246" s="27"/>
      <c r="AC246" s="27"/>
      <c r="AD246" s="13"/>
      <c r="AE246" s="13"/>
      <c r="AF246" s="13"/>
      <c r="AG246" s="27"/>
      <c r="AH246" s="27"/>
      <c r="AI246" s="27"/>
      <c r="AJ246" s="27"/>
      <c r="CL246" s="27"/>
    </row>
    <row r="247" spans="2:90" s="18" customFormat="1" ht="14.1" customHeight="1" x14ac:dyDescent="0.2">
      <c r="B247" s="54"/>
      <c r="C247" s="54"/>
      <c r="D247" s="54"/>
      <c r="E247" s="50"/>
      <c r="F247" s="50"/>
      <c r="G247" s="50"/>
      <c r="H247" s="50"/>
      <c r="I247" s="50"/>
      <c r="J247" s="50"/>
      <c r="K247" s="50"/>
      <c r="L247" s="50"/>
      <c r="M247" s="50"/>
      <c r="N247" s="51"/>
      <c r="O247" s="51"/>
      <c r="P247" s="52"/>
      <c r="Q247" s="55"/>
      <c r="R247" s="55"/>
      <c r="S247" s="55"/>
      <c r="T247" s="55"/>
      <c r="U247" s="55"/>
      <c r="W247" s="27"/>
      <c r="Z247" s="27"/>
      <c r="AA247" s="27"/>
      <c r="AB247" s="27"/>
      <c r="AC247" s="27"/>
      <c r="AD247" s="13"/>
      <c r="AE247" s="13"/>
      <c r="AF247" s="13"/>
      <c r="AG247" s="27"/>
      <c r="AH247" s="27"/>
      <c r="AI247" s="27"/>
      <c r="AJ247" s="27"/>
      <c r="CL247" s="27"/>
    </row>
    <row r="248" spans="2:90" s="18" customFormat="1" ht="14.1" customHeight="1" x14ac:dyDescent="0.2">
      <c r="B248" s="54"/>
      <c r="C248" s="54"/>
      <c r="D248" s="54"/>
      <c r="E248" s="50"/>
      <c r="F248" s="50"/>
      <c r="G248" s="50"/>
      <c r="H248" s="50"/>
      <c r="I248" s="50"/>
      <c r="J248" s="50"/>
      <c r="K248" s="50"/>
      <c r="L248" s="50"/>
      <c r="M248" s="50"/>
      <c r="N248" s="51"/>
      <c r="O248" s="51"/>
      <c r="P248" s="52"/>
      <c r="Q248" s="55"/>
      <c r="R248" s="55"/>
      <c r="S248" s="55"/>
      <c r="T248" s="55"/>
      <c r="U248" s="55"/>
      <c r="W248" s="27"/>
      <c r="Z248" s="27"/>
      <c r="AA248" s="27"/>
      <c r="AB248" s="27"/>
      <c r="AC248" s="27"/>
      <c r="AD248" s="13"/>
      <c r="AE248" s="13"/>
      <c r="AF248" s="13"/>
      <c r="AG248" s="27"/>
      <c r="AH248" s="27"/>
      <c r="AI248" s="27"/>
      <c r="AJ248" s="27"/>
      <c r="CL248" s="27"/>
    </row>
    <row r="249" spans="2:90" s="18" customFormat="1" ht="14.1" customHeight="1" x14ac:dyDescent="0.2">
      <c r="B249" s="54"/>
      <c r="C249" s="54"/>
      <c r="D249" s="54"/>
      <c r="E249" s="50"/>
      <c r="F249" s="50"/>
      <c r="G249" s="50"/>
      <c r="H249" s="50"/>
      <c r="I249" s="50"/>
      <c r="J249" s="50"/>
      <c r="K249" s="50"/>
      <c r="L249" s="50"/>
      <c r="M249" s="50"/>
      <c r="N249" s="51"/>
      <c r="O249" s="51"/>
      <c r="P249" s="52"/>
      <c r="Q249" s="55"/>
      <c r="R249" s="55"/>
      <c r="S249" s="55"/>
      <c r="T249" s="55"/>
      <c r="U249" s="55"/>
      <c r="W249" s="27"/>
      <c r="Z249" s="27"/>
      <c r="AA249" s="27"/>
      <c r="AB249" s="27"/>
      <c r="AC249" s="27"/>
      <c r="AD249" s="13"/>
      <c r="AE249" s="13"/>
      <c r="AF249" s="13"/>
      <c r="AG249" s="27"/>
      <c r="AH249" s="27"/>
      <c r="AI249" s="27"/>
      <c r="AJ249" s="27"/>
      <c r="CL249" s="27"/>
    </row>
    <row r="250" spans="2:90" s="18" customFormat="1" ht="14.1" customHeight="1" x14ac:dyDescent="0.2">
      <c r="B250" s="54"/>
      <c r="C250" s="54"/>
      <c r="D250" s="54"/>
      <c r="E250" s="50"/>
      <c r="F250" s="50"/>
      <c r="G250" s="50"/>
      <c r="H250" s="50"/>
      <c r="I250" s="50"/>
      <c r="J250" s="50"/>
      <c r="K250" s="50"/>
      <c r="L250" s="50"/>
      <c r="M250" s="50"/>
      <c r="N250" s="51"/>
      <c r="O250" s="51"/>
      <c r="P250" s="52"/>
      <c r="Q250" s="55"/>
      <c r="R250" s="55"/>
      <c r="S250" s="55"/>
      <c r="T250" s="55"/>
      <c r="U250" s="55"/>
      <c r="W250" s="27"/>
      <c r="Z250" s="27"/>
      <c r="AA250" s="27"/>
      <c r="AB250" s="27"/>
      <c r="AC250" s="27"/>
      <c r="AD250" s="13"/>
      <c r="AE250" s="13"/>
      <c r="AF250" s="13"/>
      <c r="AG250" s="27"/>
      <c r="AH250" s="27"/>
      <c r="AI250" s="27"/>
      <c r="AJ250" s="27"/>
      <c r="CL250" s="27"/>
    </row>
    <row r="251" spans="2:90" s="18" customFormat="1" ht="14.1" customHeight="1" x14ac:dyDescent="0.2">
      <c r="B251" s="54"/>
      <c r="C251" s="54"/>
      <c r="D251" s="54"/>
      <c r="E251" s="50"/>
      <c r="F251" s="50"/>
      <c r="G251" s="50"/>
      <c r="H251" s="50"/>
      <c r="I251" s="50"/>
      <c r="J251" s="50"/>
      <c r="K251" s="50"/>
      <c r="L251" s="50"/>
      <c r="M251" s="50"/>
      <c r="N251" s="51"/>
      <c r="O251" s="51"/>
      <c r="P251" s="52"/>
      <c r="Q251" s="55"/>
      <c r="R251" s="55"/>
      <c r="S251" s="55"/>
      <c r="T251" s="55"/>
      <c r="U251" s="55"/>
      <c r="W251" s="27"/>
      <c r="Z251" s="27"/>
      <c r="AA251" s="27"/>
      <c r="AB251" s="27"/>
      <c r="AC251" s="27"/>
      <c r="AD251" s="13"/>
      <c r="AE251" s="13"/>
      <c r="AF251" s="13"/>
      <c r="AG251" s="27"/>
      <c r="AH251" s="27"/>
      <c r="AI251" s="27"/>
      <c r="AJ251" s="27"/>
      <c r="CL251" s="27"/>
    </row>
    <row r="252" spans="2:90" s="18" customFormat="1" ht="14.1" customHeight="1" x14ac:dyDescent="0.2">
      <c r="B252" s="54"/>
      <c r="C252" s="54"/>
      <c r="D252" s="54"/>
      <c r="E252" s="50"/>
      <c r="F252" s="50"/>
      <c r="G252" s="50"/>
      <c r="H252" s="50"/>
      <c r="I252" s="50"/>
      <c r="J252" s="50"/>
      <c r="K252" s="50"/>
      <c r="L252" s="50"/>
      <c r="M252" s="50"/>
      <c r="N252" s="51"/>
      <c r="O252" s="51"/>
      <c r="P252" s="52"/>
      <c r="Q252" s="55"/>
      <c r="R252" s="55"/>
      <c r="S252" s="55"/>
      <c r="T252" s="55"/>
      <c r="U252" s="55"/>
      <c r="W252" s="27"/>
      <c r="Z252" s="27"/>
      <c r="AA252" s="27"/>
      <c r="AB252" s="27"/>
      <c r="AC252" s="27"/>
      <c r="AD252" s="13"/>
      <c r="AE252" s="13"/>
      <c r="AF252" s="13"/>
      <c r="AG252" s="27"/>
      <c r="AH252" s="27"/>
      <c r="AI252" s="27"/>
      <c r="AJ252" s="27"/>
      <c r="CL252" s="27"/>
    </row>
    <row r="253" spans="2:90" s="18" customFormat="1" ht="14.1" customHeight="1" x14ac:dyDescent="0.2">
      <c r="B253" s="54"/>
      <c r="C253" s="54"/>
      <c r="D253" s="54"/>
      <c r="E253" s="50"/>
      <c r="F253" s="50"/>
      <c r="G253" s="50"/>
      <c r="H253" s="50"/>
      <c r="I253" s="50"/>
      <c r="J253" s="50"/>
      <c r="K253" s="50"/>
      <c r="L253" s="50"/>
      <c r="M253" s="50"/>
      <c r="N253" s="51"/>
      <c r="O253" s="51"/>
      <c r="P253" s="52"/>
      <c r="Q253" s="55"/>
      <c r="R253" s="55"/>
      <c r="S253" s="55"/>
      <c r="T253" s="55"/>
      <c r="U253" s="55"/>
      <c r="W253" s="27"/>
      <c r="Z253" s="27"/>
      <c r="AA253" s="27"/>
      <c r="AB253" s="27"/>
      <c r="AC253" s="27"/>
      <c r="AD253" s="13"/>
      <c r="AE253" s="13"/>
      <c r="AF253" s="13"/>
      <c r="AG253" s="27"/>
      <c r="AH253" s="27"/>
      <c r="AI253" s="27"/>
      <c r="AJ253" s="27"/>
      <c r="CL253" s="27"/>
    </row>
    <row r="254" spans="2:90" s="18" customFormat="1" ht="14.1" customHeight="1" x14ac:dyDescent="0.2">
      <c r="B254" s="54"/>
      <c r="C254" s="54"/>
      <c r="D254" s="54"/>
      <c r="E254" s="50"/>
      <c r="F254" s="50"/>
      <c r="G254" s="50"/>
      <c r="H254" s="50"/>
      <c r="I254" s="50"/>
      <c r="J254" s="50"/>
      <c r="K254" s="50"/>
      <c r="L254" s="50"/>
      <c r="M254" s="50"/>
      <c r="N254" s="51"/>
      <c r="O254" s="51"/>
      <c r="P254" s="52"/>
      <c r="Q254" s="55"/>
      <c r="R254" s="55"/>
      <c r="S254" s="55"/>
      <c r="T254" s="55"/>
      <c r="U254" s="55"/>
      <c r="W254" s="27"/>
      <c r="Z254" s="27"/>
      <c r="AA254" s="27"/>
      <c r="AB254" s="27"/>
      <c r="AC254" s="27"/>
      <c r="AD254" s="13"/>
      <c r="AE254" s="13"/>
      <c r="AF254" s="13"/>
      <c r="AG254" s="27"/>
      <c r="AH254" s="27"/>
      <c r="AI254" s="27"/>
      <c r="AJ254" s="27"/>
      <c r="CL254" s="27"/>
    </row>
    <row r="255" spans="2:90" s="18" customFormat="1" ht="14.1" customHeight="1" x14ac:dyDescent="0.2">
      <c r="B255" s="54"/>
      <c r="C255" s="54"/>
      <c r="D255" s="54"/>
      <c r="E255" s="50"/>
      <c r="F255" s="50"/>
      <c r="G255" s="50"/>
      <c r="H255" s="50"/>
      <c r="I255" s="50"/>
      <c r="J255" s="50"/>
      <c r="K255" s="50"/>
      <c r="L255" s="50"/>
      <c r="M255" s="50"/>
      <c r="N255" s="51"/>
      <c r="O255" s="51"/>
      <c r="P255" s="52"/>
      <c r="Q255" s="55"/>
      <c r="R255" s="55"/>
      <c r="S255" s="55"/>
      <c r="T255" s="55"/>
      <c r="U255" s="55"/>
      <c r="W255" s="27"/>
      <c r="Z255" s="27"/>
      <c r="AA255" s="27"/>
      <c r="AB255" s="27"/>
      <c r="AC255" s="27"/>
      <c r="AD255" s="13"/>
      <c r="AE255" s="13"/>
      <c r="AF255" s="13"/>
      <c r="AG255" s="27"/>
      <c r="AH255" s="27"/>
      <c r="AI255" s="27"/>
      <c r="AJ255" s="27"/>
      <c r="CL255" s="27"/>
    </row>
    <row r="256" spans="2:90" s="18" customFormat="1" ht="14.1" customHeight="1" x14ac:dyDescent="0.2">
      <c r="B256" s="54"/>
      <c r="C256" s="54"/>
      <c r="D256" s="54"/>
      <c r="E256" s="50"/>
      <c r="F256" s="50"/>
      <c r="G256" s="50"/>
      <c r="H256" s="50"/>
      <c r="I256" s="50"/>
      <c r="J256" s="50"/>
      <c r="K256" s="50"/>
      <c r="L256" s="50"/>
      <c r="M256" s="50"/>
      <c r="N256" s="51"/>
      <c r="O256" s="51"/>
      <c r="P256" s="52"/>
      <c r="Q256" s="55"/>
      <c r="R256" s="55"/>
      <c r="S256" s="55"/>
      <c r="T256" s="55"/>
      <c r="U256" s="55"/>
      <c r="W256" s="27"/>
      <c r="Z256" s="27"/>
      <c r="AA256" s="27"/>
      <c r="AB256" s="27"/>
      <c r="AC256" s="27"/>
      <c r="AD256" s="13"/>
      <c r="AE256" s="13"/>
      <c r="AF256" s="13"/>
      <c r="AG256" s="27"/>
      <c r="AH256" s="27"/>
      <c r="AI256" s="27"/>
      <c r="AJ256" s="27"/>
      <c r="CL256" s="27"/>
    </row>
    <row r="257" spans="2:90" s="18" customFormat="1" ht="14.1" customHeight="1" x14ac:dyDescent="0.2">
      <c r="B257" s="54"/>
      <c r="C257" s="54"/>
      <c r="D257" s="54"/>
      <c r="E257" s="50"/>
      <c r="F257" s="50"/>
      <c r="G257" s="50"/>
      <c r="H257" s="50"/>
      <c r="I257" s="50"/>
      <c r="J257" s="50"/>
      <c r="K257" s="50"/>
      <c r="L257" s="50"/>
      <c r="M257" s="50"/>
      <c r="N257" s="51"/>
      <c r="O257" s="51"/>
      <c r="P257" s="52"/>
      <c r="Q257" s="55"/>
      <c r="R257" s="55"/>
      <c r="S257" s="55"/>
      <c r="T257" s="55"/>
      <c r="U257" s="55"/>
      <c r="W257" s="27"/>
      <c r="Z257" s="27"/>
      <c r="AA257" s="27"/>
      <c r="AB257" s="27"/>
      <c r="AC257" s="27"/>
      <c r="AD257" s="13"/>
      <c r="AE257" s="13"/>
      <c r="AF257" s="13"/>
      <c r="AG257" s="27"/>
      <c r="AH257" s="27"/>
      <c r="AI257" s="27"/>
      <c r="AJ257" s="27"/>
      <c r="CL257" s="27"/>
    </row>
    <row r="258" spans="2:90" s="18" customFormat="1" ht="14.1" customHeight="1" x14ac:dyDescent="0.2">
      <c r="B258" s="54"/>
      <c r="C258" s="54"/>
      <c r="D258" s="54"/>
      <c r="E258" s="50"/>
      <c r="F258" s="50"/>
      <c r="G258" s="50"/>
      <c r="H258" s="50"/>
      <c r="I258" s="50"/>
      <c r="J258" s="50"/>
      <c r="K258" s="50"/>
      <c r="L258" s="50"/>
      <c r="M258" s="50"/>
      <c r="N258" s="51"/>
      <c r="O258" s="51"/>
      <c r="P258" s="52"/>
      <c r="Q258" s="55"/>
      <c r="R258" s="55"/>
      <c r="S258" s="55"/>
      <c r="T258" s="55"/>
      <c r="U258" s="55"/>
      <c r="W258" s="27"/>
      <c r="Z258" s="27"/>
      <c r="AA258" s="27"/>
      <c r="AB258" s="27"/>
      <c r="AC258" s="27"/>
      <c r="AD258" s="13"/>
      <c r="AE258" s="13"/>
      <c r="AF258" s="13"/>
      <c r="AG258" s="27"/>
      <c r="AH258" s="27"/>
      <c r="AI258" s="27"/>
      <c r="AJ258" s="27"/>
      <c r="CL258" s="27"/>
    </row>
    <row r="259" spans="2:90" s="18" customFormat="1" ht="14.1" customHeight="1" x14ac:dyDescent="0.2">
      <c r="B259" s="54"/>
      <c r="C259" s="54"/>
      <c r="D259" s="54"/>
      <c r="E259" s="50"/>
      <c r="F259" s="50"/>
      <c r="G259" s="50"/>
      <c r="H259" s="50"/>
      <c r="I259" s="50"/>
      <c r="J259" s="50"/>
      <c r="K259" s="50"/>
      <c r="L259" s="50"/>
      <c r="M259" s="50"/>
      <c r="N259" s="51"/>
      <c r="O259" s="51"/>
      <c r="P259" s="52"/>
      <c r="Q259" s="55"/>
      <c r="R259" s="55"/>
      <c r="S259" s="55"/>
      <c r="T259" s="55"/>
      <c r="U259" s="55"/>
      <c r="W259" s="27"/>
      <c r="Z259" s="27"/>
      <c r="AA259" s="27"/>
      <c r="AB259" s="27"/>
      <c r="AC259" s="27"/>
      <c r="AD259" s="13"/>
      <c r="AE259" s="13"/>
      <c r="AF259" s="13"/>
      <c r="AG259" s="27"/>
      <c r="AH259" s="27"/>
      <c r="AI259" s="27"/>
      <c r="AJ259" s="27"/>
      <c r="CL259" s="27"/>
    </row>
    <row r="260" spans="2:90" s="18" customFormat="1" ht="14.1" customHeight="1" x14ac:dyDescent="0.2">
      <c r="B260" s="54"/>
      <c r="C260" s="54"/>
      <c r="D260" s="54"/>
      <c r="E260" s="50"/>
      <c r="F260" s="50"/>
      <c r="G260" s="50"/>
      <c r="H260" s="50"/>
      <c r="I260" s="50"/>
      <c r="J260" s="50"/>
      <c r="K260" s="50"/>
      <c r="L260" s="50"/>
      <c r="M260" s="50"/>
      <c r="N260" s="51"/>
      <c r="O260" s="51"/>
      <c r="P260" s="52"/>
      <c r="Q260" s="55"/>
      <c r="R260" s="55"/>
      <c r="S260" s="55"/>
      <c r="T260" s="55"/>
      <c r="U260" s="55"/>
      <c r="W260" s="27"/>
      <c r="Z260" s="27"/>
      <c r="AA260" s="27"/>
      <c r="AB260" s="27"/>
      <c r="AC260" s="27"/>
      <c r="AD260" s="13"/>
      <c r="AE260" s="13"/>
      <c r="AF260" s="13"/>
      <c r="AG260" s="27"/>
      <c r="AH260" s="27"/>
      <c r="AI260" s="27"/>
      <c r="AJ260" s="27"/>
      <c r="CL260" s="27"/>
    </row>
    <row r="261" spans="2:90" s="18" customFormat="1" ht="14.1" customHeight="1" x14ac:dyDescent="0.2">
      <c r="B261" s="54"/>
      <c r="C261" s="54"/>
      <c r="D261" s="54"/>
      <c r="E261" s="50"/>
      <c r="F261" s="50"/>
      <c r="G261" s="50"/>
      <c r="H261" s="50"/>
      <c r="I261" s="50"/>
      <c r="J261" s="50"/>
      <c r="K261" s="50"/>
      <c r="L261" s="50"/>
      <c r="M261" s="50"/>
      <c r="N261" s="51"/>
      <c r="O261" s="51"/>
      <c r="P261" s="52"/>
      <c r="Q261" s="55"/>
      <c r="R261" s="55"/>
      <c r="S261" s="55"/>
      <c r="T261" s="55"/>
      <c r="U261" s="55"/>
      <c r="W261" s="27"/>
      <c r="Z261" s="27"/>
      <c r="AA261" s="27"/>
      <c r="AB261" s="27"/>
      <c r="AC261" s="27"/>
      <c r="AD261" s="13"/>
      <c r="AE261" s="13"/>
      <c r="AF261" s="13"/>
      <c r="AG261" s="27"/>
      <c r="AH261" s="27"/>
      <c r="AI261" s="27"/>
      <c r="AJ261" s="27"/>
      <c r="CL261" s="27"/>
    </row>
    <row r="262" spans="2:90" s="18" customFormat="1" ht="14.1" customHeight="1" x14ac:dyDescent="0.2">
      <c r="B262" s="54"/>
      <c r="C262" s="54"/>
      <c r="D262" s="54"/>
      <c r="E262" s="50"/>
      <c r="F262" s="50"/>
      <c r="G262" s="50"/>
      <c r="H262" s="50"/>
      <c r="I262" s="50"/>
      <c r="J262" s="50"/>
      <c r="K262" s="50"/>
      <c r="L262" s="50"/>
      <c r="M262" s="50"/>
      <c r="N262" s="51"/>
      <c r="O262" s="51"/>
      <c r="P262" s="52"/>
      <c r="Q262" s="55"/>
      <c r="R262" s="55"/>
      <c r="S262" s="55"/>
      <c r="T262" s="55"/>
      <c r="U262" s="55"/>
      <c r="W262" s="27"/>
      <c r="Z262" s="27"/>
      <c r="AA262" s="27"/>
      <c r="AB262" s="27"/>
      <c r="AC262" s="27"/>
      <c r="AD262" s="13"/>
      <c r="AE262" s="13"/>
      <c r="AF262" s="13"/>
      <c r="AG262" s="27"/>
      <c r="AH262" s="27"/>
      <c r="AI262" s="27"/>
      <c r="AJ262" s="27"/>
      <c r="CL262" s="27"/>
    </row>
    <row r="263" spans="2:90" s="18" customFormat="1" ht="14.1" customHeight="1" x14ac:dyDescent="0.2">
      <c r="B263" s="54"/>
      <c r="C263" s="54"/>
      <c r="D263" s="54"/>
      <c r="E263" s="50"/>
      <c r="F263" s="50"/>
      <c r="G263" s="50"/>
      <c r="H263" s="50"/>
      <c r="I263" s="50"/>
      <c r="J263" s="50"/>
      <c r="K263" s="50"/>
      <c r="L263" s="50"/>
      <c r="M263" s="50"/>
      <c r="N263" s="51"/>
      <c r="O263" s="51"/>
      <c r="P263" s="52"/>
      <c r="Q263" s="55"/>
      <c r="R263" s="55"/>
      <c r="S263" s="55"/>
      <c r="T263" s="55"/>
      <c r="U263" s="55"/>
      <c r="W263" s="27"/>
      <c r="Z263" s="27"/>
      <c r="AA263" s="27"/>
      <c r="AB263" s="27"/>
      <c r="AC263" s="27"/>
      <c r="AD263" s="13"/>
      <c r="AE263" s="13"/>
      <c r="AF263" s="13"/>
      <c r="AG263" s="27"/>
      <c r="AH263" s="27"/>
      <c r="AI263" s="27"/>
      <c r="AJ263" s="27"/>
      <c r="CL263" s="27"/>
    </row>
    <row r="264" spans="2:90" s="18" customFormat="1" ht="14.1" customHeight="1" x14ac:dyDescent="0.2">
      <c r="B264" s="54"/>
      <c r="C264" s="54"/>
      <c r="D264" s="54"/>
      <c r="E264" s="50"/>
      <c r="F264" s="50"/>
      <c r="G264" s="50"/>
      <c r="H264" s="50"/>
      <c r="I264" s="50"/>
      <c r="J264" s="50"/>
      <c r="K264" s="50"/>
      <c r="L264" s="50"/>
      <c r="M264" s="50"/>
      <c r="N264" s="51"/>
      <c r="O264" s="51"/>
      <c r="P264" s="52"/>
      <c r="Q264" s="55"/>
      <c r="R264" s="55"/>
      <c r="S264" s="55"/>
      <c r="T264" s="55"/>
      <c r="U264" s="55"/>
      <c r="W264" s="27"/>
      <c r="Z264" s="27"/>
      <c r="AA264" s="27"/>
      <c r="AB264" s="27"/>
      <c r="AC264" s="27"/>
      <c r="AD264" s="13"/>
      <c r="AE264" s="13"/>
      <c r="AF264" s="13"/>
      <c r="AG264" s="27"/>
      <c r="AH264" s="27"/>
      <c r="AI264" s="27"/>
      <c r="AJ264" s="27"/>
      <c r="CL264" s="27"/>
    </row>
    <row r="265" spans="2:90" s="18" customFormat="1" ht="14.1" customHeight="1" x14ac:dyDescent="0.2">
      <c r="B265" s="54"/>
      <c r="C265" s="54"/>
      <c r="D265" s="54"/>
      <c r="E265" s="50"/>
      <c r="F265" s="50"/>
      <c r="G265" s="50"/>
      <c r="H265" s="50"/>
      <c r="I265" s="50"/>
      <c r="J265" s="50"/>
      <c r="K265" s="50"/>
      <c r="L265" s="50"/>
      <c r="M265" s="50"/>
      <c r="N265" s="51"/>
      <c r="O265" s="51"/>
      <c r="P265" s="52"/>
      <c r="Q265" s="55"/>
      <c r="R265" s="55"/>
      <c r="S265" s="55"/>
      <c r="T265" s="55"/>
      <c r="U265" s="55"/>
      <c r="W265" s="27"/>
      <c r="Z265" s="27"/>
      <c r="AA265" s="27"/>
      <c r="AB265" s="27"/>
      <c r="AC265" s="27"/>
      <c r="AD265" s="13"/>
      <c r="AE265" s="13"/>
      <c r="AF265" s="13"/>
      <c r="AG265" s="27"/>
      <c r="AH265" s="27"/>
      <c r="AI265" s="27"/>
      <c r="AJ265" s="27"/>
      <c r="CL265" s="27"/>
    </row>
    <row r="266" spans="2:90" s="18" customFormat="1" ht="14.1" customHeight="1" x14ac:dyDescent="0.2">
      <c r="B266" s="54"/>
      <c r="C266" s="54"/>
      <c r="D266" s="54"/>
      <c r="E266" s="50"/>
      <c r="F266" s="50"/>
      <c r="G266" s="50"/>
      <c r="H266" s="50"/>
      <c r="I266" s="50"/>
      <c r="J266" s="50"/>
      <c r="K266" s="50"/>
      <c r="L266" s="50"/>
      <c r="M266" s="50"/>
      <c r="N266" s="51"/>
      <c r="O266" s="51"/>
      <c r="P266" s="52"/>
      <c r="Q266" s="55"/>
      <c r="R266" s="55"/>
      <c r="S266" s="55"/>
      <c r="T266" s="55"/>
      <c r="U266" s="55"/>
      <c r="W266" s="27"/>
      <c r="Z266" s="27"/>
      <c r="AA266" s="27"/>
      <c r="AB266" s="27"/>
      <c r="AC266" s="27"/>
      <c r="AD266" s="13"/>
      <c r="AE266" s="13"/>
      <c r="AF266" s="13"/>
      <c r="AG266" s="27"/>
      <c r="AH266" s="27"/>
      <c r="AI266" s="27"/>
      <c r="AJ266" s="27"/>
      <c r="CL266" s="27"/>
    </row>
    <row r="267" spans="2:90" s="18" customFormat="1" ht="14.1" customHeight="1" x14ac:dyDescent="0.2">
      <c r="B267" s="54"/>
      <c r="C267" s="54"/>
      <c r="D267" s="54"/>
      <c r="E267" s="50"/>
      <c r="F267" s="50"/>
      <c r="G267" s="50"/>
      <c r="H267" s="50"/>
      <c r="I267" s="50"/>
      <c r="J267" s="50"/>
      <c r="K267" s="50"/>
      <c r="L267" s="50"/>
      <c r="M267" s="50"/>
      <c r="N267" s="51"/>
      <c r="O267" s="51"/>
      <c r="P267" s="52"/>
      <c r="Q267" s="55"/>
      <c r="R267" s="55"/>
      <c r="S267" s="55"/>
      <c r="T267" s="55"/>
      <c r="U267" s="55"/>
      <c r="W267" s="27"/>
      <c r="Z267" s="27"/>
      <c r="AA267" s="27"/>
      <c r="AB267" s="27"/>
      <c r="AC267" s="27"/>
      <c r="AD267" s="13"/>
      <c r="AE267" s="13"/>
      <c r="AF267" s="13"/>
      <c r="AG267" s="27"/>
      <c r="AH267" s="27"/>
      <c r="AI267" s="27"/>
      <c r="AJ267" s="27"/>
      <c r="CL267" s="27"/>
    </row>
    <row r="268" spans="2:90" s="18" customFormat="1" ht="14.1" customHeight="1" x14ac:dyDescent="0.2">
      <c r="B268" s="54"/>
      <c r="C268" s="54"/>
      <c r="D268" s="54"/>
      <c r="E268" s="50"/>
      <c r="F268" s="50"/>
      <c r="G268" s="50"/>
      <c r="H268" s="50"/>
      <c r="I268" s="50"/>
      <c r="J268" s="50"/>
      <c r="K268" s="50"/>
      <c r="L268" s="50"/>
      <c r="M268" s="50"/>
      <c r="N268" s="51"/>
      <c r="O268" s="51"/>
      <c r="P268" s="52"/>
      <c r="Q268" s="55"/>
      <c r="R268" s="55"/>
      <c r="S268" s="55"/>
      <c r="T268" s="55"/>
      <c r="U268" s="55"/>
      <c r="W268" s="27"/>
      <c r="Z268" s="27"/>
      <c r="AA268" s="27"/>
      <c r="AB268" s="27"/>
      <c r="AC268" s="27"/>
      <c r="AD268" s="13"/>
      <c r="AE268" s="13"/>
      <c r="AF268" s="13"/>
      <c r="AG268" s="27"/>
      <c r="AH268" s="27"/>
      <c r="AI268" s="27"/>
      <c r="AJ268" s="27"/>
      <c r="CL268" s="27"/>
    </row>
    <row r="269" spans="2:90" s="18" customFormat="1" ht="14.1" customHeight="1" x14ac:dyDescent="0.2">
      <c r="B269" s="54"/>
      <c r="C269" s="54"/>
      <c r="D269" s="54"/>
      <c r="E269" s="50"/>
      <c r="F269" s="50"/>
      <c r="G269" s="50"/>
      <c r="H269" s="50"/>
      <c r="I269" s="50"/>
      <c r="J269" s="50"/>
      <c r="K269" s="50"/>
      <c r="L269" s="50"/>
      <c r="M269" s="50"/>
      <c r="N269" s="51"/>
      <c r="O269" s="51"/>
      <c r="P269" s="52"/>
      <c r="Q269" s="55"/>
      <c r="R269" s="55"/>
      <c r="S269" s="55"/>
      <c r="T269" s="55"/>
      <c r="U269" s="55"/>
      <c r="W269" s="27"/>
      <c r="Z269" s="27"/>
      <c r="AA269" s="27"/>
      <c r="AB269" s="27"/>
      <c r="AC269" s="27"/>
      <c r="AD269" s="13"/>
      <c r="AE269" s="13"/>
      <c r="AF269" s="13"/>
      <c r="AG269" s="27"/>
      <c r="AH269" s="27"/>
      <c r="AI269" s="27"/>
      <c r="AJ269" s="27"/>
      <c r="CL269" s="27"/>
    </row>
    <row r="270" spans="2:90" s="18" customFormat="1" ht="14.1" customHeight="1" x14ac:dyDescent="0.2">
      <c r="B270" s="54"/>
      <c r="C270" s="54"/>
      <c r="D270" s="54"/>
      <c r="E270" s="50"/>
      <c r="F270" s="50"/>
      <c r="G270" s="50"/>
      <c r="H270" s="50"/>
      <c r="I270" s="50"/>
      <c r="J270" s="50"/>
      <c r="K270" s="50"/>
      <c r="L270" s="50"/>
      <c r="M270" s="50"/>
      <c r="N270" s="51"/>
      <c r="O270" s="51"/>
      <c r="P270" s="52"/>
      <c r="Q270" s="55"/>
      <c r="R270" s="55"/>
      <c r="S270" s="55"/>
      <c r="T270" s="55"/>
      <c r="U270" s="55"/>
      <c r="W270" s="27"/>
      <c r="Z270" s="27"/>
      <c r="AA270" s="27"/>
      <c r="AB270" s="27"/>
      <c r="AC270" s="27"/>
      <c r="AD270" s="13"/>
      <c r="AE270" s="13"/>
      <c r="AF270" s="13"/>
      <c r="AG270" s="27"/>
      <c r="AH270" s="27"/>
      <c r="AI270" s="27"/>
      <c r="AJ270" s="27"/>
      <c r="CL270" s="27"/>
    </row>
    <row r="271" spans="2:90" s="18" customFormat="1" ht="14.1" customHeight="1" x14ac:dyDescent="0.2">
      <c r="B271" s="54"/>
      <c r="C271" s="54"/>
      <c r="D271" s="54"/>
      <c r="E271" s="50"/>
      <c r="F271" s="50"/>
      <c r="G271" s="50"/>
      <c r="H271" s="50"/>
      <c r="I271" s="50"/>
      <c r="J271" s="50"/>
      <c r="K271" s="50"/>
      <c r="L271" s="50"/>
      <c r="M271" s="50"/>
      <c r="N271" s="51"/>
      <c r="O271" s="51"/>
      <c r="P271" s="52"/>
      <c r="Q271" s="55"/>
      <c r="R271" s="55"/>
      <c r="S271" s="55"/>
      <c r="T271" s="55"/>
      <c r="U271" s="55"/>
      <c r="W271" s="27"/>
      <c r="Z271" s="27"/>
      <c r="AA271" s="27"/>
      <c r="AB271" s="27"/>
      <c r="AC271" s="27"/>
      <c r="AD271" s="13"/>
      <c r="AE271" s="13"/>
      <c r="AF271" s="13"/>
      <c r="AG271" s="27"/>
      <c r="AH271" s="27"/>
      <c r="AI271" s="27"/>
      <c r="AJ271" s="27"/>
      <c r="CL271" s="27"/>
    </row>
    <row r="272" spans="2:90" s="18" customFormat="1" ht="14.1" customHeight="1" x14ac:dyDescent="0.2">
      <c r="B272" s="54"/>
      <c r="C272" s="54"/>
      <c r="D272" s="54"/>
      <c r="E272" s="50"/>
      <c r="F272" s="50"/>
      <c r="G272" s="50"/>
      <c r="H272" s="50"/>
      <c r="I272" s="50"/>
      <c r="J272" s="50"/>
      <c r="K272" s="50"/>
      <c r="L272" s="50"/>
      <c r="M272" s="50"/>
      <c r="N272" s="51"/>
      <c r="O272" s="51"/>
      <c r="P272" s="52"/>
      <c r="Q272" s="55"/>
      <c r="R272" s="55"/>
      <c r="S272" s="55"/>
      <c r="T272" s="55"/>
      <c r="U272" s="55"/>
      <c r="W272" s="27"/>
      <c r="Z272" s="27"/>
      <c r="AA272" s="27"/>
      <c r="AB272" s="27"/>
      <c r="AC272" s="27"/>
      <c r="AD272" s="13"/>
      <c r="AE272" s="13"/>
      <c r="AF272" s="13"/>
      <c r="AG272" s="27"/>
      <c r="AH272" s="27"/>
      <c r="AI272" s="27"/>
      <c r="AJ272" s="27"/>
      <c r="CL272" s="27"/>
    </row>
    <row r="273" spans="2:90" s="18" customFormat="1" ht="14.1" customHeight="1" x14ac:dyDescent="0.2">
      <c r="B273" s="54"/>
      <c r="C273" s="54"/>
      <c r="D273" s="54"/>
      <c r="E273" s="50"/>
      <c r="F273" s="50"/>
      <c r="G273" s="50"/>
      <c r="H273" s="50"/>
      <c r="I273" s="50"/>
      <c r="J273" s="50"/>
      <c r="K273" s="50"/>
      <c r="L273" s="50"/>
      <c r="M273" s="50"/>
      <c r="N273" s="51"/>
      <c r="O273" s="51"/>
      <c r="P273" s="52"/>
      <c r="Q273" s="55"/>
      <c r="R273" s="55"/>
      <c r="S273" s="55"/>
      <c r="T273" s="55"/>
      <c r="U273" s="55"/>
      <c r="W273" s="27"/>
      <c r="Z273" s="27"/>
      <c r="AA273" s="27"/>
      <c r="AB273" s="27"/>
      <c r="AC273" s="27"/>
      <c r="AD273" s="13"/>
      <c r="AE273" s="13"/>
      <c r="AF273" s="13"/>
      <c r="AG273" s="27"/>
      <c r="AH273" s="27"/>
      <c r="AI273" s="27"/>
      <c r="AJ273" s="27"/>
      <c r="CL273" s="27"/>
    </row>
    <row r="274" spans="2:90" s="18" customFormat="1" ht="14.1" customHeight="1" x14ac:dyDescent="0.2">
      <c r="B274" s="54"/>
      <c r="C274" s="54"/>
      <c r="D274" s="54"/>
      <c r="E274" s="50"/>
      <c r="F274" s="50"/>
      <c r="G274" s="50"/>
      <c r="H274" s="50"/>
      <c r="I274" s="50"/>
      <c r="J274" s="50"/>
      <c r="K274" s="50"/>
      <c r="L274" s="50"/>
      <c r="M274" s="50"/>
      <c r="N274" s="51"/>
      <c r="O274" s="51"/>
      <c r="P274" s="52"/>
      <c r="Q274" s="55"/>
      <c r="R274" s="55"/>
      <c r="S274" s="55"/>
      <c r="T274" s="55"/>
      <c r="U274" s="55"/>
      <c r="W274" s="27"/>
      <c r="Z274" s="27"/>
      <c r="AA274" s="27"/>
      <c r="AB274" s="27"/>
      <c r="AC274" s="27"/>
      <c r="AD274" s="13"/>
      <c r="AE274" s="13"/>
      <c r="AF274" s="13"/>
      <c r="AG274" s="27"/>
      <c r="AH274" s="27"/>
      <c r="AI274" s="27"/>
      <c r="AJ274" s="27"/>
      <c r="CL274" s="27"/>
    </row>
    <row r="275" spans="2:90" s="18" customFormat="1" ht="14.1" customHeight="1" x14ac:dyDescent="0.2">
      <c r="B275" s="54"/>
      <c r="C275" s="54"/>
      <c r="D275" s="54"/>
      <c r="E275" s="50"/>
      <c r="F275" s="50"/>
      <c r="G275" s="50"/>
      <c r="H275" s="50"/>
      <c r="I275" s="50"/>
      <c r="J275" s="50"/>
      <c r="K275" s="50"/>
      <c r="L275" s="50"/>
      <c r="M275" s="50"/>
      <c r="N275" s="51"/>
      <c r="O275" s="51"/>
      <c r="P275" s="52"/>
      <c r="Q275" s="55"/>
      <c r="R275" s="55"/>
      <c r="S275" s="55"/>
      <c r="T275" s="55"/>
      <c r="U275" s="55"/>
      <c r="W275" s="27"/>
      <c r="Z275" s="27"/>
      <c r="AA275" s="27"/>
      <c r="AB275" s="27"/>
      <c r="AC275" s="27"/>
      <c r="AD275" s="13"/>
      <c r="AE275" s="13"/>
      <c r="AF275" s="13"/>
      <c r="AG275" s="27"/>
      <c r="AH275" s="27"/>
      <c r="AI275" s="27"/>
      <c r="AJ275" s="27"/>
      <c r="CL275" s="27"/>
    </row>
    <row r="276" spans="2:90" s="18" customFormat="1" ht="14.1" customHeight="1" x14ac:dyDescent="0.2">
      <c r="B276" s="54"/>
      <c r="C276" s="54"/>
      <c r="D276" s="54"/>
      <c r="E276" s="50"/>
      <c r="F276" s="50"/>
      <c r="G276" s="50"/>
      <c r="H276" s="50"/>
      <c r="I276" s="50"/>
      <c r="J276" s="50"/>
      <c r="K276" s="50"/>
      <c r="L276" s="50"/>
      <c r="M276" s="50"/>
      <c r="N276" s="51"/>
      <c r="O276" s="51"/>
      <c r="P276" s="52"/>
      <c r="Q276" s="55"/>
      <c r="R276" s="55"/>
      <c r="S276" s="55"/>
      <c r="T276" s="55"/>
      <c r="U276" s="55"/>
      <c r="W276" s="27"/>
      <c r="Z276" s="27"/>
      <c r="AA276" s="27"/>
      <c r="AB276" s="27"/>
      <c r="AC276" s="27"/>
      <c r="AD276" s="13"/>
      <c r="AE276" s="13"/>
      <c r="AF276" s="13"/>
      <c r="AG276" s="27"/>
      <c r="AH276" s="27"/>
      <c r="AI276" s="27"/>
      <c r="AJ276" s="27"/>
      <c r="CL276" s="27"/>
    </row>
    <row r="277" spans="2:90" s="18" customFormat="1" ht="14.1" customHeight="1" x14ac:dyDescent="0.2">
      <c r="B277" s="54"/>
      <c r="C277" s="54"/>
      <c r="D277" s="54"/>
      <c r="E277" s="50"/>
      <c r="F277" s="50"/>
      <c r="G277" s="50"/>
      <c r="H277" s="50"/>
      <c r="I277" s="50"/>
      <c r="J277" s="50"/>
      <c r="K277" s="50"/>
      <c r="L277" s="50"/>
      <c r="M277" s="50"/>
      <c r="N277" s="51"/>
      <c r="O277" s="51"/>
      <c r="P277" s="52"/>
      <c r="Q277" s="55"/>
      <c r="R277" s="55"/>
      <c r="S277" s="55"/>
      <c r="T277" s="55"/>
      <c r="U277" s="55"/>
      <c r="W277" s="27"/>
      <c r="Z277" s="27"/>
      <c r="AA277" s="27"/>
      <c r="AB277" s="27"/>
      <c r="AC277" s="27"/>
      <c r="AD277" s="13"/>
      <c r="AE277" s="13"/>
      <c r="AF277" s="13"/>
      <c r="AG277" s="27"/>
      <c r="AH277" s="27"/>
      <c r="AI277" s="27"/>
      <c r="AJ277" s="27"/>
      <c r="CL277" s="27"/>
    </row>
    <row r="278" spans="2:90" s="18" customFormat="1" ht="14.1" customHeight="1" x14ac:dyDescent="0.2">
      <c r="B278" s="54"/>
      <c r="C278" s="54"/>
      <c r="D278" s="54"/>
      <c r="E278" s="50"/>
      <c r="F278" s="50"/>
      <c r="G278" s="50"/>
      <c r="H278" s="50"/>
      <c r="I278" s="50"/>
      <c r="J278" s="50"/>
      <c r="K278" s="50"/>
      <c r="L278" s="50"/>
      <c r="M278" s="50"/>
      <c r="N278" s="51"/>
      <c r="O278" s="51"/>
      <c r="P278" s="52"/>
      <c r="Q278" s="55"/>
      <c r="R278" s="55"/>
      <c r="S278" s="55"/>
      <c r="T278" s="55"/>
      <c r="U278" s="55"/>
      <c r="W278" s="27"/>
      <c r="Z278" s="27"/>
      <c r="AA278" s="27"/>
      <c r="AB278" s="27"/>
      <c r="AC278" s="27"/>
      <c r="AD278" s="13"/>
      <c r="AE278" s="13"/>
      <c r="AF278" s="13"/>
      <c r="AG278" s="27"/>
      <c r="AH278" s="27"/>
      <c r="AI278" s="27"/>
      <c r="AJ278" s="27"/>
      <c r="CL278" s="27"/>
    </row>
    <row r="279" spans="2:90" s="18" customFormat="1" ht="14.1" customHeight="1" x14ac:dyDescent="0.2">
      <c r="B279" s="54"/>
      <c r="C279" s="54"/>
      <c r="D279" s="54"/>
      <c r="E279" s="50"/>
      <c r="F279" s="50"/>
      <c r="G279" s="50"/>
      <c r="H279" s="50"/>
      <c r="I279" s="50"/>
      <c r="J279" s="50"/>
      <c r="K279" s="50"/>
      <c r="L279" s="50"/>
      <c r="M279" s="50"/>
      <c r="N279" s="51"/>
      <c r="O279" s="51"/>
      <c r="P279" s="52"/>
      <c r="Q279" s="55"/>
      <c r="R279" s="55"/>
      <c r="S279" s="55"/>
      <c r="T279" s="55"/>
      <c r="U279" s="55"/>
      <c r="W279" s="27"/>
      <c r="Z279" s="27"/>
      <c r="AA279" s="27"/>
      <c r="AB279" s="27"/>
      <c r="AC279" s="27"/>
      <c r="AD279" s="13"/>
      <c r="AE279" s="13"/>
      <c r="AF279" s="13"/>
      <c r="AG279" s="27"/>
      <c r="AH279" s="27"/>
      <c r="AI279" s="27"/>
      <c r="AJ279" s="27"/>
      <c r="CL279" s="27"/>
    </row>
    <row r="280" spans="2:90" s="18" customFormat="1" ht="14.1" customHeight="1" x14ac:dyDescent="0.2">
      <c r="B280" s="54"/>
      <c r="C280" s="54"/>
      <c r="D280" s="54"/>
      <c r="E280" s="50"/>
      <c r="F280" s="50"/>
      <c r="G280" s="50"/>
      <c r="H280" s="50"/>
      <c r="I280" s="50"/>
      <c r="J280" s="50"/>
      <c r="K280" s="50"/>
      <c r="L280" s="50"/>
      <c r="M280" s="50"/>
      <c r="N280" s="51"/>
      <c r="O280" s="51"/>
      <c r="P280" s="52"/>
      <c r="Q280" s="55"/>
      <c r="R280" s="55"/>
      <c r="S280" s="55"/>
      <c r="T280" s="55"/>
      <c r="U280" s="55"/>
      <c r="W280" s="27"/>
      <c r="Z280" s="27"/>
      <c r="AA280" s="27"/>
      <c r="AB280" s="27"/>
      <c r="AC280" s="27"/>
      <c r="AD280" s="13"/>
      <c r="AE280" s="13"/>
      <c r="AF280" s="13"/>
      <c r="AG280" s="27"/>
      <c r="AH280" s="27"/>
      <c r="AI280" s="27"/>
      <c r="AJ280" s="27"/>
      <c r="CL280" s="27"/>
    </row>
    <row r="281" spans="2:90" s="18" customFormat="1" ht="14.1" customHeight="1" x14ac:dyDescent="0.2">
      <c r="B281" s="54"/>
      <c r="C281" s="54"/>
      <c r="D281" s="54"/>
      <c r="E281" s="50"/>
      <c r="F281" s="50"/>
      <c r="G281" s="50"/>
      <c r="H281" s="50"/>
      <c r="I281" s="50"/>
      <c r="J281" s="50"/>
      <c r="K281" s="50"/>
      <c r="L281" s="50"/>
      <c r="M281" s="50"/>
      <c r="N281" s="51"/>
      <c r="O281" s="51"/>
      <c r="P281" s="52"/>
      <c r="Q281" s="55"/>
      <c r="R281" s="55"/>
      <c r="S281" s="55"/>
      <c r="T281" s="55"/>
      <c r="U281" s="55"/>
      <c r="W281" s="27"/>
      <c r="Z281" s="27"/>
      <c r="AA281" s="27"/>
      <c r="AB281" s="27"/>
      <c r="AC281" s="27"/>
      <c r="AD281" s="13"/>
      <c r="AE281" s="13"/>
      <c r="AF281" s="13"/>
      <c r="AG281" s="27"/>
      <c r="AH281" s="27"/>
      <c r="AI281" s="27"/>
      <c r="AJ281" s="27"/>
      <c r="CL281" s="27"/>
    </row>
    <row r="282" spans="2:90" s="18" customFormat="1" ht="14.1" customHeight="1" x14ac:dyDescent="0.2">
      <c r="B282" s="54"/>
      <c r="C282" s="54"/>
      <c r="D282" s="54"/>
      <c r="E282" s="50"/>
      <c r="F282" s="50"/>
      <c r="G282" s="50"/>
      <c r="H282" s="50"/>
      <c r="I282" s="50"/>
      <c r="J282" s="50"/>
      <c r="K282" s="50"/>
      <c r="L282" s="50"/>
      <c r="M282" s="50"/>
      <c r="N282" s="51"/>
      <c r="O282" s="51"/>
      <c r="P282" s="52"/>
      <c r="Q282" s="55"/>
      <c r="R282" s="55"/>
      <c r="S282" s="55"/>
      <c r="T282" s="55"/>
      <c r="U282" s="55"/>
      <c r="W282" s="27"/>
      <c r="Z282" s="27"/>
      <c r="AA282" s="27"/>
      <c r="AB282" s="27"/>
      <c r="AC282" s="27"/>
      <c r="AD282" s="13"/>
      <c r="AE282" s="13"/>
      <c r="AF282" s="13"/>
      <c r="AG282" s="27"/>
      <c r="AH282" s="27"/>
      <c r="AI282" s="27"/>
      <c r="AJ282" s="27"/>
      <c r="CL282" s="27"/>
    </row>
    <row r="283" spans="2:90" s="18" customFormat="1" ht="14.1" customHeight="1" x14ac:dyDescent="0.2">
      <c r="B283" s="54"/>
      <c r="C283" s="54"/>
      <c r="D283" s="54"/>
      <c r="E283" s="50"/>
      <c r="F283" s="50"/>
      <c r="G283" s="50"/>
      <c r="H283" s="50"/>
      <c r="I283" s="50"/>
      <c r="J283" s="50"/>
      <c r="K283" s="50"/>
      <c r="L283" s="50"/>
      <c r="M283" s="50"/>
      <c r="N283" s="51"/>
      <c r="O283" s="51"/>
      <c r="P283" s="52"/>
      <c r="Q283" s="55"/>
      <c r="R283" s="55"/>
      <c r="S283" s="55"/>
      <c r="T283" s="55"/>
      <c r="U283" s="55"/>
      <c r="W283" s="27"/>
      <c r="Z283" s="27"/>
      <c r="AA283" s="27"/>
      <c r="AB283" s="27"/>
      <c r="AC283" s="27"/>
      <c r="AD283" s="13"/>
      <c r="AE283" s="13"/>
      <c r="AF283" s="13"/>
      <c r="AG283" s="27"/>
      <c r="AH283" s="27"/>
      <c r="AI283" s="27"/>
      <c r="AJ283" s="27"/>
      <c r="CL283" s="27"/>
    </row>
    <row r="284" spans="2:90" s="18" customFormat="1" ht="14.1" customHeight="1" x14ac:dyDescent="0.2">
      <c r="B284" s="54"/>
      <c r="C284" s="54"/>
      <c r="D284" s="54"/>
      <c r="E284" s="50"/>
      <c r="F284" s="50"/>
      <c r="G284" s="50"/>
      <c r="H284" s="50"/>
      <c r="I284" s="50"/>
      <c r="J284" s="50"/>
      <c r="K284" s="50"/>
      <c r="L284" s="50"/>
      <c r="M284" s="50"/>
      <c r="N284" s="51"/>
      <c r="O284" s="51"/>
      <c r="P284" s="52"/>
      <c r="Q284" s="55"/>
      <c r="R284" s="55"/>
      <c r="S284" s="55"/>
      <c r="T284" s="55"/>
      <c r="U284" s="55"/>
      <c r="W284" s="27"/>
      <c r="Z284" s="27"/>
      <c r="AA284" s="27"/>
      <c r="AB284" s="27"/>
      <c r="AC284" s="27"/>
      <c r="AD284" s="13"/>
      <c r="AE284" s="13"/>
      <c r="AF284" s="13"/>
      <c r="AG284" s="27"/>
      <c r="AH284" s="27"/>
      <c r="AI284" s="27"/>
      <c r="AJ284" s="27"/>
      <c r="CL284" s="27"/>
    </row>
    <row r="285" spans="2:90" s="18" customFormat="1" ht="14.1" customHeight="1" x14ac:dyDescent="0.2">
      <c r="B285" s="54"/>
      <c r="C285" s="54"/>
      <c r="D285" s="54"/>
      <c r="E285" s="50"/>
      <c r="F285" s="50"/>
      <c r="G285" s="50"/>
      <c r="H285" s="50"/>
      <c r="I285" s="50"/>
      <c r="J285" s="50"/>
      <c r="K285" s="50"/>
      <c r="L285" s="50"/>
      <c r="M285" s="50"/>
      <c r="N285" s="51"/>
      <c r="O285" s="51"/>
      <c r="P285" s="52"/>
      <c r="Q285" s="55"/>
      <c r="R285" s="55"/>
      <c r="S285" s="55"/>
      <c r="T285" s="55"/>
      <c r="U285" s="55"/>
      <c r="W285" s="27"/>
      <c r="Z285" s="27"/>
      <c r="AA285" s="27"/>
      <c r="AB285" s="27"/>
      <c r="AC285" s="27"/>
      <c r="AD285" s="13"/>
      <c r="AE285" s="13"/>
      <c r="AF285" s="13"/>
      <c r="AG285" s="27"/>
      <c r="AH285" s="27"/>
      <c r="AI285" s="27"/>
      <c r="AJ285" s="27"/>
      <c r="CL285" s="27"/>
    </row>
    <row r="286" spans="2:90" s="18" customFormat="1" ht="14.1" customHeight="1" x14ac:dyDescent="0.2">
      <c r="B286" s="54"/>
      <c r="C286" s="54"/>
      <c r="D286" s="54"/>
      <c r="E286" s="50"/>
      <c r="F286" s="50"/>
      <c r="G286" s="50"/>
      <c r="H286" s="50"/>
      <c r="I286" s="50"/>
      <c r="J286" s="50"/>
      <c r="K286" s="50"/>
      <c r="L286" s="50"/>
      <c r="M286" s="50"/>
      <c r="N286" s="51"/>
      <c r="O286" s="51"/>
      <c r="P286" s="52"/>
      <c r="Q286" s="55"/>
      <c r="R286" s="55"/>
      <c r="S286" s="55"/>
      <c r="T286" s="55"/>
      <c r="U286" s="55"/>
      <c r="W286" s="27"/>
      <c r="Z286" s="27"/>
      <c r="AA286" s="27"/>
      <c r="AB286" s="27"/>
      <c r="AC286" s="27"/>
      <c r="AD286" s="13"/>
      <c r="AE286" s="13"/>
      <c r="AF286" s="13"/>
      <c r="AG286" s="27"/>
      <c r="AH286" s="27"/>
      <c r="AI286" s="27"/>
      <c r="AJ286" s="27"/>
      <c r="CL286" s="27"/>
    </row>
    <row r="287" spans="2:90" s="18" customFormat="1" ht="14.1" customHeight="1" x14ac:dyDescent="0.2">
      <c r="B287" s="54"/>
      <c r="C287" s="54"/>
      <c r="D287" s="54"/>
      <c r="E287" s="50"/>
      <c r="F287" s="50"/>
      <c r="G287" s="50"/>
      <c r="H287" s="50"/>
      <c r="I287" s="50"/>
      <c r="J287" s="50"/>
      <c r="K287" s="50"/>
      <c r="L287" s="50"/>
      <c r="M287" s="50"/>
      <c r="N287" s="51"/>
      <c r="O287" s="51"/>
      <c r="P287" s="52"/>
      <c r="Q287" s="55"/>
      <c r="R287" s="55"/>
      <c r="S287" s="55"/>
      <c r="T287" s="55"/>
      <c r="U287" s="55"/>
      <c r="W287" s="27"/>
      <c r="Z287" s="27"/>
      <c r="AA287" s="27"/>
      <c r="AB287" s="27"/>
      <c r="AC287" s="27"/>
      <c r="AD287" s="13"/>
      <c r="AE287" s="13"/>
      <c r="AF287" s="13"/>
      <c r="AG287" s="27"/>
      <c r="AH287" s="27"/>
      <c r="AI287" s="27"/>
      <c r="AJ287" s="27"/>
      <c r="CL287" s="27"/>
    </row>
    <row r="288" spans="2:90" s="18" customFormat="1" ht="14.1" customHeight="1" x14ac:dyDescent="0.2">
      <c r="B288" s="54"/>
      <c r="C288" s="54"/>
      <c r="D288" s="54"/>
      <c r="E288" s="50"/>
      <c r="F288" s="50"/>
      <c r="G288" s="50"/>
      <c r="H288" s="50"/>
      <c r="I288" s="50"/>
      <c r="J288" s="50"/>
      <c r="K288" s="50"/>
      <c r="L288" s="50"/>
      <c r="M288" s="50"/>
      <c r="N288" s="51"/>
      <c r="O288" s="51"/>
      <c r="P288" s="52"/>
      <c r="Q288" s="55"/>
      <c r="R288" s="55"/>
      <c r="S288" s="55"/>
      <c r="T288" s="55"/>
      <c r="U288" s="55"/>
      <c r="W288" s="27"/>
      <c r="Z288" s="27"/>
      <c r="AA288" s="27"/>
      <c r="AB288" s="27"/>
      <c r="AC288" s="27"/>
      <c r="AD288" s="13"/>
      <c r="AE288" s="13"/>
      <c r="AF288" s="13"/>
      <c r="AG288" s="27"/>
      <c r="AH288" s="27"/>
      <c r="AI288" s="27"/>
      <c r="AJ288" s="27"/>
      <c r="CL288" s="27"/>
    </row>
    <row r="289" spans="2:90" s="18" customFormat="1" ht="14.1" customHeight="1" x14ac:dyDescent="0.2">
      <c r="B289" s="54"/>
      <c r="C289" s="54"/>
      <c r="D289" s="54"/>
      <c r="E289" s="50"/>
      <c r="F289" s="50"/>
      <c r="G289" s="50"/>
      <c r="H289" s="50"/>
      <c r="I289" s="50"/>
      <c r="J289" s="50"/>
      <c r="K289" s="50"/>
      <c r="L289" s="50"/>
      <c r="M289" s="50"/>
      <c r="N289" s="51"/>
      <c r="O289" s="51"/>
      <c r="P289" s="52"/>
      <c r="Q289" s="55"/>
      <c r="R289" s="55"/>
      <c r="S289" s="55"/>
      <c r="T289" s="55"/>
      <c r="U289" s="55"/>
      <c r="W289" s="27"/>
      <c r="Z289" s="27"/>
      <c r="AA289" s="27"/>
      <c r="AB289" s="27"/>
      <c r="AC289" s="27"/>
      <c r="AD289" s="13"/>
      <c r="AE289" s="13"/>
      <c r="AF289" s="13"/>
      <c r="AG289" s="27"/>
      <c r="AH289" s="27"/>
      <c r="AI289" s="27"/>
      <c r="AJ289" s="27"/>
      <c r="CL289" s="27"/>
    </row>
    <row r="290" spans="2:90" s="18" customFormat="1" ht="14.1" customHeight="1" x14ac:dyDescent="0.2">
      <c r="B290" s="54"/>
      <c r="C290" s="54"/>
      <c r="D290" s="54"/>
      <c r="E290" s="50"/>
      <c r="F290" s="50"/>
      <c r="G290" s="50"/>
      <c r="H290" s="50"/>
      <c r="I290" s="50"/>
      <c r="J290" s="50"/>
      <c r="K290" s="50"/>
      <c r="L290" s="50"/>
      <c r="M290" s="50"/>
      <c r="N290" s="51"/>
      <c r="O290" s="51"/>
      <c r="P290" s="52"/>
      <c r="Q290" s="55"/>
      <c r="R290" s="55"/>
      <c r="S290" s="55"/>
      <c r="T290" s="55"/>
      <c r="U290" s="55"/>
      <c r="W290" s="27"/>
      <c r="Z290" s="27"/>
      <c r="AA290" s="27"/>
      <c r="AB290" s="27"/>
      <c r="AC290" s="27"/>
      <c r="AD290" s="13"/>
      <c r="AE290" s="13"/>
      <c r="AF290" s="13"/>
      <c r="AG290" s="27"/>
      <c r="AH290" s="27"/>
      <c r="AI290" s="27"/>
      <c r="AJ290" s="27"/>
      <c r="CL290" s="27"/>
    </row>
    <row r="291" spans="2:90" s="18" customFormat="1" ht="14.1" customHeight="1" x14ac:dyDescent="0.2">
      <c r="B291" s="54"/>
      <c r="C291" s="54"/>
      <c r="D291" s="54"/>
      <c r="E291" s="50"/>
      <c r="F291" s="50"/>
      <c r="G291" s="50"/>
      <c r="H291" s="50"/>
      <c r="I291" s="50"/>
      <c r="J291" s="50"/>
      <c r="K291" s="50"/>
      <c r="L291" s="50"/>
      <c r="M291" s="50"/>
      <c r="N291" s="51"/>
      <c r="O291" s="51"/>
      <c r="P291" s="52"/>
      <c r="Q291" s="55"/>
      <c r="R291" s="55"/>
      <c r="S291" s="55"/>
      <c r="T291" s="55"/>
      <c r="U291" s="55"/>
      <c r="W291" s="27"/>
      <c r="Z291" s="27"/>
      <c r="AA291" s="27"/>
      <c r="AB291" s="27"/>
      <c r="AC291" s="27"/>
      <c r="AD291" s="13"/>
      <c r="AE291" s="13"/>
      <c r="AF291" s="13"/>
      <c r="AG291" s="27"/>
      <c r="AH291" s="27"/>
      <c r="AI291" s="27"/>
      <c r="AJ291" s="27"/>
      <c r="CL291" s="27"/>
    </row>
    <row r="292" spans="2:90" s="18" customFormat="1" ht="14.1" customHeight="1" x14ac:dyDescent="0.2">
      <c r="B292" s="54"/>
      <c r="C292" s="54"/>
      <c r="D292" s="54"/>
      <c r="E292" s="50"/>
      <c r="F292" s="50"/>
      <c r="G292" s="50"/>
      <c r="H292" s="50"/>
      <c r="I292" s="50"/>
      <c r="J292" s="50"/>
      <c r="K292" s="50"/>
      <c r="L292" s="50"/>
      <c r="M292" s="50"/>
      <c r="N292" s="51"/>
      <c r="O292" s="51"/>
      <c r="P292" s="52"/>
      <c r="Q292" s="55"/>
      <c r="R292" s="55"/>
      <c r="S292" s="55"/>
      <c r="T292" s="55"/>
      <c r="U292" s="55"/>
      <c r="W292" s="27"/>
      <c r="Z292" s="27"/>
      <c r="AA292" s="27"/>
      <c r="AB292" s="27"/>
      <c r="AC292" s="27"/>
      <c r="AD292" s="13"/>
      <c r="AE292" s="13"/>
      <c r="AF292" s="13"/>
      <c r="AG292" s="27"/>
      <c r="AH292" s="27"/>
      <c r="AI292" s="27"/>
      <c r="AJ292" s="27"/>
      <c r="CL292" s="27"/>
    </row>
    <row r="293" spans="2:90" s="18" customFormat="1" ht="14.1" customHeight="1" x14ac:dyDescent="0.2">
      <c r="B293" s="54"/>
      <c r="C293" s="54"/>
      <c r="D293" s="54"/>
      <c r="E293" s="50"/>
      <c r="F293" s="50"/>
      <c r="G293" s="50"/>
      <c r="H293" s="50"/>
      <c r="I293" s="50"/>
      <c r="J293" s="50"/>
      <c r="K293" s="50"/>
      <c r="L293" s="50"/>
      <c r="M293" s="50"/>
      <c r="N293" s="51"/>
      <c r="O293" s="51"/>
      <c r="P293" s="52"/>
      <c r="Q293" s="55"/>
      <c r="R293" s="55"/>
      <c r="S293" s="55"/>
      <c r="T293" s="55"/>
      <c r="U293" s="55"/>
      <c r="W293" s="27"/>
      <c r="Z293" s="27"/>
      <c r="AA293" s="27"/>
      <c r="AB293" s="27"/>
      <c r="AC293" s="27"/>
      <c r="AD293" s="13"/>
      <c r="AE293" s="13"/>
      <c r="AF293" s="13"/>
      <c r="AG293" s="27"/>
      <c r="AH293" s="27"/>
      <c r="AI293" s="27"/>
      <c r="AJ293" s="27"/>
      <c r="CL293" s="27"/>
    </row>
    <row r="294" spans="2:90" s="18" customFormat="1" ht="14.1" customHeight="1" x14ac:dyDescent="0.2">
      <c r="B294" s="54"/>
      <c r="C294" s="54"/>
      <c r="D294" s="54"/>
      <c r="E294" s="50"/>
      <c r="F294" s="50"/>
      <c r="G294" s="50"/>
      <c r="H294" s="50"/>
      <c r="I294" s="50"/>
      <c r="J294" s="50"/>
      <c r="K294" s="50"/>
      <c r="L294" s="50"/>
      <c r="M294" s="50"/>
      <c r="N294" s="51"/>
      <c r="O294" s="51"/>
      <c r="P294" s="52"/>
      <c r="Q294" s="55"/>
      <c r="R294" s="55"/>
      <c r="S294" s="55"/>
      <c r="T294" s="55"/>
      <c r="U294" s="55"/>
      <c r="W294" s="27"/>
      <c r="Z294" s="27"/>
      <c r="AA294" s="27"/>
      <c r="AB294" s="27"/>
      <c r="AC294" s="27"/>
      <c r="AD294" s="13"/>
      <c r="AE294" s="13"/>
      <c r="AF294" s="13"/>
      <c r="AG294" s="27"/>
      <c r="AH294" s="27"/>
      <c r="AI294" s="27"/>
      <c r="AJ294" s="27"/>
      <c r="CL294" s="27"/>
    </row>
    <row r="295" spans="2:90" s="18" customFormat="1" ht="14.1" customHeight="1" x14ac:dyDescent="0.2">
      <c r="B295" s="54"/>
      <c r="C295" s="54"/>
      <c r="D295" s="54"/>
      <c r="E295" s="50"/>
      <c r="F295" s="50"/>
      <c r="G295" s="50"/>
      <c r="H295" s="50"/>
      <c r="I295" s="50"/>
      <c r="J295" s="50"/>
      <c r="K295" s="50"/>
      <c r="L295" s="50"/>
      <c r="M295" s="50"/>
      <c r="N295" s="51"/>
      <c r="O295" s="51"/>
      <c r="P295" s="52"/>
      <c r="Q295" s="55"/>
      <c r="R295" s="55"/>
      <c r="S295" s="55"/>
      <c r="T295" s="55"/>
      <c r="U295" s="55"/>
      <c r="W295" s="27"/>
      <c r="Z295" s="27"/>
      <c r="AA295" s="27"/>
      <c r="AB295" s="27"/>
      <c r="AC295" s="27"/>
      <c r="AD295" s="13"/>
      <c r="AE295" s="13"/>
      <c r="AF295" s="13"/>
      <c r="AG295" s="27"/>
      <c r="AH295" s="27"/>
      <c r="AI295" s="27"/>
      <c r="AJ295" s="27"/>
      <c r="CL295" s="27"/>
    </row>
    <row r="296" spans="2:90" s="18" customFormat="1" ht="14.1" customHeight="1" x14ac:dyDescent="0.2">
      <c r="B296" s="54"/>
      <c r="C296" s="54"/>
      <c r="D296" s="54"/>
      <c r="E296" s="50"/>
      <c r="F296" s="50"/>
      <c r="G296" s="50"/>
      <c r="H296" s="50"/>
      <c r="I296" s="50"/>
      <c r="J296" s="50"/>
      <c r="K296" s="50"/>
      <c r="L296" s="50"/>
      <c r="M296" s="50"/>
      <c r="N296" s="51"/>
      <c r="O296" s="51"/>
      <c r="P296" s="52"/>
      <c r="Q296" s="55"/>
      <c r="R296" s="55"/>
      <c r="S296" s="55"/>
      <c r="T296" s="55"/>
      <c r="U296" s="55"/>
      <c r="W296" s="27"/>
      <c r="Z296" s="27"/>
      <c r="AA296" s="27"/>
      <c r="AB296" s="27"/>
      <c r="AC296" s="27"/>
      <c r="AD296" s="13"/>
      <c r="AE296" s="13"/>
      <c r="AF296" s="13"/>
      <c r="AG296" s="27"/>
      <c r="AH296" s="27"/>
      <c r="AI296" s="27"/>
      <c r="AJ296" s="27"/>
      <c r="CL296" s="27"/>
    </row>
    <row r="297" spans="2:90" s="18" customFormat="1" ht="14.1" customHeight="1" x14ac:dyDescent="0.2">
      <c r="B297" s="54"/>
      <c r="C297" s="54"/>
      <c r="D297" s="54"/>
      <c r="E297" s="50"/>
      <c r="F297" s="50"/>
      <c r="G297" s="50"/>
      <c r="H297" s="50"/>
      <c r="I297" s="50"/>
      <c r="J297" s="50"/>
      <c r="K297" s="50"/>
      <c r="L297" s="50"/>
      <c r="M297" s="50"/>
      <c r="N297" s="51"/>
      <c r="O297" s="51"/>
      <c r="P297" s="52"/>
      <c r="Q297" s="55"/>
      <c r="R297" s="55"/>
      <c r="S297" s="55"/>
      <c r="T297" s="55"/>
      <c r="U297" s="55"/>
      <c r="W297" s="27"/>
      <c r="Z297" s="27"/>
      <c r="AA297" s="27"/>
      <c r="AB297" s="27"/>
      <c r="AC297" s="27"/>
      <c r="AD297" s="13"/>
      <c r="AE297" s="13"/>
      <c r="AF297" s="13"/>
      <c r="AG297" s="27"/>
      <c r="AH297" s="27"/>
      <c r="AI297" s="27"/>
      <c r="AJ297" s="27"/>
      <c r="CL297" s="27"/>
    </row>
    <row r="298" spans="2:90" s="18" customFormat="1" ht="14.1" customHeight="1" x14ac:dyDescent="0.2">
      <c r="B298" s="54"/>
      <c r="C298" s="54"/>
      <c r="D298" s="54"/>
      <c r="E298" s="50"/>
      <c r="F298" s="50"/>
      <c r="G298" s="50"/>
      <c r="H298" s="50"/>
      <c r="I298" s="50"/>
      <c r="J298" s="50"/>
      <c r="K298" s="50"/>
      <c r="L298" s="50"/>
      <c r="M298" s="50"/>
      <c r="N298" s="51"/>
      <c r="O298" s="51"/>
      <c r="P298" s="52"/>
      <c r="Q298" s="55"/>
      <c r="R298" s="55"/>
      <c r="S298" s="55"/>
      <c r="T298" s="55"/>
      <c r="U298" s="55"/>
      <c r="W298" s="27"/>
      <c r="Z298" s="27"/>
      <c r="AA298" s="27"/>
      <c r="AB298" s="27"/>
      <c r="AC298" s="27"/>
      <c r="AD298" s="13"/>
      <c r="AE298" s="13"/>
      <c r="AF298" s="13"/>
      <c r="AG298" s="27"/>
      <c r="AH298" s="27"/>
      <c r="AI298" s="27"/>
      <c r="AJ298" s="27"/>
      <c r="CL298" s="27"/>
    </row>
    <row r="299" spans="2:90" s="18" customFormat="1" ht="14.1" customHeight="1" x14ac:dyDescent="0.2">
      <c r="B299" s="54"/>
      <c r="C299" s="54"/>
      <c r="D299" s="54"/>
      <c r="E299" s="50"/>
      <c r="F299" s="50"/>
      <c r="G299" s="50"/>
      <c r="H299" s="50"/>
      <c r="I299" s="50"/>
      <c r="J299" s="50"/>
      <c r="K299" s="50"/>
      <c r="L299" s="50"/>
      <c r="M299" s="50"/>
      <c r="N299" s="51"/>
      <c r="O299" s="51"/>
      <c r="P299" s="52"/>
      <c r="Q299" s="55"/>
      <c r="R299" s="55"/>
      <c r="S299" s="55"/>
      <c r="T299" s="55"/>
      <c r="U299" s="55"/>
      <c r="W299" s="27"/>
      <c r="Z299" s="27"/>
      <c r="AA299" s="27"/>
      <c r="AB299" s="27"/>
      <c r="AC299" s="27"/>
      <c r="AD299" s="13"/>
      <c r="AE299" s="13"/>
      <c r="AF299" s="13"/>
      <c r="AG299" s="27"/>
      <c r="AH299" s="27"/>
      <c r="AI299" s="27"/>
      <c r="AJ299" s="27"/>
      <c r="CL299" s="27"/>
    </row>
    <row r="300" spans="2:90" s="18" customFormat="1" ht="14.1" customHeight="1" x14ac:dyDescent="0.2">
      <c r="B300" s="54"/>
      <c r="C300" s="54"/>
      <c r="D300" s="54"/>
      <c r="E300" s="50"/>
      <c r="F300" s="50"/>
      <c r="G300" s="50"/>
      <c r="H300" s="50"/>
      <c r="I300" s="50"/>
      <c r="J300" s="50"/>
      <c r="K300" s="50"/>
      <c r="L300" s="50"/>
      <c r="M300" s="50"/>
      <c r="N300" s="51"/>
      <c r="O300" s="51"/>
      <c r="P300" s="52"/>
      <c r="Q300" s="55"/>
      <c r="R300" s="55"/>
      <c r="S300" s="55"/>
      <c r="T300" s="55"/>
      <c r="U300" s="55"/>
      <c r="W300" s="27"/>
      <c r="Z300" s="27"/>
      <c r="AA300" s="27"/>
      <c r="AB300" s="27"/>
      <c r="AC300" s="27"/>
      <c r="AD300" s="13"/>
      <c r="AE300" s="13"/>
      <c r="AF300" s="13"/>
      <c r="AG300" s="27"/>
      <c r="AH300" s="27"/>
      <c r="AI300" s="27"/>
      <c r="AJ300" s="27"/>
      <c r="CL300" s="27"/>
    </row>
    <row r="301" spans="2:90" s="18" customFormat="1" ht="14.1" customHeight="1" x14ac:dyDescent="0.2">
      <c r="B301" s="54"/>
      <c r="C301" s="54"/>
      <c r="D301" s="54"/>
      <c r="E301" s="50"/>
      <c r="F301" s="50"/>
      <c r="G301" s="50"/>
      <c r="H301" s="50"/>
      <c r="I301" s="50"/>
      <c r="J301" s="50"/>
      <c r="K301" s="50"/>
      <c r="L301" s="50"/>
      <c r="M301" s="50"/>
      <c r="N301" s="51"/>
      <c r="O301" s="51"/>
      <c r="P301" s="52"/>
      <c r="Q301" s="55"/>
      <c r="R301" s="55"/>
      <c r="S301" s="55"/>
      <c r="T301" s="55"/>
      <c r="U301" s="55"/>
      <c r="W301" s="27"/>
      <c r="Z301" s="27"/>
      <c r="AA301" s="27"/>
      <c r="AB301" s="27"/>
      <c r="AC301" s="27"/>
      <c r="AD301" s="13"/>
      <c r="AE301" s="13"/>
      <c r="AF301" s="13"/>
      <c r="AG301" s="27"/>
      <c r="AH301" s="27"/>
      <c r="AI301" s="27"/>
      <c r="AJ301" s="27"/>
      <c r="CL301" s="27"/>
    </row>
    <row r="302" spans="2:90" s="18" customFormat="1" ht="14.1" customHeight="1" x14ac:dyDescent="0.2">
      <c r="B302" s="54"/>
      <c r="C302" s="54"/>
      <c r="D302" s="54"/>
      <c r="E302" s="50"/>
      <c r="F302" s="50"/>
      <c r="G302" s="50"/>
      <c r="H302" s="50"/>
      <c r="I302" s="50"/>
      <c r="J302" s="50"/>
      <c r="K302" s="50"/>
      <c r="L302" s="50"/>
      <c r="M302" s="50"/>
      <c r="N302" s="51"/>
      <c r="O302" s="51"/>
      <c r="P302" s="52"/>
      <c r="Q302" s="55"/>
      <c r="R302" s="55"/>
      <c r="S302" s="55"/>
      <c r="T302" s="55"/>
      <c r="U302" s="55"/>
      <c r="W302" s="27"/>
      <c r="Z302" s="27"/>
      <c r="AA302" s="27"/>
      <c r="AB302" s="27"/>
      <c r="AC302" s="27"/>
      <c r="AD302" s="13"/>
      <c r="AE302" s="13"/>
      <c r="AF302" s="13"/>
      <c r="AG302" s="27"/>
      <c r="AH302" s="27"/>
      <c r="AI302" s="27"/>
      <c r="AJ302" s="27"/>
      <c r="CL302" s="27"/>
    </row>
    <row r="303" spans="2:90" s="18" customFormat="1" ht="14.1" customHeight="1" x14ac:dyDescent="0.2">
      <c r="B303" s="54"/>
      <c r="C303" s="54"/>
      <c r="D303" s="54"/>
      <c r="E303" s="50"/>
      <c r="F303" s="50"/>
      <c r="G303" s="50"/>
      <c r="H303" s="50"/>
      <c r="I303" s="50"/>
      <c r="J303" s="50"/>
      <c r="K303" s="50"/>
      <c r="L303" s="50"/>
      <c r="M303" s="50"/>
      <c r="N303" s="51"/>
      <c r="O303" s="51"/>
      <c r="P303" s="52"/>
      <c r="Q303" s="55"/>
      <c r="R303" s="55"/>
      <c r="S303" s="55"/>
      <c r="T303" s="55"/>
      <c r="U303" s="55"/>
      <c r="W303" s="27"/>
      <c r="Z303" s="27"/>
      <c r="AA303" s="27"/>
      <c r="AB303" s="27"/>
      <c r="AC303" s="27"/>
      <c r="AD303" s="13"/>
      <c r="AE303" s="13"/>
      <c r="AF303" s="13"/>
      <c r="AG303" s="27"/>
      <c r="AH303" s="27"/>
      <c r="AI303" s="27"/>
      <c r="AJ303" s="27"/>
      <c r="CL303" s="27"/>
    </row>
    <row r="304" spans="2:90" s="18" customFormat="1" ht="14.1" customHeight="1" x14ac:dyDescent="0.2">
      <c r="B304" s="54"/>
      <c r="C304" s="54"/>
      <c r="D304" s="54"/>
      <c r="E304" s="50"/>
      <c r="F304" s="50"/>
      <c r="G304" s="50"/>
      <c r="H304" s="50"/>
      <c r="I304" s="50"/>
      <c r="J304" s="50"/>
      <c r="K304" s="50"/>
      <c r="L304" s="50"/>
      <c r="M304" s="50"/>
      <c r="N304" s="51"/>
      <c r="O304" s="51"/>
      <c r="P304" s="52"/>
      <c r="Q304" s="55"/>
      <c r="R304" s="55"/>
      <c r="S304" s="55"/>
      <c r="T304" s="55"/>
      <c r="U304" s="55"/>
      <c r="W304" s="27"/>
      <c r="Z304" s="27"/>
      <c r="AA304" s="27"/>
      <c r="AB304" s="27"/>
      <c r="AC304" s="27"/>
      <c r="AD304" s="13"/>
      <c r="AE304" s="13"/>
      <c r="AF304" s="13"/>
      <c r="AG304" s="27"/>
      <c r="AH304" s="27"/>
      <c r="AI304" s="27"/>
      <c r="AJ304" s="27"/>
      <c r="CL304" s="27"/>
    </row>
    <row r="305" spans="2:90" s="18" customFormat="1" ht="14.1" customHeight="1" x14ac:dyDescent="0.2">
      <c r="B305" s="54"/>
      <c r="C305" s="54"/>
      <c r="D305" s="54"/>
      <c r="E305" s="50"/>
      <c r="F305" s="50"/>
      <c r="G305" s="50"/>
      <c r="H305" s="50"/>
      <c r="I305" s="50"/>
      <c r="J305" s="50"/>
      <c r="K305" s="50"/>
      <c r="L305" s="50"/>
      <c r="M305" s="50"/>
      <c r="N305" s="51"/>
      <c r="O305" s="51"/>
      <c r="P305" s="52"/>
      <c r="Q305" s="55"/>
      <c r="R305" s="55"/>
      <c r="S305" s="55"/>
      <c r="T305" s="55"/>
      <c r="U305" s="55"/>
      <c r="W305" s="27"/>
      <c r="Z305" s="27"/>
      <c r="AA305" s="27"/>
      <c r="AB305" s="27"/>
      <c r="AC305" s="27"/>
      <c r="AD305" s="13"/>
      <c r="AE305" s="13"/>
      <c r="AF305" s="13"/>
      <c r="AG305" s="27"/>
      <c r="AH305" s="27"/>
      <c r="AI305" s="27"/>
      <c r="AJ305" s="27"/>
      <c r="CL305" s="27"/>
    </row>
    <row r="306" spans="2:90" s="18" customFormat="1" ht="14.1" customHeight="1" x14ac:dyDescent="0.2">
      <c r="B306" s="54"/>
      <c r="C306" s="54"/>
      <c r="D306" s="54"/>
      <c r="E306" s="50"/>
      <c r="F306" s="50"/>
      <c r="G306" s="50"/>
      <c r="H306" s="50"/>
      <c r="I306" s="50"/>
      <c r="J306" s="50"/>
      <c r="K306" s="50"/>
      <c r="L306" s="50"/>
      <c r="M306" s="50"/>
      <c r="N306" s="51"/>
      <c r="O306" s="51"/>
      <c r="P306" s="52"/>
      <c r="Q306" s="55"/>
      <c r="R306" s="55"/>
      <c r="S306" s="55"/>
      <c r="T306" s="55"/>
      <c r="U306" s="55"/>
      <c r="W306" s="27"/>
      <c r="Z306" s="27"/>
      <c r="AA306" s="27"/>
      <c r="AB306" s="27"/>
      <c r="AC306" s="27"/>
      <c r="AD306" s="13"/>
      <c r="AE306" s="13"/>
      <c r="AF306" s="13"/>
      <c r="AG306" s="27"/>
      <c r="AH306" s="27"/>
      <c r="AI306" s="27"/>
      <c r="AJ306" s="27"/>
      <c r="CL306" s="27"/>
    </row>
    <row r="307" spans="2:90" s="18" customFormat="1" ht="14.1" customHeight="1" x14ac:dyDescent="0.2">
      <c r="B307" s="54"/>
      <c r="C307" s="54"/>
      <c r="D307" s="54"/>
      <c r="E307" s="50"/>
      <c r="F307" s="50"/>
      <c r="G307" s="50"/>
      <c r="H307" s="50"/>
      <c r="I307" s="50"/>
      <c r="J307" s="50"/>
      <c r="K307" s="50"/>
      <c r="L307" s="50"/>
      <c r="M307" s="50"/>
      <c r="N307" s="51"/>
      <c r="O307" s="51"/>
      <c r="P307" s="52"/>
      <c r="Q307" s="55"/>
      <c r="R307" s="55"/>
      <c r="S307" s="55"/>
      <c r="T307" s="55"/>
      <c r="U307" s="55"/>
      <c r="W307" s="27"/>
      <c r="Z307" s="27"/>
      <c r="AA307" s="27"/>
      <c r="AB307" s="27"/>
      <c r="AC307" s="27"/>
      <c r="AD307" s="13"/>
      <c r="AE307" s="13"/>
      <c r="AF307" s="13"/>
      <c r="AG307" s="27"/>
      <c r="AH307" s="27"/>
      <c r="AI307" s="27"/>
      <c r="AJ307" s="27"/>
      <c r="CL307" s="27"/>
    </row>
    <row r="308" spans="2:90" s="18" customFormat="1" ht="14.1" customHeight="1" x14ac:dyDescent="0.2">
      <c r="B308" s="54"/>
      <c r="C308" s="54"/>
      <c r="D308" s="54"/>
      <c r="E308" s="50"/>
      <c r="F308" s="50"/>
      <c r="G308" s="50"/>
      <c r="H308" s="50"/>
      <c r="I308" s="50"/>
      <c r="J308" s="50"/>
      <c r="K308" s="50"/>
      <c r="L308" s="50"/>
      <c r="M308" s="50"/>
      <c r="N308" s="51"/>
      <c r="O308" s="51"/>
      <c r="P308" s="52"/>
      <c r="Q308" s="55"/>
      <c r="R308" s="55"/>
      <c r="S308" s="55"/>
      <c r="T308" s="55"/>
      <c r="U308" s="55"/>
      <c r="W308" s="27"/>
      <c r="Z308" s="27"/>
      <c r="AA308" s="27"/>
      <c r="AB308" s="27"/>
      <c r="AC308" s="27"/>
      <c r="AD308" s="13"/>
      <c r="AE308" s="13"/>
      <c r="AF308" s="13"/>
      <c r="AG308" s="27"/>
      <c r="AH308" s="27"/>
      <c r="AI308" s="27"/>
      <c r="AJ308" s="27"/>
      <c r="CL308" s="27"/>
    </row>
    <row r="309" spans="2:90" s="18" customFormat="1" ht="14.1" customHeight="1" x14ac:dyDescent="0.2">
      <c r="B309" s="54"/>
      <c r="C309" s="54"/>
      <c r="D309" s="54"/>
      <c r="E309" s="50"/>
      <c r="F309" s="50"/>
      <c r="G309" s="50"/>
      <c r="H309" s="50"/>
      <c r="I309" s="50"/>
      <c r="J309" s="50"/>
      <c r="K309" s="50"/>
      <c r="L309" s="50"/>
      <c r="M309" s="50"/>
      <c r="N309" s="51"/>
      <c r="O309" s="51"/>
      <c r="P309" s="52"/>
      <c r="Q309" s="55"/>
      <c r="R309" s="55"/>
      <c r="S309" s="55"/>
      <c r="T309" s="55"/>
      <c r="U309" s="55"/>
      <c r="W309" s="27"/>
      <c r="Z309" s="27"/>
      <c r="AA309" s="27"/>
      <c r="AB309" s="27"/>
      <c r="AC309" s="27"/>
      <c r="AD309" s="13"/>
      <c r="AE309" s="13"/>
      <c r="AF309" s="13"/>
      <c r="AG309" s="27"/>
      <c r="AH309" s="27"/>
      <c r="AI309" s="27"/>
      <c r="AJ309" s="27"/>
      <c r="CL309" s="27"/>
    </row>
    <row r="310" spans="2:90" s="18" customFormat="1" ht="14.1" customHeight="1" x14ac:dyDescent="0.2">
      <c r="B310" s="54"/>
      <c r="C310" s="54"/>
      <c r="D310" s="54"/>
      <c r="E310" s="50"/>
      <c r="F310" s="50"/>
      <c r="G310" s="50"/>
      <c r="H310" s="50"/>
      <c r="I310" s="50"/>
      <c r="J310" s="50"/>
      <c r="K310" s="50"/>
      <c r="L310" s="50"/>
      <c r="M310" s="50"/>
      <c r="N310" s="51"/>
      <c r="O310" s="51"/>
      <c r="P310" s="52"/>
      <c r="Q310" s="55"/>
      <c r="R310" s="55"/>
      <c r="S310" s="55"/>
      <c r="T310" s="55"/>
      <c r="U310" s="55"/>
      <c r="W310" s="27"/>
      <c r="Z310" s="27"/>
      <c r="AA310" s="27"/>
      <c r="AB310" s="27"/>
      <c r="AC310" s="27"/>
      <c r="AD310" s="13"/>
      <c r="AE310" s="13"/>
      <c r="AF310" s="13"/>
      <c r="AG310" s="27"/>
      <c r="AH310" s="27"/>
      <c r="AI310" s="27"/>
      <c r="AJ310" s="27"/>
      <c r="CL310" s="27"/>
    </row>
    <row r="311" spans="2:90" s="18" customFormat="1" ht="14.1" customHeight="1" x14ac:dyDescent="0.2">
      <c r="B311" s="54"/>
      <c r="C311" s="54"/>
      <c r="D311" s="54"/>
      <c r="E311" s="50"/>
      <c r="F311" s="50"/>
      <c r="G311" s="50"/>
      <c r="H311" s="50"/>
      <c r="I311" s="50"/>
      <c r="J311" s="50"/>
      <c r="K311" s="50"/>
      <c r="L311" s="50"/>
      <c r="M311" s="50"/>
      <c r="N311" s="51"/>
      <c r="O311" s="51"/>
      <c r="P311" s="52"/>
      <c r="Q311" s="55"/>
      <c r="R311" s="55"/>
      <c r="S311" s="55"/>
      <c r="T311" s="55"/>
      <c r="U311" s="55"/>
      <c r="W311" s="27"/>
      <c r="Z311" s="27"/>
      <c r="AA311" s="27"/>
      <c r="AB311" s="27"/>
      <c r="AC311" s="27"/>
      <c r="AD311" s="13"/>
      <c r="AE311" s="13"/>
      <c r="AF311" s="13"/>
      <c r="AG311" s="27"/>
      <c r="AH311" s="27"/>
      <c r="AI311" s="27"/>
      <c r="AJ311" s="27"/>
      <c r="CL311" s="27"/>
    </row>
    <row r="312" spans="2:90" s="18" customFormat="1" ht="14.1" customHeight="1" x14ac:dyDescent="0.2">
      <c r="B312" s="54"/>
      <c r="C312" s="54"/>
      <c r="D312" s="54"/>
      <c r="E312" s="50"/>
      <c r="F312" s="50"/>
      <c r="G312" s="50"/>
      <c r="H312" s="50"/>
      <c r="I312" s="50"/>
      <c r="J312" s="50"/>
      <c r="K312" s="50"/>
      <c r="L312" s="50"/>
      <c r="M312" s="50"/>
      <c r="N312" s="51"/>
      <c r="O312" s="51"/>
      <c r="P312" s="52"/>
      <c r="Q312" s="55"/>
      <c r="R312" s="55"/>
      <c r="S312" s="55"/>
      <c r="T312" s="55"/>
      <c r="U312" s="55"/>
      <c r="W312" s="27"/>
      <c r="Z312" s="27"/>
      <c r="AA312" s="27"/>
      <c r="AB312" s="27"/>
      <c r="AC312" s="27"/>
      <c r="AD312" s="13"/>
      <c r="AE312" s="13"/>
      <c r="AF312" s="13"/>
      <c r="AG312" s="27"/>
      <c r="AH312" s="27"/>
      <c r="AI312" s="27"/>
      <c r="AJ312" s="27"/>
      <c r="CL312" s="27"/>
    </row>
    <row r="313" spans="2:90" s="18" customFormat="1" ht="14.1" customHeight="1" x14ac:dyDescent="0.2">
      <c r="B313" s="54"/>
      <c r="C313" s="54"/>
      <c r="D313" s="54"/>
      <c r="E313" s="50"/>
      <c r="F313" s="50"/>
      <c r="G313" s="50"/>
      <c r="H313" s="50"/>
      <c r="I313" s="50"/>
      <c r="J313" s="50"/>
      <c r="K313" s="50"/>
      <c r="L313" s="50"/>
      <c r="M313" s="50"/>
      <c r="N313" s="51"/>
      <c r="O313" s="51"/>
      <c r="P313" s="52"/>
      <c r="Q313" s="55"/>
      <c r="R313" s="55"/>
      <c r="S313" s="55"/>
      <c r="T313" s="55"/>
      <c r="U313" s="55"/>
      <c r="W313" s="27"/>
      <c r="Z313" s="27"/>
      <c r="AA313" s="27"/>
      <c r="AB313" s="27"/>
      <c r="AC313" s="27"/>
      <c r="AD313" s="13"/>
      <c r="AE313" s="13"/>
      <c r="AF313" s="13"/>
      <c r="AG313" s="27"/>
      <c r="AH313" s="27"/>
      <c r="AI313" s="27"/>
      <c r="AJ313" s="27"/>
      <c r="CL313" s="27"/>
    </row>
    <row r="314" spans="2:90" s="18" customFormat="1" ht="14.1" customHeight="1" x14ac:dyDescent="0.2">
      <c r="B314" s="54"/>
      <c r="C314" s="54"/>
      <c r="D314" s="54"/>
      <c r="E314" s="50"/>
      <c r="F314" s="50"/>
      <c r="G314" s="50"/>
      <c r="H314" s="50"/>
      <c r="I314" s="50"/>
      <c r="J314" s="50"/>
      <c r="K314" s="50"/>
      <c r="L314" s="50"/>
      <c r="M314" s="50"/>
      <c r="N314" s="51"/>
      <c r="O314" s="51"/>
      <c r="P314" s="52"/>
      <c r="Q314" s="55"/>
      <c r="R314" s="55"/>
      <c r="S314" s="55"/>
      <c r="T314" s="55"/>
      <c r="U314" s="55"/>
      <c r="W314" s="27"/>
      <c r="Z314" s="27"/>
      <c r="AA314" s="27"/>
      <c r="AB314" s="27"/>
      <c r="AC314" s="27"/>
      <c r="AD314" s="13"/>
      <c r="AE314" s="13"/>
      <c r="AF314" s="13"/>
      <c r="AG314" s="27"/>
      <c r="AH314" s="27"/>
      <c r="AI314" s="27"/>
      <c r="AJ314" s="27"/>
      <c r="CL314" s="27"/>
    </row>
    <row r="315" spans="2:90" s="18" customFormat="1" ht="14.1" customHeight="1" x14ac:dyDescent="0.2">
      <c r="B315" s="54"/>
      <c r="C315" s="54"/>
      <c r="D315" s="54"/>
      <c r="E315" s="50"/>
      <c r="F315" s="50"/>
      <c r="G315" s="50"/>
      <c r="H315" s="50"/>
      <c r="I315" s="50"/>
      <c r="J315" s="50"/>
      <c r="K315" s="50"/>
      <c r="L315" s="50"/>
      <c r="M315" s="50"/>
      <c r="N315" s="51"/>
      <c r="O315" s="51"/>
      <c r="P315" s="52"/>
      <c r="Q315" s="55"/>
      <c r="R315" s="55"/>
      <c r="S315" s="55"/>
      <c r="T315" s="55"/>
      <c r="U315" s="55"/>
      <c r="W315" s="27"/>
      <c r="Z315" s="27"/>
      <c r="AA315" s="27"/>
      <c r="AB315" s="27"/>
      <c r="AC315" s="27"/>
      <c r="AD315" s="13"/>
      <c r="AE315" s="13"/>
      <c r="AF315" s="13"/>
      <c r="AG315" s="27"/>
      <c r="AH315" s="27"/>
      <c r="AI315" s="27"/>
      <c r="AJ315" s="27"/>
      <c r="CL315" s="27"/>
    </row>
    <row r="316" spans="2:90" s="18" customFormat="1" ht="14.1" customHeight="1" x14ac:dyDescent="0.2">
      <c r="B316" s="54"/>
      <c r="C316" s="54"/>
      <c r="D316" s="54"/>
      <c r="E316" s="50"/>
      <c r="F316" s="50"/>
      <c r="G316" s="50"/>
      <c r="H316" s="50"/>
      <c r="I316" s="50"/>
      <c r="J316" s="50"/>
      <c r="K316" s="50"/>
      <c r="L316" s="50"/>
      <c r="M316" s="50"/>
      <c r="N316" s="51"/>
      <c r="O316" s="51"/>
      <c r="P316" s="52"/>
      <c r="Q316" s="55"/>
      <c r="R316" s="55"/>
      <c r="S316" s="55"/>
      <c r="T316" s="55"/>
      <c r="U316" s="55"/>
      <c r="W316" s="27"/>
      <c r="Z316" s="27"/>
      <c r="AA316" s="27"/>
      <c r="AB316" s="27"/>
      <c r="AC316" s="27"/>
      <c r="AD316" s="13"/>
      <c r="AE316" s="13"/>
      <c r="AF316" s="13"/>
      <c r="AG316" s="27"/>
      <c r="AH316" s="27"/>
      <c r="AI316" s="27"/>
      <c r="AJ316" s="27"/>
      <c r="CL316" s="27"/>
    </row>
    <row r="317" spans="2:90" s="18" customFormat="1" ht="14.1" customHeight="1" x14ac:dyDescent="0.2">
      <c r="B317" s="54"/>
      <c r="C317" s="54"/>
      <c r="D317" s="54"/>
      <c r="E317" s="50"/>
      <c r="F317" s="50"/>
      <c r="G317" s="50"/>
      <c r="H317" s="50"/>
      <c r="I317" s="50"/>
      <c r="J317" s="50"/>
      <c r="K317" s="50"/>
      <c r="L317" s="50"/>
      <c r="M317" s="50"/>
      <c r="N317" s="51"/>
      <c r="O317" s="51"/>
      <c r="P317" s="52"/>
      <c r="Q317" s="55"/>
      <c r="R317" s="55"/>
      <c r="S317" s="55"/>
      <c r="T317" s="55"/>
      <c r="U317" s="55"/>
      <c r="W317" s="27"/>
      <c r="Z317" s="27"/>
      <c r="AA317" s="27"/>
      <c r="AB317" s="27"/>
      <c r="AC317" s="27"/>
      <c r="AD317" s="13"/>
      <c r="AE317" s="13"/>
      <c r="AF317" s="13"/>
      <c r="AG317" s="27"/>
      <c r="AH317" s="27"/>
      <c r="AI317" s="27"/>
      <c r="AJ317" s="27"/>
      <c r="CL317" s="27"/>
    </row>
    <row r="318" spans="2:90" s="18" customFormat="1" ht="14.1" customHeight="1" x14ac:dyDescent="0.2">
      <c r="B318" s="54"/>
      <c r="C318" s="54"/>
      <c r="D318" s="54"/>
      <c r="E318" s="50"/>
      <c r="F318" s="50"/>
      <c r="G318" s="50"/>
      <c r="H318" s="50"/>
      <c r="I318" s="50"/>
      <c r="J318" s="50"/>
      <c r="K318" s="50"/>
      <c r="L318" s="50"/>
      <c r="M318" s="50"/>
      <c r="N318" s="51"/>
      <c r="O318" s="51"/>
      <c r="P318" s="52"/>
      <c r="Q318" s="55"/>
      <c r="R318" s="55"/>
      <c r="S318" s="55"/>
      <c r="T318" s="55"/>
      <c r="U318" s="55"/>
      <c r="W318" s="27"/>
      <c r="Z318" s="27"/>
      <c r="AA318" s="27"/>
      <c r="AB318" s="27"/>
      <c r="AC318" s="27"/>
      <c r="AD318" s="13"/>
      <c r="AE318" s="13"/>
      <c r="AF318" s="13"/>
      <c r="AG318" s="27"/>
      <c r="AH318" s="27"/>
      <c r="AI318" s="27"/>
      <c r="AJ318" s="27"/>
      <c r="CL318" s="27"/>
    </row>
    <row r="319" spans="2:90" s="18" customFormat="1" ht="14.1" customHeight="1" x14ac:dyDescent="0.2">
      <c r="B319" s="54"/>
      <c r="C319" s="54"/>
      <c r="D319" s="54"/>
      <c r="E319" s="50"/>
      <c r="F319" s="50"/>
      <c r="G319" s="50"/>
      <c r="H319" s="50"/>
      <c r="I319" s="50"/>
      <c r="J319" s="50"/>
      <c r="K319" s="50"/>
      <c r="L319" s="50"/>
      <c r="M319" s="50"/>
      <c r="N319" s="51"/>
      <c r="O319" s="51"/>
      <c r="P319" s="52"/>
      <c r="Q319" s="55"/>
      <c r="R319" s="55"/>
      <c r="S319" s="55"/>
      <c r="T319" s="55"/>
      <c r="U319" s="55"/>
      <c r="W319" s="27"/>
      <c r="Z319" s="27"/>
      <c r="AA319" s="27"/>
      <c r="AB319" s="27"/>
      <c r="AC319" s="27"/>
      <c r="AD319" s="13"/>
      <c r="AE319" s="13"/>
      <c r="AF319" s="13"/>
      <c r="AG319" s="27"/>
      <c r="AH319" s="27"/>
      <c r="AI319" s="27"/>
      <c r="AJ319" s="27"/>
      <c r="CL319" s="27"/>
    </row>
    <row r="320" spans="2:90" s="18" customFormat="1" ht="14.1" customHeight="1" x14ac:dyDescent="0.2">
      <c r="B320" s="54"/>
      <c r="C320" s="54"/>
      <c r="D320" s="54"/>
      <c r="E320" s="50"/>
      <c r="F320" s="50"/>
      <c r="G320" s="50"/>
      <c r="H320" s="50"/>
      <c r="I320" s="50"/>
      <c r="J320" s="50"/>
      <c r="K320" s="50"/>
      <c r="L320" s="50"/>
      <c r="M320" s="50"/>
      <c r="N320" s="51"/>
      <c r="O320" s="51"/>
      <c r="P320" s="52"/>
      <c r="Q320" s="55"/>
      <c r="R320" s="55"/>
      <c r="S320" s="55"/>
      <c r="T320" s="55"/>
      <c r="U320" s="55"/>
      <c r="W320" s="27"/>
      <c r="Z320" s="27"/>
      <c r="AA320" s="27"/>
      <c r="AB320" s="27"/>
      <c r="AC320" s="27"/>
      <c r="AD320" s="13"/>
      <c r="AE320" s="13"/>
      <c r="AF320" s="13"/>
      <c r="AG320" s="27"/>
      <c r="AH320" s="27"/>
      <c r="AI320" s="27"/>
      <c r="AJ320" s="27"/>
      <c r="CL320" s="27"/>
    </row>
    <row r="321" spans="2:90" s="18" customFormat="1" ht="14.1" customHeight="1" x14ac:dyDescent="0.2">
      <c r="B321" s="54"/>
      <c r="C321" s="54"/>
      <c r="D321" s="54"/>
      <c r="E321" s="50"/>
      <c r="F321" s="50"/>
      <c r="G321" s="50"/>
      <c r="H321" s="50"/>
      <c r="I321" s="50"/>
      <c r="J321" s="50"/>
      <c r="K321" s="50"/>
      <c r="L321" s="50"/>
      <c r="M321" s="50"/>
      <c r="N321" s="51"/>
      <c r="O321" s="51"/>
      <c r="P321" s="52"/>
      <c r="Q321" s="55"/>
      <c r="R321" s="55"/>
      <c r="S321" s="55"/>
      <c r="T321" s="55"/>
      <c r="U321" s="55"/>
      <c r="W321" s="27"/>
      <c r="Z321" s="27"/>
      <c r="AA321" s="27"/>
      <c r="AB321" s="27"/>
      <c r="AC321" s="27"/>
      <c r="AD321" s="13"/>
      <c r="AE321" s="13"/>
      <c r="AF321" s="13"/>
      <c r="AG321" s="27"/>
      <c r="AH321" s="27"/>
      <c r="AI321" s="27"/>
      <c r="AJ321" s="27"/>
      <c r="CL321" s="27"/>
    </row>
    <row r="322" spans="2:90" s="18" customFormat="1" ht="14.1" customHeight="1" x14ac:dyDescent="0.2">
      <c r="B322" s="54"/>
      <c r="C322" s="54"/>
      <c r="D322" s="54"/>
      <c r="E322" s="50"/>
      <c r="F322" s="50"/>
      <c r="G322" s="50"/>
      <c r="H322" s="50"/>
      <c r="I322" s="50"/>
      <c r="J322" s="50"/>
      <c r="K322" s="50"/>
      <c r="L322" s="50"/>
      <c r="M322" s="50"/>
      <c r="N322" s="51"/>
      <c r="O322" s="51"/>
      <c r="P322" s="52"/>
      <c r="Q322" s="55"/>
      <c r="R322" s="55"/>
      <c r="S322" s="55"/>
      <c r="T322" s="55"/>
      <c r="U322" s="55"/>
      <c r="W322" s="27"/>
      <c r="Z322" s="27"/>
      <c r="AA322" s="27"/>
      <c r="AB322" s="27"/>
      <c r="AC322" s="27"/>
      <c r="AD322" s="13"/>
      <c r="AE322" s="13"/>
      <c r="AF322" s="13"/>
      <c r="AG322" s="27"/>
      <c r="AH322" s="27"/>
      <c r="AI322" s="27"/>
      <c r="AJ322" s="27"/>
      <c r="CL322" s="27"/>
    </row>
    <row r="323" spans="2:90" s="18" customFormat="1" ht="14.1" customHeight="1" x14ac:dyDescent="0.2">
      <c r="B323" s="54"/>
      <c r="C323" s="54"/>
      <c r="D323" s="54"/>
      <c r="E323" s="50"/>
      <c r="F323" s="50"/>
      <c r="G323" s="50"/>
      <c r="H323" s="50"/>
      <c r="I323" s="50"/>
      <c r="J323" s="50"/>
      <c r="K323" s="50"/>
      <c r="L323" s="50"/>
      <c r="M323" s="50"/>
      <c r="N323" s="51"/>
      <c r="O323" s="51"/>
      <c r="P323" s="52"/>
      <c r="Q323" s="55"/>
      <c r="R323" s="55"/>
      <c r="S323" s="55"/>
      <c r="T323" s="55"/>
      <c r="U323" s="55"/>
      <c r="W323" s="27"/>
      <c r="Z323" s="27"/>
      <c r="AA323" s="27"/>
      <c r="AB323" s="27"/>
      <c r="AC323" s="27"/>
      <c r="AD323" s="13"/>
      <c r="AE323" s="13"/>
      <c r="AF323" s="13"/>
      <c r="AG323" s="27"/>
      <c r="AH323" s="27"/>
      <c r="AI323" s="27"/>
      <c r="AJ323" s="27"/>
      <c r="CL323" s="27"/>
    </row>
    <row r="324" spans="2:90" s="18" customFormat="1" ht="14.1" customHeight="1" x14ac:dyDescent="0.2">
      <c r="B324" s="54"/>
      <c r="C324" s="54"/>
      <c r="D324" s="54"/>
      <c r="E324" s="50"/>
      <c r="F324" s="50"/>
      <c r="G324" s="50"/>
      <c r="H324" s="50"/>
      <c r="I324" s="50"/>
      <c r="J324" s="50"/>
      <c r="K324" s="50"/>
      <c r="L324" s="50"/>
      <c r="M324" s="50"/>
      <c r="N324" s="51"/>
      <c r="O324" s="51"/>
      <c r="P324" s="52"/>
      <c r="Q324" s="55"/>
      <c r="R324" s="55"/>
      <c r="S324" s="55"/>
      <c r="T324" s="55"/>
      <c r="U324" s="55"/>
      <c r="W324" s="27"/>
      <c r="Z324" s="27"/>
      <c r="AA324" s="27"/>
      <c r="AB324" s="27"/>
      <c r="AC324" s="27"/>
      <c r="AD324" s="13"/>
      <c r="AE324" s="13"/>
      <c r="AF324" s="13"/>
      <c r="AG324" s="27"/>
      <c r="AH324" s="27"/>
      <c r="AI324" s="27"/>
      <c r="AJ324" s="27"/>
      <c r="CL324" s="27"/>
    </row>
    <row r="325" spans="2:90" s="18" customFormat="1" ht="14.1" customHeight="1" x14ac:dyDescent="0.2">
      <c r="B325" s="54"/>
      <c r="C325" s="54"/>
      <c r="D325" s="54"/>
      <c r="E325" s="50"/>
      <c r="F325" s="50"/>
      <c r="G325" s="50"/>
      <c r="H325" s="50"/>
      <c r="I325" s="50"/>
      <c r="J325" s="50"/>
      <c r="K325" s="50"/>
      <c r="L325" s="50"/>
      <c r="M325" s="50"/>
      <c r="N325" s="51"/>
      <c r="O325" s="51"/>
      <c r="P325" s="52"/>
      <c r="Q325" s="55"/>
      <c r="R325" s="55"/>
      <c r="S325" s="55"/>
      <c r="T325" s="55"/>
      <c r="U325" s="55"/>
      <c r="W325" s="27"/>
      <c r="Z325" s="27"/>
      <c r="AA325" s="27"/>
      <c r="AB325" s="27"/>
      <c r="AC325" s="27"/>
      <c r="AD325" s="13"/>
      <c r="AE325" s="13"/>
      <c r="AF325" s="13"/>
      <c r="AG325" s="27"/>
      <c r="AH325" s="27"/>
      <c r="AI325" s="27"/>
      <c r="AJ325" s="27"/>
      <c r="CL325" s="27"/>
    </row>
    <row r="326" spans="2:90" s="18" customFormat="1" ht="14.1" customHeight="1" x14ac:dyDescent="0.2">
      <c r="B326" s="54"/>
      <c r="C326" s="54"/>
      <c r="D326" s="54"/>
      <c r="E326" s="50"/>
      <c r="F326" s="50"/>
      <c r="G326" s="50"/>
      <c r="H326" s="50"/>
      <c r="I326" s="50"/>
      <c r="J326" s="50"/>
      <c r="K326" s="50"/>
      <c r="L326" s="50"/>
      <c r="M326" s="50"/>
      <c r="N326" s="51"/>
      <c r="O326" s="51"/>
      <c r="P326" s="52"/>
      <c r="Q326" s="55"/>
      <c r="R326" s="55"/>
      <c r="S326" s="55"/>
      <c r="T326" s="55"/>
      <c r="U326" s="55"/>
      <c r="W326" s="27"/>
      <c r="Z326" s="27"/>
      <c r="AA326" s="27"/>
      <c r="AB326" s="27"/>
      <c r="AC326" s="27"/>
      <c r="AD326" s="13"/>
      <c r="AE326" s="13"/>
      <c r="AF326" s="13"/>
      <c r="AG326" s="27"/>
      <c r="AH326" s="27"/>
      <c r="AI326" s="27"/>
      <c r="AJ326" s="27"/>
      <c r="CL326" s="27"/>
    </row>
    <row r="327" spans="2:90" s="18" customFormat="1" ht="14.1" customHeight="1" x14ac:dyDescent="0.2">
      <c r="B327" s="54"/>
      <c r="C327" s="54"/>
      <c r="D327" s="54"/>
      <c r="E327" s="50"/>
      <c r="F327" s="50"/>
      <c r="G327" s="50"/>
      <c r="H327" s="50"/>
      <c r="I327" s="50"/>
      <c r="J327" s="50"/>
      <c r="K327" s="50"/>
      <c r="L327" s="50"/>
      <c r="M327" s="50"/>
      <c r="N327" s="51"/>
      <c r="O327" s="51"/>
      <c r="P327" s="52"/>
      <c r="Q327" s="55"/>
      <c r="R327" s="55"/>
      <c r="S327" s="55"/>
      <c r="T327" s="55"/>
      <c r="U327" s="55"/>
      <c r="W327" s="27"/>
      <c r="Z327" s="27"/>
      <c r="AA327" s="27"/>
      <c r="AB327" s="27"/>
      <c r="AC327" s="27"/>
      <c r="AD327" s="13"/>
      <c r="AE327" s="13"/>
      <c r="AF327" s="13"/>
      <c r="AG327" s="27"/>
      <c r="AH327" s="27"/>
      <c r="AI327" s="27"/>
      <c r="AJ327" s="27"/>
      <c r="CL327" s="27"/>
    </row>
    <row r="328" spans="2:90" s="18" customFormat="1" ht="14.1" customHeight="1" x14ac:dyDescent="0.2">
      <c r="B328" s="54"/>
      <c r="C328" s="54"/>
      <c r="D328" s="54"/>
      <c r="E328" s="50"/>
      <c r="F328" s="50"/>
      <c r="G328" s="50"/>
      <c r="H328" s="50"/>
      <c r="I328" s="50"/>
      <c r="J328" s="50"/>
      <c r="K328" s="50"/>
      <c r="L328" s="50"/>
      <c r="M328" s="50"/>
      <c r="N328" s="51"/>
      <c r="O328" s="51"/>
      <c r="P328" s="52"/>
      <c r="Q328" s="55"/>
      <c r="R328" s="55"/>
      <c r="S328" s="55"/>
      <c r="T328" s="55"/>
      <c r="U328" s="55"/>
      <c r="W328" s="27"/>
      <c r="Z328" s="27"/>
      <c r="AA328" s="27"/>
      <c r="AB328" s="27"/>
      <c r="AC328" s="27"/>
      <c r="AD328" s="13"/>
      <c r="AE328" s="13"/>
      <c r="AF328" s="13"/>
      <c r="AG328" s="27"/>
      <c r="AH328" s="27"/>
      <c r="AI328" s="27"/>
      <c r="AJ328" s="27"/>
      <c r="CL328" s="27"/>
    </row>
    <row r="329" spans="2:90" s="18" customFormat="1" ht="14.1" customHeight="1" x14ac:dyDescent="0.2">
      <c r="B329" s="54"/>
      <c r="C329" s="54"/>
      <c r="D329" s="54"/>
      <c r="E329" s="50"/>
      <c r="F329" s="50"/>
      <c r="G329" s="50"/>
      <c r="H329" s="50"/>
      <c r="I329" s="50"/>
      <c r="J329" s="50"/>
      <c r="K329" s="50"/>
      <c r="L329" s="50"/>
      <c r="M329" s="50"/>
      <c r="N329" s="51"/>
      <c r="O329" s="51"/>
      <c r="P329" s="52"/>
      <c r="Q329" s="55"/>
      <c r="R329" s="55"/>
      <c r="S329" s="55"/>
      <c r="T329" s="55"/>
      <c r="U329" s="55"/>
      <c r="W329" s="27"/>
      <c r="Z329" s="27"/>
      <c r="AA329" s="27"/>
      <c r="AB329" s="27"/>
      <c r="AC329" s="27"/>
      <c r="AD329" s="13"/>
      <c r="AE329" s="13"/>
      <c r="AF329" s="13"/>
      <c r="AG329" s="27"/>
      <c r="AH329" s="27"/>
      <c r="AI329" s="27"/>
      <c r="AJ329" s="27"/>
      <c r="CL329" s="27"/>
    </row>
    <row r="330" spans="2:90" s="18" customFormat="1" ht="14.1" customHeight="1" x14ac:dyDescent="0.2">
      <c r="B330" s="54"/>
      <c r="C330" s="54"/>
      <c r="D330" s="54"/>
      <c r="E330" s="50"/>
      <c r="F330" s="50"/>
      <c r="G330" s="50"/>
      <c r="H330" s="50"/>
      <c r="I330" s="50"/>
      <c r="J330" s="50"/>
      <c r="K330" s="50"/>
      <c r="L330" s="50"/>
      <c r="M330" s="50"/>
      <c r="N330" s="51"/>
      <c r="O330" s="51"/>
      <c r="P330" s="52"/>
      <c r="Q330" s="55"/>
      <c r="R330" s="55"/>
      <c r="S330" s="55"/>
      <c r="T330" s="55"/>
      <c r="U330" s="55"/>
      <c r="W330" s="27"/>
      <c r="Z330" s="27"/>
      <c r="AA330" s="27"/>
      <c r="AB330" s="27"/>
      <c r="AC330" s="27"/>
      <c r="AD330" s="13"/>
      <c r="AE330" s="13"/>
      <c r="AF330" s="13"/>
      <c r="AG330" s="27"/>
      <c r="AH330" s="27"/>
      <c r="AI330" s="27"/>
      <c r="AJ330" s="27"/>
      <c r="CL330" s="27"/>
    </row>
    <row r="331" spans="2:90" s="18" customFormat="1" ht="14.1" customHeight="1" x14ac:dyDescent="0.2">
      <c r="B331" s="54"/>
      <c r="C331" s="54"/>
      <c r="D331" s="54"/>
      <c r="E331" s="50"/>
      <c r="F331" s="50"/>
      <c r="G331" s="50"/>
      <c r="H331" s="50"/>
      <c r="I331" s="50"/>
      <c r="J331" s="50"/>
      <c r="K331" s="50"/>
      <c r="L331" s="50"/>
      <c r="M331" s="50"/>
      <c r="N331" s="51"/>
      <c r="O331" s="51"/>
      <c r="P331" s="52"/>
      <c r="Q331" s="55"/>
      <c r="R331" s="55"/>
      <c r="S331" s="55"/>
      <c r="T331" s="55"/>
      <c r="U331" s="55"/>
      <c r="W331" s="27"/>
      <c r="Z331" s="27"/>
      <c r="AA331" s="27"/>
      <c r="AB331" s="27"/>
      <c r="AC331" s="27"/>
      <c r="AD331" s="13"/>
      <c r="AE331" s="13"/>
      <c r="AF331" s="13"/>
      <c r="AG331" s="27"/>
      <c r="AH331" s="27"/>
      <c r="AI331" s="27"/>
      <c r="AJ331" s="27"/>
      <c r="CL331" s="27"/>
    </row>
    <row r="332" spans="2:90" s="18" customFormat="1" ht="14.1" customHeight="1" x14ac:dyDescent="0.2">
      <c r="B332" s="54"/>
      <c r="C332" s="54"/>
      <c r="D332" s="54"/>
      <c r="E332" s="50"/>
      <c r="F332" s="50"/>
      <c r="G332" s="50"/>
      <c r="H332" s="50"/>
      <c r="I332" s="50"/>
      <c r="J332" s="50"/>
      <c r="K332" s="50"/>
      <c r="L332" s="50"/>
      <c r="M332" s="50"/>
      <c r="N332" s="51"/>
      <c r="O332" s="51"/>
      <c r="P332" s="52"/>
      <c r="Q332" s="55"/>
      <c r="R332" s="55"/>
      <c r="S332" s="55"/>
      <c r="T332" s="55"/>
      <c r="U332" s="55"/>
      <c r="W332" s="27"/>
      <c r="Z332" s="27"/>
      <c r="AA332" s="27"/>
      <c r="AB332" s="27"/>
      <c r="AC332" s="27"/>
      <c r="AD332" s="13"/>
      <c r="AE332" s="13"/>
      <c r="AF332" s="13"/>
      <c r="AG332" s="27"/>
      <c r="AH332" s="27"/>
      <c r="AI332" s="27"/>
      <c r="AJ332" s="27"/>
      <c r="CL332" s="27"/>
    </row>
    <row r="333" spans="2:90" s="18" customFormat="1" ht="14.1" customHeight="1" x14ac:dyDescent="0.2">
      <c r="B333" s="54"/>
      <c r="C333" s="54"/>
      <c r="D333" s="54"/>
      <c r="E333" s="50"/>
      <c r="F333" s="50"/>
      <c r="G333" s="50"/>
      <c r="H333" s="50"/>
      <c r="I333" s="50"/>
      <c r="J333" s="50"/>
      <c r="K333" s="50"/>
      <c r="L333" s="50"/>
      <c r="M333" s="50"/>
      <c r="N333" s="51"/>
      <c r="O333" s="51"/>
      <c r="P333" s="52"/>
      <c r="Q333" s="55"/>
      <c r="R333" s="55"/>
      <c r="S333" s="55"/>
      <c r="T333" s="55"/>
      <c r="U333" s="55"/>
      <c r="W333" s="27"/>
      <c r="Z333" s="27"/>
      <c r="AA333" s="27"/>
      <c r="AB333" s="27"/>
      <c r="AC333" s="27"/>
      <c r="AD333" s="13"/>
      <c r="AE333" s="13"/>
      <c r="AF333" s="13"/>
      <c r="AG333" s="27"/>
      <c r="AH333" s="27"/>
      <c r="AI333" s="27"/>
      <c r="AJ333" s="27"/>
      <c r="CL333" s="27"/>
    </row>
    <row r="334" spans="2:90" s="18" customFormat="1" ht="14.1" customHeight="1" x14ac:dyDescent="0.2">
      <c r="B334" s="54"/>
      <c r="C334" s="54"/>
      <c r="D334" s="54"/>
      <c r="E334" s="50"/>
      <c r="F334" s="50"/>
      <c r="G334" s="50"/>
      <c r="H334" s="50"/>
      <c r="I334" s="50"/>
      <c r="J334" s="50"/>
      <c r="K334" s="50"/>
      <c r="L334" s="50"/>
      <c r="M334" s="50"/>
      <c r="N334" s="51"/>
      <c r="O334" s="51"/>
      <c r="P334" s="52"/>
      <c r="Q334" s="55"/>
      <c r="R334" s="55"/>
      <c r="S334" s="55"/>
      <c r="T334" s="55"/>
      <c r="U334" s="55"/>
      <c r="W334" s="27"/>
      <c r="Z334" s="27"/>
      <c r="AA334" s="27"/>
      <c r="AB334" s="27"/>
      <c r="AC334" s="27"/>
      <c r="AD334" s="13"/>
      <c r="AE334" s="13"/>
      <c r="AF334" s="13"/>
      <c r="AG334" s="27"/>
      <c r="AH334" s="27"/>
      <c r="AI334" s="27"/>
      <c r="AJ334" s="27"/>
      <c r="CL334" s="27"/>
    </row>
    <row r="335" spans="2:90" s="18" customFormat="1" ht="14.1" customHeight="1" x14ac:dyDescent="0.2">
      <c r="B335" s="54"/>
      <c r="C335" s="54"/>
      <c r="D335" s="54"/>
      <c r="E335" s="50"/>
      <c r="F335" s="50"/>
      <c r="G335" s="50"/>
      <c r="H335" s="50"/>
      <c r="I335" s="50"/>
      <c r="J335" s="50"/>
      <c r="K335" s="50"/>
      <c r="L335" s="50"/>
      <c r="M335" s="50"/>
      <c r="N335" s="51"/>
      <c r="O335" s="51"/>
      <c r="P335" s="52"/>
      <c r="Q335" s="55"/>
      <c r="R335" s="55"/>
      <c r="S335" s="55"/>
      <c r="T335" s="55"/>
      <c r="U335" s="55"/>
      <c r="W335" s="27"/>
      <c r="Z335" s="27"/>
      <c r="AA335" s="27"/>
      <c r="AB335" s="27"/>
      <c r="AC335" s="27"/>
      <c r="AD335" s="13"/>
      <c r="AE335" s="13"/>
      <c r="AF335" s="13"/>
      <c r="AG335" s="27"/>
      <c r="AH335" s="27"/>
      <c r="AI335" s="27"/>
      <c r="AJ335" s="27"/>
      <c r="CL335" s="27"/>
    </row>
    <row r="336" spans="2:90" s="18" customFormat="1" ht="14.1" customHeight="1" x14ac:dyDescent="0.2">
      <c r="B336" s="54"/>
      <c r="C336" s="54"/>
      <c r="D336" s="54"/>
      <c r="E336" s="50"/>
      <c r="F336" s="50"/>
      <c r="G336" s="50"/>
      <c r="H336" s="50"/>
      <c r="I336" s="50"/>
      <c r="J336" s="50"/>
      <c r="K336" s="50"/>
      <c r="L336" s="50"/>
      <c r="M336" s="50"/>
      <c r="N336" s="51"/>
      <c r="O336" s="51"/>
      <c r="P336" s="52"/>
      <c r="Q336" s="55"/>
      <c r="R336" s="55"/>
      <c r="S336" s="55"/>
      <c r="T336" s="55"/>
      <c r="U336" s="55"/>
      <c r="W336" s="27"/>
      <c r="Z336" s="27"/>
      <c r="AA336" s="27"/>
      <c r="AB336" s="27"/>
      <c r="AC336" s="27"/>
      <c r="AD336" s="13"/>
      <c r="AE336" s="13"/>
      <c r="AF336" s="13"/>
      <c r="AG336" s="27"/>
      <c r="AH336" s="27"/>
      <c r="AI336" s="27"/>
      <c r="AJ336" s="27"/>
      <c r="CL336" s="27"/>
    </row>
    <row r="337" spans="2:90" s="18" customFormat="1" ht="14.1" customHeight="1" x14ac:dyDescent="0.2">
      <c r="B337" s="54"/>
      <c r="C337" s="54"/>
      <c r="D337" s="54"/>
      <c r="E337" s="50"/>
      <c r="F337" s="50"/>
      <c r="G337" s="50"/>
      <c r="H337" s="50"/>
      <c r="I337" s="50"/>
      <c r="J337" s="50"/>
      <c r="K337" s="50"/>
      <c r="L337" s="50"/>
      <c r="M337" s="50"/>
      <c r="N337" s="51"/>
      <c r="O337" s="51"/>
      <c r="P337" s="52"/>
      <c r="Q337" s="55"/>
      <c r="R337" s="55"/>
      <c r="S337" s="55"/>
      <c r="T337" s="55"/>
      <c r="U337" s="55"/>
      <c r="W337" s="27"/>
      <c r="Z337" s="27"/>
      <c r="AA337" s="27"/>
      <c r="AB337" s="27"/>
      <c r="AC337" s="27"/>
      <c r="AD337" s="13"/>
      <c r="AE337" s="13"/>
      <c r="AF337" s="13"/>
      <c r="AG337" s="27"/>
      <c r="AH337" s="27"/>
      <c r="AI337" s="27"/>
      <c r="AJ337" s="27"/>
      <c r="CL337" s="27"/>
    </row>
    <row r="338" spans="2:90" s="18" customFormat="1" ht="14.1" customHeight="1" x14ac:dyDescent="0.2">
      <c r="B338" s="54"/>
      <c r="C338" s="54"/>
      <c r="D338" s="54"/>
      <c r="E338" s="50"/>
      <c r="F338" s="50"/>
      <c r="G338" s="50"/>
      <c r="H338" s="50"/>
      <c r="I338" s="50"/>
      <c r="J338" s="50"/>
      <c r="K338" s="50"/>
      <c r="L338" s="50"/>
      <c r="M338" s="50"/>
      <c r="N338" s="51"/>
      <c r="O338" s="51"/>
      <c r="P338" s="52"/>
      <c r="Q338" s="55"/>
      <c r="R338" s="55"/>
      <c r="S338" s="55"/>
      <c r="T338" s="55"/>
      <c r="U338" s="55"/>
      <c r="W338" s="27"/>
      <c r="Z338" s="27"/>
      <c r="AA338" s="27"/>
      <c r="AB338" s="27"/>
      <c r="AC338" s="27"/>
      <c r="AD338" s="13"/>
      <c r="AE338" s="13"/>
      <c r="AF338" s="13"/>
      <c r="AG338" s="27"/>
      <c r="AH338" s="27"/>
      <c r="AI338" s="27"/>
      <c r="AJ338" s="27"/>
      <c r="CL338" s="27"/>
    </row>
    <row r="339" spans="2:90" s="18" customFormat="1" ht="14.1" customHeight="1" x14ac:dyDescent="0.2">
      <c r="B339" s="54"/>
      <c r="C339" s="54"/>
      <c r="D339" s="54"/>
      <c r="E339" s="50"/>
      <c r="F339" s="50"/>
      <c r="G339" s="50"/>
      <c r="H339" s="50"/>
      <c r="I339" s="50"/>
      <c r="J339" s="50"/>
      <c r="K339" s="50"/>
      <c r="L339" s="50"/>
      <c r="M339" s="50"/>
      <c r="N339" s="51"/>
      <c r="O339" s="51"/>
      <c r="P339" s="52"/>
      <c r="Q339" s="55"/>
      <c r="R339" s="55"/>
      <c r="S339" s="55"/>
      <c r="T339" s="55"/>
      <c r="U339" s="55"/>
      <c r="W339" s="27"/>
      <c r="Z339" s="27"/>
      <c r="AA339" s="27"/>
      <c r="AB339" s="27"/>
      <c r="AC339" s="27"/>
      <c r="AD339" s="13"/>
      <c r="AE339" s="13"/>
      <c r="AF339" s="13"/>
      <c r="AG339" s="27"/>
      <c r="AH339" s="27"/>
      <c r="AI339" s="27"/>
      <c r="AJ339" s="27"/>
      <c r="CL339" s="27"/>
    </row>
    <row r="340" spans="2:90" s="18" customFormat="1" ht="14.1" customHeight="1" x14ac:dyDescent="0.2">
      <c r="B340" s="54"/>
      <c r="C340" s="54"/>
      <c r="D340" s="54"/>
      <c r="E340" s="50"/>
      <c r="F340" s="50"/>
      <c r="G340" s="50"/>
      <c r="H340" s="50"/>
      <c r="I340" s="50"/>
      <c r="J340" s="50"/>
      <c r="K340" s="50"/>
      <c r="L340" s="50"/>
      <c r="M340" s="50"/>
      <c r="N340" s="51"/>
      <c r="O340" s="51"/>
      <c r="P340" s="52"/>
      <c r="Q340" s="55"/>
      <c r="R340" s="55"/>
      <c r="S340" s="55"/>
      <c r="T340" s="55"/>
      <c r="U340" s="55"/>
      <c r="W340" s="27"/>
      <c r="Z340" s="27"/>
      <c r="AA340" s="27"/>
      <c r="AB340" s="27"/>
      <c r="AC340" s="27"/>
      <c r="AD340" s="13"/>
      <c r="AE340" s="13"/>
      <c r="AF340" s="13"/>
      <c r="AG340" s="27"/>
      <c r="AH340" s="27"/>
      <c r="AI340" s="27"/>
      <c r="AJ340" s="27"/>
      <c r="CL340" s="27"/>
    </row>
    <row r="341" spans="2:90" s="18" customFormat="1" ht="14.1" customHeight="1" x14ac:dyDescent="0.2">
      <c r="B341" s="54"/>
      <c r="C341" s="54"/>
      <c r="D341" s="54"/>
      <c r="E341" s="50"/>
      <c r="F341" s="50"/>
      <c r="G341" s="50"/>
      <c r="H341" s="50"/>
      <c r="I341" s="50"/>
      <c r="J341" s="50"/>
      <c r="K341" s="50"/>
      <c r="L341" s="50"/>
      <c r="M341" s="50"/>
      <c r="N341" s="51"/>
      <c r="O341" s="51"/>
      <c r="P341" s="52"/>
      <c r="Q341" s="55"/>
      <c r="R341" s="55"/>
      <c r="S341" s="55"/>
      <c r="T341" s="55"/>
      <c r="U341" s="55"/>
      <c r="W341" s="27"/>
      <c r="Z341" s="27"/>
      <c r="AA341" s="27"/>
      <c r="AB341" s="27"/>
      <c r="AC341" s="27"/>
      <c r="AD341" s="13"/>
      <c r="AE341" s="13"/>
      <c r="AF341" s="13"/>
      <c r="AG341" s="27"/>
      <c r="AH341" s="27"/>
      <c r="AI341" s="27"/>
      <c r="AJ341" s="27"/>
      <c r="CL341" s="27"/>
    </row>
    <row r="342" spans="2:90" s="18" customFormat="1" ht="14.1" customHeight="1" x14ac:dyDescent="0.2">
      <c r="B342" s="54"/>
      <c r="C342" s="54"/>
      <c r="D342" s="54"/>
      <c r="E342" s="50"/>
      <c r="F342" s="50"/>
      <c r="G342" s="50"/>
      <c r="H342" s="50"/>
      <c r="I342" s="50"/>
      <c r="J342" s="50"/>
      <c r="K342" s="50"/>
      <c r="L342" s="50"/>
      <c r="M342" s="50"/>
      <c r="N342" s="51"/>
      <c r="O342" s="51"/>
      <c r="P342" s="52"/>
      <c r="Q342" s="55"/>
      <c r="R342" s="55"/>
      <c r="S342" s="55"/>
      <c r="T342" s="55"/>
      <c r="U342" s="55"/>
      <c r="W342" s="27"/>
      <c r="Z342" s="27"/>
      <c r="AA342" s="27"/>
      <c r="AB342" s="27"/>
      <c r="AC342" s="27"/>
      <c r="AD342" s="13"/>
      <c r="AE342" s="13"/>
      <c r="AF342" s="13"/>
      <c r="AG342" s="27"/>
      <c r="AH342" s="27"/>
      <c r="AI342" s="27"/>
      <c r="AJ342" s="27"/>
      <c r="CL342" s="27"/>
    </row>
    <row r="343" spans="2:90" s="18" customFormat="1" ht="14.1" customHeight="1" x14ac:dyDescent="0.2">
      <c r="B343" s="54"/>
      <c r="C343" s="54"/>
      <c r="D343" s="54"/>
      <c r="E343" s="50"/>
      <c r="F343" s="50"/>
      <c r="G343" s="50"/>
      <c r="H343" s="50"/>
      <c r="I343" s="50"/>
      <c r="J343" s="50"/>
      <c r="K343" s="50"/>
      <c r="L343" s="50"/>
      <c r="M343" s="50"/>
      <c r="N343" s="51"/>
      <c r="O343" s="51"/>
      <c r="P343" s="52"/>
      <c r="Q343" s="55"/>
      <c r="R343" s="55"/>
      <c r="S343" s="55"/>
      <c r="T343" s="55"/>
      <c r="U343" s="55"/>
      <c r="W343" s="27"/>
      <c r="Z343" s="27"/>
      <c r="AA343" s="27"/>
      <c r="AB343" s="27"/>
      <c r="AC343" s="27"/>
      <c r="AD343" s="13"/>
      <c r="AE343" s="13"/>
      <c r="AF343" s="13"/>
      <c r="AG343" s="27"/>
      <c r="AH343" s="27"/>
      <c r="AI343" s="27"/>
      <c r="AJ343" s="27"/>
      <c r="CL343" s="27"/>
    </row>
    <row r="344" spans="2:90" s="18" customFormat="1" ht="14.1" customHeight="1" x14ac:dyDescent="0.2">
      <c r="B344" s="54"/>
      <c r="C344" s="54"/>
      <c r="D344" s="54"/>
      <c r="E344" s="50"/>
      <c r="F344" s="50"/>
      <c r="G344" s="50"/>
      <c r="H344" s="50"/>
      <c r="I344" s="50"/>
      <c r="J344" s="50"/>
      <c r="K344" s="50"/>
      <c r="L344" s="50"/>
      <c r="M344" s="50"/>
      <c r="N344" s="51"/>
      <c r="O344" s="51"/>
      <c r="P344" s="52"/>
      <c r="Q344" s="55"/>
      <c r="R344" s="55"/>
      <c r="S344" s="55"/>
      <c r="T344" s="55"/>
      <c r="U344" s="55"/>
      <c r="W344" s="27"/>
      <c r="Z344" s="27"/>
      <c r="AA344" s="27"/>
      <c r="AB344" s="27"/>
      <c r="AC344" s="27"/>
      <c r="AD344" s="13"/>
      <c r="AE344" s="13"/>
      <c r="AF344" s="13"/>
      <c r="AG344" s="27"/>
      <c r="AH344" s="27"/>
      <c r="AI344" s="27"/>
      <c r="AJ344" s="27"/>
      <c r="CL344" s="27"/>
    </row>
    <row r="345" spans="2:90" s="18" customFormat="1" ht="14.1" customHeight="1" x14ac:dyDescent="0.2">
      <c r="B345" s="54"/>
      <c r="C345" s="54"/>
      <c r="D345" s="54"/>
      <c r="E345" s="50"/>
      <c r="F345" s="50"/>
      <c r="G345" s="50"/>
      <c r="H345" s="50"/>
      <c r="I345" s="50"/>
      <c r="J345" s="50"/>
      <c r="K345" s="50"/>
      <c r="L345" s="50"/>
      <c r="M345" s="50"/>
      <c r="N345" s="51"/>
      <c r="O345" s="51"/>
      <c r="P345" s="52"/>
      <c r="Q345" s="55"/>
      <c r="R345" s="55"/>
      <c r="S345" s="55"/>
      <c r="T345" s="55"/>
      <c r="U345" s="55"/>
      <c r="W345" s="27"/>
      <c r="Z345" s="27"/>
      <c r="AA345" s="27"/>
      <c r="AB345" s="27"/>
      <c r="AC345" s="27"/>
      <c r="AD345" s="13"/>
      <c r="AE345" s="13"/>
      <c r="AF345" s="13"/>
      <c r="AG345" s="27"/>
      <c r="AH345" s="27"/>
      <c r="AI345" s="27"/>
      <c r="AJ345" s="27"/>
      <c r="CL345" s="27"/>
    </row>
    <row r="346" spans="2:90" s="18" customFormat="1" ht="14.1" customHeight="1" x14ac:dyDescent="0.2">
      <c r="B346" s="54"/>
      <c r="C346" s="54"/>
      <c r="D346" s="54"/>
      <c r="E346" s="50"/>
      <c r="F346" s="50"/>
      <c r="G346" s="50"/>
      <c r="H346" s="50"/>
      <c r="I346" s="50"/>
      <c r="J346" s="50"/>
      <c r="K346" s="50"/>
      <c r="L346" s="50"/>
      <c r="M346" s="50"/>
      <c r="N346" s="51"/>
      <c r="O346" s="51"/>
      <c r="P346" s="52"/>
      <c r="Q346" s="55"/>
      <c r="R346" s="55"/>
      <c r="S346" s="55"/>
      <c r="T346" s="55"/>
      <c r="U346" s="55"/>
      <c r="W346" s="27"/>
      <c r="Z346" s="27"/>
      <c r="AA346" s="27"/>
      <c r="AB346" s="27"/>
      <c r="AC346" s="27"/>
      <c r="AD346" s="13"/>
      <c r="AE346" s="13"/>
      <c r="AF346" s="13"/>
      <c r="AG346" s="27"/>
      <c r="AH346" s="27"/>
      <c r="AI346" s="27"/>
      <c r="AJ346" s="27"/>
      <c r="CL346" s="27"/>
    </row>
    <row r="347" spans="2:90" s="18" customFormat="1" ht="14.1" customHeight="1" x14ac:dyDescent="0.2">
      <c r="B347" s="54"/>
      <c r="C347" s="54"/>
      <c r="D347" s="54"/>
      <c r="E347" s="50"/>
      <c r="F347" s="50"/>
      <c r="G347" s="50"/>
      <c r="H347" s="50"/>
      <c r="I347" s="50"/>
      <c r="J347" s="50"/>
      <c r="K347" s="50"/>
      <c r="L347" s="50"/>
      <c r="M347" s="50"/>
      <c r="N347" s="51"/>
      <c r="O347" s="51"/>
      <c r="P347" s="52"/>
      <c r="Q347" s="55"/>
      <c r="R347" s="55"/>
      <c r="S347" s="55"/>
      <c r="T347" s="55"/>
      <c r="U347" s="55"/>
      <c r="W347" s="27"/>
      <c r="Z347" s="27"/>
      <c r="AA347" s="27"/>
      <c r="AB347" s="27"/>
      <c r="AC347" s="27"/>
      <c r="AD347" s="13"/>
      <c r="AE347" s="13"/>
      <c r="AF347" s="13"/>
      <c r="AG347" s="27"/>
      <c r="AH347" s="27"/>
      <c r="AI347" s="27"/>
      <c r="AJ347" s="27"/>
      <c r="CL347" s="27"/>
    </row>
    <row r="348" spans="2:90" s="18" customFormat="1" ht="14.1" customHeight="1" x14ac:dyDescent="0.2">
      <c r="B348" s="54"/>
      <c r="C348" s="54"/>
      <c r="D348" s="54"/>
      <c r="E348" s="50"/>
      <c r="F348" s="50"/>
      <c r="G348" s="50"/>
      <c r="H348" s="50"/>
      <c r="I348" s="50"/>
      <c r="J348" s="50"/>
      <c r="K348" s="50"/>
      <c r="L348" s="50"/>
      <c r="M348" s="50"/>
      <c r="N348" s="51"/>
      <c r="O348" s="51"/>
      <c r="P348" s="52"/>
      <c r="Q348" s="55"/>
      <c r="R348" s="55"/>
      <c r="S348" s="55"/>
      <c r="T348" s="55"/>
      <c r="U348" s="55"/>
      <c r="W348" s="27"/>
      <c r="Z348" s="27"/>
      <c r="AA348" s="27"/>
      <c r="AB348" s="27"/>
      <c r="AC348" s="27"/>
      <c r="AD348" s="13"/>
      <c r="AE348" s="13"/>
      <c r="AF348" s="13"/>
      <c r="AG348" s="27"/>
      <c r="AH348" s="27"/>
      <c r="AI348" s="27"/>
      <c r="AJ348" s="27"/>
      <c r="CL348" s="27"/>
    </row>
    <row r="349" spans="2:90" s="18" customFormat="1" ht="14.1" customHeight="1" x14ac:dyDescent="0.2">
      <c r="B349" s="54"/>
      <c r="C349" s="54"/>
      <c r="D349" s="54"/>
      <c r="E349" s="50"/>
      <c r="F349" s="50"/>
      <c r="G349" s="50"/>
      <c r="H349" s="50"/>
      <c r="I349" s="50"/>
      <c r="J349" s="50"/>
      <c r="K349" s="50"/>
      <c r="L349" s="50"/>
      <c r="M349" s="50"/>
      <c r="N349" s="51"/>
      <c r="O349" s="51"/>
      <c r="P349" s="52"/>
      <c r="Q349" s="55"/>
      <c r="R349" s="55"/>
      <c r="S349" s="55"/>
      <c r="T349" s="55"/>
      <c r="U349" s="55"/>
      <c r="W349" s="27"/>
      <c r="Z349" s="27"/>
      <c r="AA349" s="27"/>
      <c r="AB349" s="27"/>
      <c r="AC349" s="27"/>
      <c r="AD349" s="13"/>
      <c r="AE349" s="13"/>
      <c r="AF349" s="13"/>
      <c r="AG349" s="27"/>
      <c r="AH349" s="27"/>
      <c r="AI349" s="27"/>
      <c r="AJ349" s="27"/>
      <c r="CL349" s="27"/>
    </row>
    <row r="350" spans="2:90" s="18" customFormat="1" ht="14.1" customHeight="1" x14ac:dyDescent="0.2">
      <c r="B350" s="54"/>
      <c r="C350" s="54"/>
      <c r="D350" s="54"/>
      <c r="E350" s="50"/>
      <c r="F350" s="50"/>
      <c r="G350" s="50"/>
      <c r="H350" s="50"/>
      <c r="I350" s="50"/>
      <c r="J350" s="50"/>
      <c r="K350" s="50"/>
      <c r="L350" s="50"/>
      <c r="M350" s="50"/>
      <c r="N350" s="51"/>
      <c r="O350" s="51"/>
      <c r="P350" s="52"/>
      <c r="Q350" s="55"/>
      <c r="R350" s="55"/>
      <c r="S350" s="55"/>
      <c r="T350" s="55"/>
      <c r="U350" s="55"/>
      <c r="W350" s="27"/>
      <c r="Z350" s="27"/>
      <c r="AA350" s="27"/>
      <c r="AB350" s="27"/>
      <c r="AC350" s="27"/>
      <c r="AD350" s="13"/>
      <c r="AE350" s="13"/>
      <c r="AF350" s="13"/>
      <c r="AG350" s="27"/>
      <c r="AH350" s="27"/>
      <c r="AI350" s="27"/>
      <c r="AJ350" s="27"/>
      <c r="CL350" s="27"/>
    </row>
    <row r="351" spans="2:90" s="18" customFormat="1" ht="14.1" customHeight="1" x14ac:dyDescent="0.2">
      <c r="B351" s="54"/>
      <c r="C351" s="54"/>
      <c r="D351" s="54"/>
      <c r="E351" s="50"/>
      <c r="F351" s="50"/>
      <c r="G351" s="50"/>
      <c r="H351" s="50"/>
      <c r="I351" s="50"/>
      <c r="J351" s="50"/>
      <c r="K351" s="50"/>
      <c r="L351" s="50"/>
      <c r="M351" s="50"/>
      <c r="N351" s="51"/>
      <c r="O351" s="51"/>
      <c r="P351" s="52"/>
      <c r="Q351" s="55"/>
      <c r="R351" s="55"/>
      <c r="S351" s="55"/>
      <c r="T351" s="55"/>
      <c r="U351" s="55"/>
      <c r="W351" s="27"/>
      <c r="Z351" s="27"/>
      <c r="AA351" s="27"/>
      <c r="AB351" s="27"/>
      <c r="AC351" s="27"/>
      <c r="AD351" s="13"/>
      <c r="AE351" s="13"/>
      <c r="AF351" s="13"/>
      <c r="AG351" s="27"/>
      <c r="AH351" s="27"/>
      <c r="AI351" s="27"/>
      <c r="AJ351" s="27"/>
      <c r="CL351" s="27"/>
    </row>
    <row r="352" spans="2:90" s="18" customFormat="1" ht="14.1" customHeight="1" x14ac:dyDescent="0.2">
      <c r="B352" s="54"/>
      <c r="C352" s="54"/>
      <c r="D352" s="54"/>
      <c r="E352" s="50"/>
      <c r="F352" s="50"/>
      <c r="G352" s="50"/>
      <c r="H352" s="50"/>
      <c r="I352" s="50"/>
      <c r="J352" s="50"/>
      <c r="K352" s="50"/>
      <c r="L352" s="50"/>
      <c r="M352" s="50"/>
      <c r="N352" s="51"/>
      <c r="O352" s="51"/>
      <c r="P352" s="52"/>
      <c r="Q352" s="55"/>
      <c r="R352" s="55"/>
      <c r="S352" s="55"/>
      <c r="T352" s="55"/>
      <c r="U352" s="55"/>
      <c r="W352" s="27"/>
      <c r="Z352" s="27"/>
      <c r="AA352" s="27"/>
      <c r="AB352" s="27"/>
      <c r="AC352" s="27"/>
      <c r="AD352" s="13"/>
      <c r="AE352" s="13"/>
      <c r="AF352" s="13"/>
      <c r="AG352" s="27"/>
      <c r="AH352" s="27"/>
      <c r="AI352" s="27"/>
      <c r="AJ352" s="27"/>
      <c r="CL352" s="27"/>
    </row>
    <row r="353" spans="2:90" s="18" customFormat="1" ht="14.1" customHeight="1" x14ac:dyDescent="0.2">
      <c r="B353" s="54"/>
      <c r="C353" s="54"/>
      <c r="D353" s="54"/>
      <c r="E353" s="50"/>
      <c r="F353" s="50"/>
      <c r="G353" s="50"/>
      <c r="H353" s="50"/>
      <c r="I353" s="50"/>
      <c r="J353" s="50"/>
      <c r="K353" s="50"/>
      <c r="L353" s="50"/>
      <c r="M353" s="50"/>
      <c r="N353" s="51"/>
      <c r="O353" s="51"/>
      <c r="P353" s="52"/>
      <c r="Q353" s="55"/>
      <c r="R353" s="55"/>
      <c r="S353" s="55"/>
      <c r="T353" s="55"/>
      <c r="U353" s="55"/>
      <c r="W353" s="27"/>
      <c r="Z353" s="27"/>
      <c r="AA353" s="27"/>
      <c r="AB353" s="27"/>
      <c r="AC353" s="27"/>
      <c r="AD353" s="13"/>
      <c r="AE353" s="13"/>
      <c r="AF353" s="13"/>
      <c r="AG353" s="27"/>
      <c r="AH353" s="27"/>
      <c r="AI353" s="27"/>
      <c r="AJ353" s="27"/>
      <c r="CL353" s="27"/>
    </row>
    <row r="354" spans="2:90" s="18" customFormat="1" ht="14.1" customHeight="1" x14ac:dyDescent="0.2">
      <c r="B354" s="54"/>
      <c r="C354" s="54"/>
      <c r="D354" s="54"/>
      <c r="E354" s="50"/>
      <c r="F354" s="50"/>
      <c r="G354" s="50"/>
      <c r="H354" s="50"/>
      <c r="I354" s="50"/>
      <c r="J354" s="50"/>
      <c r="K354" s="50"/>
      <c r="L354" s="50"/>
      <c r="M354" s="50"/>
      <c r="N354" s="51"/>
      <c r="O354" s="51"/>
      <c r="P354" s="52"/>
      <c r="Q354" s="55"/>
      <c r="R354" s="55"/>
      <c r="S354" s="55"/>
      <c r="T354" s="55"/>
      <c r="U354" s="55"/>
      <c r="W354" s="27"/>
      <c r="Z354" s="27"/>
      <c r="AA354" s="27"/>
      <c r="AB354" s="27"/>
      <c r="AC354" s="27"/>
      <c r="AD354" s="13"/>
      <c r="AE354" s="13"/>
      <c r="AF354" s="13"/>
      <c r="AG354" s="27"/>
      <c r="AH354" s="27"/>
      <c r="AI354" s="27"/>
      <c r="AJ354" s="27"/>
      <c r="CL354" s="27"/>
    </row>
    <row r="355" spans="2:90" s="18" customFormat="1" ht="14.1" customHeight="1" x14ac:dyDescent="0.2">
      <c r="B355" s="54"/>
      <c r="C355" s="54"/>
      <c r="D355" s="54"/>
      <c r="E355" s="50"/>
      <c r="F355" s="50"/>
      <c r="G355" s="50"/>
      <c r="H355" s="50"/>
      <c r="I355" s="50"/>
      <c r="J355" s="50"/>
      <c r="K355" s="50"/>
      <c r="L355" s="50"/>
      <c r="M355" s="50"/>
      <c r="N355" s="51"/>
      <c r="O355" s="51"/>
      <c r="P355" s="52"/>
      <c r="Q355" s="55"/>
      <c r="R355" s="55"/>
      <c r="S355" s="55"/>
      <c r="T355" s="55"/>
      <c r="U355" s="55"/>
      <c r="W355" s="27"/>
      <c r="Z355" s="27"/>
      <c r="AA355" s="27"/>
      <c r="AB355" s="27"/>
      <c r="AC355" s="27"/>
      <c r="AD355" s="13"/>
      <c r="AE355" s="13"/>
      <c r="AF355" s="13"/>
      <c r="AG355" s="27"/>
      <c r="AH355" s="27"/>
      <c r="AI355" s="27"/>
      <c r="AJ355" s="27"/>
      <c r="CL355" s="27"/>
    </row>
    <row r="356" spans="2:90" s="18" customFormat="1" ht="14.1" customHeight="1" x14ac:dyDescent="0.2">
      <c r="B356" s="54"/>
      <c r="C356" s="54"/>
      <c r="D356" s="54"/>
      <c r="E356" s="50"/>
      <c r="F356" s="50"/>
      <c r="G356" s="50"/>
      <c r="H356" s="50"/>
      <c r="I356" s="50"/>
      <c r="J356" s="50"/>
      <c r="K356" s="50"/>
      <c r="L356" s="50"/>
      <c r="M356" s="50"/>
      <c r="N356" s="51"/>
      <c r="O356" s="51"/>
      <c r="P356" s="52"/>
      <c r="Q356" s="55"/>
      <c r="R356" s="55"/>
      <c r="S356" s="55"/>
      <c r="T356" s="55"/>
      <c r="U356" s="55"/>
      <c r="W356" s="27"/>
      <c r="Z356" s="27"/>
      <c r="AA356" s="27"/>
      <c r="AB356" s="27"/>
      <c r="AC356" s="27"/>
      <c r="AD356" s="13"/>
      <c r="AE356" s="13"/>
      <c r="AF356" s="13"/>
      <c r="AG356" s="27"/>
      <c r="AH356" s="27"/>
      <c r="AI356" s="27"/>
      <c r="AJ356" s="27"/>
      <c r="CL356" s="27"/>
    </row>
    <row r="357" spans="2:90" s="18" customFormat="1" ht="14.1" customHeight="1" x14ac:dyDescent="0.2">
      <c r="B357" s="54"/>
      <c r="C357" s="54"/>
      <c r="D357" s="54"/>
      <c r="E357" s="50"/>
      <c r="F357" s="50"/>
      <c r="G357" s="50"/>
      <c r="H357" s="50"/>
      <c r="I357" s="50"/>
      <c r="J357" s="50"/>
      <c r="K357" s="50"/>
      <c r="L357" s="50"/>
      <c r="M357" s="50"/>
      <c r="N357" s="51"/>
      <c r="O357" s="51"/>
      <c r="P357" s="52"/>
      <c r="Q357" s="55"/>
      <c r="R357" s="55"/>
      <c r="S357" s="55"/>
      <c r="T357" s="55"/>
      <c r="U357" s="55"/>
      <c r="W357" s="27"/>
      <c r="Z357" s="27"/>
      <c r="AA357" s="27"/>
      <c r="AB357" s="27"/>
      <c r="AC357" s="27"/>
      <c r="AD357" s="13"/>
      <c r="AE357" s="13"/>
      <c r="AF357" s="13"/>
      <c r="AG357" s="27"/>
      <c r="AH357" s="27"/>
      <c r="AI357" s="27"/>
      <c r="AJ357" s="27"/>
      <c r="CL357" s="27"/>
    </row>
    <row r="358" spans="2:90" s="18" customFormat="1" ht="14.1" customHeight="1" x14ac:dyDescent="0.2">
      <c r="B358" s="54"/>
      <c r="C358" s="54"/>
      <c r="D358" s="54"/>
      <c r="E358" s="50"/>
      <c r="F358" s="50"/>
      <c r="G358" s="50"/>
      <c r="H358" s="50"/>
      <c r="I358" s="50"/>
      <c r="J358" s="50"/>
      <c r="K358" s="50"/>
      <c r="L358" s="50"/>
      <c r="M358" s="50"/>
      <c r="N358" s="51"/>
      <c r="O358" s="51"/>
      <c r="P358" s="52"/>
      <c r="Q358" s="55"/>
      <c r="R358" s="55"/>
      <c r="S358" s="55"/>
      <c r="T358" s="55"/>
      <c r="U358" s="55"/>
      <c r="W358" s="27"/>
      <c r="Z358" s="27"/>
      <c r="AA358" s="27"/>
      <c r="AB358" s="27"/>
      <c r="AC358" s="27"/>
      <c r="AD358" s="13"/>
      <c r="AE358" s="13"/>
      <c r="AF358" s="13"/>
      <c r="AG358" s="27"/>
      <c r="AH358" s="27"/>
      <c r="AI358" s="27"/>
      <c r="AJ358" s="27"/>
      <c r="CL358" s="27"/>
    </row>
    <row r="359" spans="2:90" s="18" customFormat="1" ht="14.1" customHeight="1" x14ac:dyDescent="0.2">
      <c r="B359" s="54"/>
      <c r="C359" s="54"/>
      <c r="D359" s="54"/>
      <c r="E359" s="50"/>
      <c r="F359" s="50"/>
      <c r="G359" s="50"/>
      <c r="H359" s="50"/>
      <c r="I359" s="50"/>
      <c r="J359" s="50"/>
      <c r="K359" s="50"/>
      <c r="L359" s="50"/>
      <c r="M359" s="50"/>
      <c r="N359" s="51"/>
      <c r="O359" s="51"/>
      <c r="P359" s="52"/>
      <c r="Q359" s="55"/>
      <c r="R359" s="55"/>
      <c r="S359" s="55"/>
      <c r="T359" s="55"/>
      <c r="U359" s="55"/>
      <c r="W359" s="27"/>
      <c r="Z359" s="27"/>
      <c r="AA359" s="27"/>
      <c r="AB359" s="27"/>
      <c r="AC359" s="27"/>
      <c r="AD359" s="13"/>
      <c r="AE359" s="13"/>
      <c r="AF359" s="13"/>
      <c r="AG359" s="27"/>
      <c r="AH359" s="27"/>
      <c r="AI359" s="27"/>
      <c r="AJ359" s="27"/>
      <c r="CL359" s="27"/>
    </row>
    <row r="360" spans="2:90" s="18" customFormat="1" ht="14.1" customHeight="1" x14ac:dyDescent="0.2">
      <c r="B360" s="54"/>
      <c r="C360" s="54"/>
      <c r="D360" s="54"/>
      <c r="E360" s="50"/>
      <c r="F360" s="50"/>
      <c r="G360" s="50"/>
      <c r="H360" s="50"/>
      <c r="I360" s="50"/>
      <c r="J360" s="50"/>
      <c r="K360" s="50"/>
      <c r="L360" s="50"/>
      <c r="M360" s="50"/>
      <c r="N360" s="51"/>
      <c r="O360" s="51"/>
      <c r="P360" s="52"/>
      <c r="Q360" s="55"/>
      <c r="R360" s="55"/>
      <c r="S360" s="55"/>
      <c r="T360" s="55"/>
      <c r="U360" s="55"/>
      <c r="W360" s="27"/>
      <c r="Z360" s="27"/>
      <c r="AA360" s="27"/>
      <c r="AB360" s="27"/>
      <c r="AC360" s="27"/>
      <c r="AD360" s="13"/>
      <c r="AE360" s="13"/>
      <c r="AF360" s="13"/>
      <c r="AG360" s="27"/>
      <c r="AH360" s="27"/>
      <c r="AI360" s="27"/>
      <c r="AJ360" s="27"/>
      <c r="CL360" s="27"/>
    </row>
    <row r="361" spans="2:90" s="18" customFormat="1" ht="14.1" customHeight="1" x14ac:dyDescent="0.2">
      <c r="B361" s="54"/>
      <c r="C361" s="54"/>
      <c r="D361" s="54"/>
      <c r="E361" s="50"/>
      <c r="F361" s="50"/>
      <c r="G361" s="50"/>
      <c r="H361" s="50"/>
      <c r="I361" s="50"/>
      <c r="J361" s="50"/>
      <c r="K361" s="50"/>
      <c r="L361" s="50"/>
      <c r="M361" s="50"/>
      <c r="N361" s="51"/>
      <c r="O361" s="51"/>
      <c r="P361" s="52"/>
      <c r="Q361" s="55"/>
      <c r="R361" s="55"/>
      <c r="S361" s="55"/>
      <c r="T361" s="55"/>
      <c r="U361" s="55"/>
      <c r="W361" s="27"/>
      <c r="Z361" s="27"/>
      <c r="AA361" s="27"/>
      <c r="AB361" s="27"/>
      <c r="AC361" s="27"/>
      <c r="AD361" s="13"/>
      <c r="AE361" s="13"/>
      <c r="AF361" s="13"/>
      <c r="AG361" s="27"/>
      <c r="AH361" s="27"/>
      <c r="AI361" s="27"/>
      <c r="AJ361" s="27"/>
      <c r="CL361" s="27"/>
    </row>
    <row r="362" spans="2:90" s="18" customFormat="1" ht="14.1" customHeight="1" x14ac:dyDescent="0.2">
      <c r="B362" s="54"/>
      <c r="C362" s="54"/>
      <c r="D362" s="54"/>
      <c r="E362" s="50"/>
      <c r="F362" s="50"/>
      <c r="G362" s="50"/>
      <c r="H362" s="50"/>
      <c r="I362" s="50"/>
      <c r="J362" s="50"/>
      <c r="K362" s="50"/>
      <c r="L362" s="50"/>
      <c r="M362" s="50"/>
      <c r="N362" s="51"/>
      <c r="O362" s="51"/>
      <c r="P362" s="52"/>
      <c r="Q362" s="55"/>
      <c r="R362" s="55"/>
      <c r="S362" s="55"/>
      <c r="T362" s="55"/>
      <c r="U362" s="55"/>
      <c r="W362" s="27"/>
      <c r="Z362" s="27"/>
      <c r="AA362" s="27"/>
      <c r="AB362" s="27"/>
      <c r="AC362" s="27"/>
      <c r="AD362" s="13"/>
      <c r="AE362" s="13"/>
      <c r="AF362" s="13"/>
      <c r="AG362" s="27"/>
      <c r="AH362" s="27"/>
      <c r="AI362" s="27"/>
      <c r="AJ362" s="27"/>
      <c r="CL362" s="27"/>
    </row>
    <row r="363" spans="2:90" s="18" customFormat="1" ht="14.1" customHeight="1" x14ac:dyDescent="0.2">
      <c r="B363" s="54"/>
      <c r="C363" s="54"/>
      <c r="D363" s="54"/>
      <c r="E363" s="50"/>
      <c r="F363" s="50"/>
      <c r="G363" s="50"/>
      <c r="H363" s="50"/>
      <c r="I363" s="50"/>
      <c r="J363" s="50"/>
      <c r="K363" s="50"/>
      <c r="L363" s="50"/>
      <c r="M363" s="50"/>
      <c r="N363" s="51"/>
      <c r="O363" s="51"/>
      <c r="P363" s="52"/>
      <c r="Q363" s="55"/>
      <c r="R363" s="55"/>
      <c r="S363" s="55"/>
      <c r="T363" s="55"/>
      <c r="U363" s="55"/>
      <c r="W363" s="27"/>
      <c r="Z363" s="27"/>
      <c r="AA363" s="27"/>
      <c r="AB363" s="27"/>
      <c r="AC363" s="27"/>
      <c r="AD363" s="13"/>
      <c r="AE363" s="13"/>
      <c r="AF363" s="13"/>
      <c r="AG363" s="27"/>
      <c r="AH363" s="27"/>
      <c r="AI363" s="27"/>
      <c r="AJ363" s="27"/>
      <c r="CL363" s="27"/>
    </row>
    <row r="364" spans="2:90" s="18" customFormat="1" ht="14.1" customHeight="1" x14ac:dyDescent="0.2">
      <c r="B364" s="54"/>
      <c r="C364" s="54"/>
      <c r="D364" s="54"/>
      <c r="E364" s="50"/>
      <c r="F364" s="50"/>
      <c r="G364" s="50"/>
      <c r="H364" s="50"/>
      <c r="I364" s="50"/>
      <c r="J364" s="50"/>
      <c r="K364" s="50"/>
      <c r="L364" s="50"/>
      <c r="M364" s="50"/>
      <c r="N364" s="51"/>
      <c r="O364" s="51"/>
      <c r="P364" s="52"/>
      <c r="Q364" s="55"/>
      <c r="R364" s="55"/>
      <c r="S364" s="55"/>
      <c r="T364" s="55"/>
      <c r="U364" s="55"/>
      <c r="W364" s="27"/>
      <c r="Z364" s="27"/>
      <c r="AA364" s="27"/>
      <c r="AB364" s="27"/>
      <c r="AC364" s="27"/>
      <c r="AD364" s="13"/>
      <c r="AE364" s="13"/>
      <c r="AF364" s="13"/>
      <c r="AG364" s="27"/>
      <c r="AH364" s="27"/>
      <c r="AI364" s="27"/>
      <c r="AJ364" s="27"/>
      <c r="CL364" s="27"/>
    </row>
    <row r="365" spans="2:90" s="18" customFormat="1" ht="14.1" customHeight="1" x14ac:dyDescent="0.2">
      <c r="B365" s="54"/>
      <c r="C365" s="54"/>
      <c r="D365" s="54"/>
      <c r="E365" s="50"/>
      <c r="F365" s="50"/>
      <c r="G365" s="50"/>
      <c r="H365" s="50"/>
      <c r="I365" s="50"/>
      <c r="J365" s="50"/>
      <c r="K365" s="50"/>
      <c r="L365" s="50"/>
      <c r="M365" s="50"/>
      <c r="N365" s="51"/>
      <c r="O365" s="51"/>
      <c r="P365" s="52"/>
      <c r="Q365" s="55"/>
      <c r="R365" s="55"/>
      <c r="S365" s="55"/>
      <c r="T365" s="55"/>
      <c r="U365" s="55"/>
      <c r="W365" s="27"/>
      <c r="Z365" s="27"/>
      <c r="AA365" s="27"/>
      <c r="AB365" s="27"/>
      <c r="AC365" s="27"/>
      <c r="AD365" s="13"/>
      <c r="AE365" s="13"/>
      <c r="AF365" s="13"/>
      <c r="AG365" s="27"/>
      <c r="AH365" s="27"/>
      <c r="AI365" s="27"/>
      <c r="AJ365" s="27"/>
      <c r="CL365" s="27"/>
    </row>
    <row r="366" spans="2:90" s="18" customFormat="1" ht="14.1" customHeight="1" x14ac:dyDescent="0.2">
      <c r="B366" s="54"/>
      <c r="C366" s="54"/>
      <c r="D366" s="54"/>
      <c r="E366" s="50"/>
      <c r="F366" s="50"/>
      <c r="G366" s="50"/>
      <c r="H366" s="50"/>
      <c r="I366" s="50"/>
      <c r="J366" s="50"/>
      <c r="K366" s="50"/>
      <c r="L366" s="50"/>
      <c r="M366" s="50"/>
      <c r="N366" s="51"/>
      <c r="O366" s="51"/>
      <c r="P366" s="52"/>
      <c r="Q366" s="55"/>
      <c r="R366" s="55"/>
      <c r="S366" s="55"/>
      <c r="T366" s="55"/>
      <c r="U366" s="55"/>
      <c r="W366" s="27"/>
      <c r="Z366" s="27"/>
      <c r="AA366" s="27"/>
      <c r="AB366" s="27"/>
      <c r="AC366" s="27"/>
      <c r="AD366" s="13"/>
      <c r="AE366" s="13"/>
      <c r="AF366" s="13"/>
      <c r="AG366" s="27"/>
      <c r="AH366" s="27"/>
      <c r="AI366" s="27"/>
      <c r="AJ366" s="27"/>
      <c r="CL366" s="27"/>
    </row>
    <row r="367" spans="2:90" s="18" customFormat="1" ht="14.1" customHeight="1" x14ac:dyDescent="0.2">
      <c r="B367" s="54"/>
      <c r="C367" s="54"/>
      <c r="D367" s="54"/>
      <c r="E367" s="50"/>
      <c r="F367" s="50"/>
      <c r="G367" s="50"/>
      <c r="H367" s="50"/>
      <c r="I367" s="50"/>
      <c r="J367" s="50"/>
      <c r="K367" s="50"/>
      <c r="L367" s="50"/>
      <c r="M367" s="50"/>
      <c r="N367" s="51"/>
      <c r="O367" s="51"/>
      <c r="P367" s="52"/>
      <c r="Q367" s="55"/>
      <c r="R367" s="55"/>
      <c r="S367" s="55"/>
      <c r="T367" s="55"/>
      <c r="U367" s="55"/>
      <c r="W367" s="27"/>
      <c r="Z367" s="27"/>
      <c r="AA367" s="27"/>
      <c r="AB367" s="27"/>
      <c r="AC367" s="27"/>
      <c r="AD367" s="13"/>
      <c r="AE367" s="13"/>
      <c r="AF367" s="13"/>
      <c r="AG367" s="27"/>
      <c r="AH367" s="27"/>
      <c r="AI367" s="27"/>
      <c r="AJ367" s="27"/>
      <c r="CL367" s="27"/>
    </row>
    <row r="368" spans="2:90" s="18" customFormat="1" ht="14.1" customHeight="1" x14ac:dyDescent="0.2">
      <c r="B368" s="54"/>
      <c r="C368" s="54"/>
      <c r="D368" s="54"/>
      <c r="E368" s="50"/>
      <c r="F368" s="50"/>
      <c r="G368" s="50"/>
      <c r="H368" s="50"/>
      <c r="I368" s="50"/>
      <c r="J368" s="50"/>
      <c r="K368" s="50"/>
      <c r="L368" s="50"/>
      <c r="M368" s="50"/>
      <c r="N368" s="51"/>
      <c r="O368" s="51"/>
      <c r="P368" s="52"/>
      <c r="Q368" s="55"/>
      <c r="R368" s="55"/>
      <c r="S368" s="55"/>
      <c r="T368" s="55"/>
      <c r="U368" s="55"/>
      <c r="W368" s="27"/>
      <c r="Z368" s="27"/>
      <c r="AA368" s="27"/>
      <c r="AB368" s="27"/>
      <c r="AC368" s="27"/>
      <c r="AD368" s="13"/>
      <c r="AE368" s="13"/>
      <c r="AF368" s="13"/>
      <c r="AG368" s="27"/>
      <c r="AH368" s="27"/>
      <c r="AI368" s="27"/>
      <c r="AJ368" s="27"/>
      <c r="CL368" s="27"/>
    </row>
    <row r="369" spans="2:90" s="18" customFormat="1" ht="14.1" customHeight="1" x14ac:dyDescent="0.2">
      <c r="B369" s="54"/>
      <c r="C369" s="54"/>
      <c r="D369" s="54"/>
      <c r="E369" s="50"/>
      <c r="F369" s="50"/>
      <c r="G369" s="50"/>
      <c r="H369" s="50"/>
      <c r="I369" s="50"/>
      <c r="J369" s="50"/>
      <c r="K369" s="50"/>
      <c r="L369" s="50"/>
      <c r="M369" s="50"/>
      <c r="N369" s="51"/>
      <c r="O369" s="51"/>
      <c r="P369" s="52"/>
      <c r="Q369" s="55"/>
      <c r="R369" s="55"/>
      <c r="S369" s="55"/>
      <c r="T369" s="55"/>
      <c r="U369" s="55"/>
      <c r="W369" s="27"/>
      <c r="Z369" s="27"/>
      <c r="AA369" s="27"/>
      <c r="AB369" s="27"/>
      <c r="AC369" s="27"/>
      <c r="AD369" s="13"/>
      <c r="AE369" s="13"/>
      <c r="AF369" s="13"/>
      <c r="AG369" s="27"/>
      <c r="AH369" s="27"/>
      <c r="AI369" s="27"/>
      <c r="AJ369" s="27"/>
      <c r="CL369" s="27"/>
    </row>
    <row r="370" spans="2:90" s="18" customFormat="1" ht="14.1" customHeight="1" x14ac:dyDescent="0.2">
      <c r="B370" s="54"/>
      <c r="C370" s="54"/>
      <c r="D370" s="54"/>
      <c r="E370" s="50"/>
      <c r="F370" s="50"/>
      <c r="G370" s="50"/>
      <c r="H370" s="50"/>
      <c r="I370" s="50"/>
      <c r="J370" s="50"/>
      <c r="K370" s="50"/>
      <c r="L370" s="50"/>
      <c r="M370" s="50"/>
      <c r="N370" s="51"/>
      <c r="O370" s="51"/>
      <c r="P370" s="52"/>
      <c r="Q370" s="55"/>
      <c r="R370" s="55"/>
      <c r="S370" s="55"/>
      <c r="T370" s="55"/>
      <c r="U370" s="55"/>
      <c r="W370" s="27"/>
      <c r="Z370" s="27"/>
      <c r="AA370" s="27"/>
      <c r="AB370" s="27"/>
      <c r="AC370" s="27"/>
      <c r="AD370" s="13"/>
      <c r="AE370" s="13"/>
      <c r="AF370" s="13"/>
      <c r="AG370" s="27"/>
      <c r="AH370" s="27"/>
      <c r="AI370" s="27"/>
      <c r="AJ370" s="27"/>
      <c r="CL370" s="27"/>
    </row>
    <row r="371" spans="2:90" s="18" customFormat="1" ht="14.1" customHeight="1" x14ac:dyDescent="0.2">
      <c r="B371" s="54"/>
      <c r="C371" s="54"/>
      <c r="D371" s="54"/>
      <c r="E371" s="50"/>
      <c r="F371" s="50"/>
      <c r="G371" s="50"/>
      <c r="H371" s="50"/>
      <c r="I371" s="50"/>
      <c r="J371" s="50"/>
      <c r="K371" s="50"/>
      <c r="L371" s="50"/>
      <c r="M371" s="50"/>
      <c r="N371" s="51"/>
      <c r="O371" s="51"/>
      <c r="P371" s="52"/>
      <c r="Q371" s="55"/>
      <c r="R371" s="55"/>
      <c r="S371" s="55"/>
      <c r="T371" s="55"/>
      <c r="U371" s="55"/>
      <c r="W371" s="27"/>
      <c r="Z371" s="27"/>
      <c r="AA371" s="27"/>
      <c r="AB371" s="27"/>
      <c r="AC371" s="27"/>
      <c r="AD371" s="13"/>
      <c r="AE371" s="13"/>
      <c r="AF371" s="13"/>
      <c r="AG371" s="27"/>
      <c r="AH371" s="27"/>
      <c r="AI371" s="27"/>
      <c r="AJ371" s="27"/>
      <c r="CL371" s="27"/>
    </row>
    <row r="372" spans="2:90" s="18" customFormat="1" ht="14.1" customHeight="1" x14ac:dyDescent="0.2">
      <c r="B372" s="54"/>
      <c r="C372" s="54"/>
      <c r="D372" s="54"/>
      <c r="E372" s="50"/>
      <c r="F372" s="50"/>
      <c r="G372" s="50"/>
      <c r="H372" s="50"/>
      <c r="I372" s="50"/>
      <c r="J372" s="50"/>
      <c r="K372" s="50"/>
      <c r="L372" s="50"/>
      <c r="M372" s="50"/>
      <c r="N372" s="51"/>
      <c r="O372" s="51"/>
      <c r="P372" s="52"/>
      <c r="Q372" s="55"/>
      <c r="R372" s="55"/>
      <c r="S372" s="55"/>
      <c r="T372" s="55"/>
      <c r="U372" s="55"/>
      <c r="W372" s="27"/>
      <c r="Z372" s="27"/>
      <c r="AA372" s="27"/>
      <c r="AB372" s="27"/>
      <c r="AC372" s="27"/>
      <c r="AD372" s="13"/>
      <c r="AE372" s="13"/>
      <c r="AF372" s="13"/>
      <c r="AG372" s="27"/>
      <c r="AH372" s="27"/>
      <c r="AI372" s="27"/>
      <c r="AJ372" s="27"/>
      <c r="CL372" s="27"/>
    </row>
    <row r="373" spans="2:90" s="18" customFormat="1" ht="14.1" customHeight="1" x14ac:dyDescent="0.2">
      <c r="B373" s="54"/>
      <c r="C373" s="54"/>
      <c r="D373" s="54"/>
      <c r="E373" s="50"/>
      <c r="F373" s="50"/>
      <c r="G373" s="50"/>
      <c r="H373" s="50"/>
      <c r="I373" s="50"/>
      <c r="J373" s="50"/>
      <c r="K373" s="50"/>
      <c r="L373" s="50"/>
      <c r="M373" s="50"/>
      <c r="N373" s="51"/>
      <c r="O373" s="51"/>
      <c r="P373" s="52"/>
      <c r="Q373" s="55"/>
      <c r="R373" s="55"/>
      <c r="S373" s="55"/>
      <c r="T373" s="55"/>
      <c r="U373" s="55"/>
      <c r="W373" s="27"/>
      <c r="Z373" s="27"/>
      <c r="AA373" s="27"/>
      <c r="AB373" s="27"/>
      <c r="AC373" s="27"/>
      <c r="AD373" s="13"/>
      <c r="AE373" s="13"/>
      <c r="AF373" s="13"/>
      <c r="AG373" s="27"/>
      <c r="AH373" s="27"/>
      <c r="AI373" s="27"/>
      <c r="AJ373" s="27"/>
      <c r="CL373" s="27"/>
    </row>
    <row r="374" spans="2:90" s="18" customFormat="1" ht="14.1" customHeight="1" x14ac:dyDescent="0.2">
      <c r="B374" s="54"/>
      <c r="C374" s="54"/>
      <c r="D374" s="54"/>
      <c r="E374" s="50"/>
      <c r="F374" s="50"/>
      <c r="G374" s="50"/>
      <c r="H374" s="50"/>
      <c r="I374" s="50"/>
      <c r="J374" s="50"/>
      <c r="K374" s="50"/>
      <c r="L374" s="50"/>
      <c r="M374" s="50"/>
      <c r="N374" s="51"/>
      <c r="O374" s="51"/>
      <c r="P374" s="52"/>
      <c r="Q374" s="55"/>
      <c r="R374" s="55"/>
      <c r="S374" s="55"/>
      <c r="T374" s="55"/>
      <c r="U374" s="55"/>
      <c r="W374" s="27"/>
      <c r="Z374" s="27"/>
      <c r="AA374" s="27"/>
      <c r="AB374" s="27"/>
      <c r="AC374" s="27"/>
      <c r="AD374" s="13"/>
      <c r="AE374" s="13"/>
      <c r="AF374" s="13"/>
      <c r="AG374" s="27"/>
      <c r="AH374" s="27"/>
      <c r="AI374" s="27"/>
      <c r="AJ374" s="27"/>
      <c r="CL374" s="27"/>
    </row>
    <row r="375" spans="2:90" s="18" customFormat="1" ht="14.1" customHeight="1" x14ac:dyDescent="0.2">
      <c r="B375" s="54"/>
      <c r="C375" s="54"/>
      <c r="D375" s="54"/>
      <c r="E375" s="50"/>
      <c r="F375" s="50"/>
      <c r="G375" s="50"/>
      <c r="H375" s="50"/>
      <c r="I375" s="50"/>
      <c r="J375" s="50"/>
      <c r="K375" s="50"/>
      <c r="L375" s="50"/>
      <c r="M375" s="50"/>
      <c r="N375" s="51"/>
      <c r="O375" s="51"/>
      <c r="P375" s="52"/>
      <c r="Q375" s="55"/>
      <c r="R375" s="55"/>
      <c r="S375" s="55"/>
      <c r="T375" s="55"/>
      <c r="U375" s="55"/>
      <c r="W375" s="27"/>
      <c r="Z375" s="27"/>
      <c r="AA375" s="27"/>
      <c r="AB375" s="27"/>
      <c r="AC375" s="27"/>
      <c r="AD375" s="13"/>
      <c r="AE375" s="13"/>
      <c r="AF375" s="13"/>
      <c r="AG375" s="27"/>
      <c r="AH375" s="27"/>
      <c r="AI375" s="27"/>
      <c r="AJ375" s="27"/>
      <c r="CL375" s="27"/>
    </row>
    <row r="376" spans="2:90" s="18" customFormat="1" ht="14.1" customHeight="1" x14ac:dyDescent="0.2">
      <c r="B376" s="54"/>
      <c r="C376" s="54"/>
      <c r="D376" s="54"/>
      <c r="E376" s="50"/>
      <c r="F376" s="50"/>
      <c r="G376" s="50"/>
      <c r="H376" s="50"/>
      <c r="I376" s="50"/>
      <c r="J376" s="50"/>
      <c r="K376" s="50"/>
      <c r="L376" s="50"/>
      <c r="M376" s="50"/>
      <c r="N376" s="51"/>
      <c r="O376" s="51"/>
      <c r="P376" s="52"/>
      <c r="Q376" s="55"/>
      <c r="R376" s="55"/>
      <c r="S376" s="55"/>
      <c r="T376" s="55"/>
      <c r="U376" s="55"/>
      <c r="W376" s="27"/>
      <c r="Z376" s="27"/>
      <c r="AA376" s="27"/>
      <c r="AB376" s="27"/>
      <c r="AC376" s="27"/>
      <c r="AD376" s="13"/>
      <c r="AE376" s="13"/>
      <c r="AF376" s="13"/>
      <c r="AG376" s="27"/>
      <c r="AH376" s="27"/>
      <c r="AI376" s="27"/>
      <c r="AJ376" s="27"/>
      <c r="CL376" s="27"/>
    </row>
    <row r="377" spans="2:90" s="18" customFormat="1" ht="14.1" customHeight="1" x14ac:dyDescent="0.2">
      <c r="B377" s="54"/>
      <c r="C377" s="54"/>
      <c r="D377" s="54"/>
      <c r="E377" s="50"/>
      <c r="F377" s="50"/>
      <c r="G377" s="50"/>
      <c r="H377" s="50"/>
      <c r="I377" s="50"/>
      <c r="J377" s="50"/>
      <c r="K377" s="50"/>
      <c r="L377" s="50"/>
      <c r="M377" s="50"/>
      <c r="N377" s="51"/>
      <c r="O377" s="51"/>
      <c r="P377" s="52"/>
      <c r="Q377" s="55"/>
      <c r="R377" s="55"/>
      <c r="S377" s="55"/>
      <c r="T377" s="55"/>
      <c r="U377" s="55"/>
      <c r="W377" s="27"/>
      <c r="Z377" s="27"/>
      <c r="AA377" s="27"/>
      <c r="AB377" s="27"/>
      <c r="AC377" s="27"/>
      <c r="AD377" s="13"/>
      <c r="AE377" s="13"/>
      <c r="AF377" s="13"/>
      <c r="AG377" s="27"/>
      <c r="AH377" s="27"/>
      <c r="AI377" s="27"/>
      <c r="AJ377" s="27"/>
      <c r="CL377" s="27"/>
    </row>
    <row r="378" spans="2:90" s="18" customFormat="1" ht="14.1" customHeight="1" x14ac:dyDescent="0.2">
      <c r="B378" s="54"/>
      <c r="C378" s="54"/>
      <c r="D378" s="54"/>
      <c r="E378" s="50"/>
      <c r="F378" s="50"/>
      <c r="G378" s="50"/>
      <c r="H378" s="50"/>
      <c r="I378" s="50"/>
      <c r="J378" s="50"/>
      <c r="K378" s="50"/>
      <c r="L378" s="50"/>
      <c r="M378" s="50"/>
      <c r="N378" s="51"/>
      <c r="O378" s="51"/>
      <c r="P378" s="52"/>
      <c r="Q378" s="55"/>
      <c r="R378" s="55"/>
      <c r="S378" s="55"/>
      <c r="T378" s="55"/>
      <c r="U378" s="55"/>
      <c r="W378" s="27"/>
      <c r="Z378" s="27"/>
      <c r="AA378" s="27"/>
      <c r="AB378" s="27"/>
      <c r="AC378" s="27"/>
      <c r="AD378" s="13"/>
      <c r="AE378" s="13"/>
      <c r="AF378" s="13"/>
      <c r="AG378" s="27"/>
      <c r="AH378" s="27"/>
      <c r="AI378" s="27"/>
      <c r="AJ378" s="27"/>
      <c r="CL378" s="27"/>
    </row>
    <row r="379" spans="2:90" s="18" customFormat="1" ht="14.1" customHeight="1" x14ac:dyDescent="0.2">
      <c r="B379" s="54"/>
      <c r="C379" s="54"/>
      <c r="D379" s="54"/>
      <c r="E379" s="50"/>
      <c r="F379" s="50"/>
      <c r="G379" s="50"/>
      <c r="H379" s="50"/>
      <c r="I379" s="50"/>
      <c r="J379" s="50"/>
      <c r="K379" s="50"/>
      <c r="L379" s="50"/>
      <c r="M379" s="50"/>
      <c r="N379" s="51"/>
      <c r="O379" s="51"/>
      <c r="P379" s="52"/>
      <c r="Q379" s="55"/>
      <c r="R379" s="55"/>
      <c r="S379" s="55"/>
      <c r="T379" s="55"/>
      <c r="U379" s="55"/>
      <c r="W379" s="27"/>
      <c r="Z379" s="27"/>
      <c r="AA379" s="27"/>
      <c r="AB379" s="27"/>
      <c r="AC379" s="27"/>
      <c r="AD379" s="13"/>
      <c r="AE379" s="13"/>
      <c r="AF379" s="13"/>
      <c r="AG379" s="27"/>
      <c r="AH379" s="27"/>
      <c r="AI379" s="27"/>
      <c r="AJ379" s="27"/>
      <c r="CL379" s="27"/>
    </row>
    <row r="380" spans="2:90" s="18" customFormat="1" ht="14.1" customHeight="1" x14ac:dyDescent="0.2">
      <c r="B380" s="54"/>
      <c r="C380" s="54"/>
      <c r="D380" s="54"/>
      <c r="E380" s="50"/>
      <c r="F380" s="50"/>
      <c r="G380" s="50"/>
      <c r="H380" s="50"/>
      <c r="I380" s="50"/>
      <c r="J380" s="50"/>
      <c r="K380" s="50"/>
      <c r="L380" s="50"/>
      <c r="M380" s="50"/>
      <c r="N380" s="51"/>
      <c r="O380" s="51"/>
      <c r="P380" s="52"/>
      <c r="Q380" s="55"/>
      <c r="R380" s="55"/>
      <c r="S380" s="55"/>
      <c r="T380" s="55"/>
      <c r="U380" s="55"/>
      <c r="W380" s="27"/>
      <c r="Z380" s="27"/>
      <c r="AA380" s="27"/>
      <c r="AB380" s="27"/>
      <c r="AC380" s="27"/>
      <c r="AD380" s="13"/>
      <c r="AE380" s="13"/>
      <c r="AF380" s="13"/>
      <c r="AG380" s="27"/>
      <c r="AH380" s="27"/>
      <c r="AI380" s="27"/>
      <c r="AJ380" s="27"/>
      <c r="CL380" s="27"/>
    </row>
    <row r="381" spans="2:90" s="18" customFormat="1" ht="14.1" customHeight="1" x14ac:dyDescent="0.2">
      <c r="B381" s="54"/>
      <c r="C381" s="54"/>
      <c r="D381" s="54"/>
      <c r="E381" s="50"/>
      <c r="F381" s="50"/>
      <c r="G381" s="50"/>
      <c r="H381" s="50"/>
      <c r="I381" s="50"/>
      <c r="J381" s="50"/>
      <c r="K381" s="50"/>
      <c r="L381" s="50"/>
      <c r="M381" s="50"/>
      <c r="N381" s="51"/>
      <c r="O381" s="51"/>
      <c r="P381" s="52"/>
      <c r="Q381" s="55"/>
      <c r="R381" s="55"/>
      <c r="S381" s="55"/>
      <c r="T381" s="55"/>
      <c r="U381" s="55"/>
      <c r="W381" s="27"/>
      <c r="Z381" s="27"/>
      <c r="AA381" s="27"/>
      <c r="AB381" s="27"/>
      <c r="AC381" s="27"/>
      <c r="AD381" s="13"/>
      <c r="AE381" s="13"/>
      <c r="AF381" s="13"/>
      <c r="AG381" s="27"/>
      <c r="AH381" s="27"/>
      <c r="AI381" s="27"/>
      <c r="AJ381" s="27"/>
      <c r="CL381" s="27"/>
    </row>
    <row r="382" spans="2:90" s="18" customFormat="1" ht="14.1" customHeight="1" x14ac:dyDescent="0.2">
      <c r="B382" s="54"/>
      <c r="C382" s="54"/>
      <c r="D382" s="54"/>
      <c r="E382" s="50"/>
      <c r="F382" s="50"/>
      <c r="G382" s="50"/>
      <c r="H382" s="50"/>
      <c r="I382" s="50"/>
      <c r="J382" s="50"/>
      <c r="K382" s="50"/>
      <c r="L382" s="50"/>
      <c r="M382" s="50"/>
      <c r="N382" s="51"/>
      <c r="O382" s="51"/>
      <c r="P382" s="52"/>
      <c r="Q382" s="55"/>
      <c r="R382" s="55"/>
      <c r="S382" s="55"/>
      <c r="T382" s="55"/>
      <c r="U382" s="55"/>
      <c r="W382" s="27"/>
      <c r="Z382" s="27"/>
      <c r="AA382" s="27"/>
      <c r="AB382" s="27"/>
      <c r="AC382" s="27"/>
      <c r="AD382" s="13"/>
      <c r="AE382" s="13"/>
      <c r="AF382" s="13"/>
      <c r="AG382" s="27"/>
      <c r="AH382" s="27"/>
      <c r="AI382" s="27"/>
      <c r="AJ382" s="27"/>
      <c r="CL382" s="27"/>
    </row>
    <row r="383" spans="2:90" s="18" customFormat="1" ht="14.1" customHeight="1" x14ac:dyDescent="0.2">
      <c r="B383" s="54"/>
      <c r="C383" s="54"/>
      <c r="D383" s="54"/>
      <c r="E383" s="50"/>
      <c r="F383" s="50"/>
      <c r="G383" s="50"/>
      <c r="H383" s="50"/>
      <c r="I383" s="50"/>
      <c r="J383" s="50"/>
      <c r="K383" s="50"/>
      <c r="L383" s="50"/>
      <c r="M383" s="50"/>
      <c r="N383" s="51"/>
      <c r="O383" s="51"/>
      <c r="P383" s="52"/>
      <c r="Q383" s="55"/>
      <c r="R383" s="55"/>
      <c r="S383" s="55"/>
      <c r="T383" s="55"/>
      <c r="U383" s="55"/>
      <c r="W383" s="27"/>
      <c r="Z383" s="27"/>
      <c r="AA383" s="27"/>
      <c r="AB383" s="27"/>
      <c r="AC383" s="27"/>
      <c r="AD383" s="13"/>
      <c r="AE383" s="13"/>
      <c r="AF383" s="13"/>
      <c r="AG383" s="27"/>
      <c r="AH383" s="27"/>
      <c r="AI383" s="27"/>
      <c r="AJ383" s="27"/>
      <c r="CL383" s="27"/>
    </row>
    <row r="384" spans="2:90" s="18" customFormat="1" ht="14.1" customHeight="1" x14ac:dyDescent="0.2">
      <c r="B384" s="54"/>
      <c r="C384" s="54"/>
      <c r="D384" s="54"/>
      <c r="E384" s="50"/>
      <c r="F384" s="50"/>
      <c r="G384" s="50"/>
      <c r="H384" s="50"/>
      <c r="I384" s="50"/>
      <c r="J384" s="50"/>
      <c r="K384" s="50"/>
      <c r="L384" s="50"/>
      <c r="M384" s="50"/>
      <c r="N384" s="51"/>
      <c r="O384" s="51"/>
      <c r="P384" s="52"/>
      <c r="Q384" s="55"/>
      <c r="R384" s="55"/>
      <c r="S384" s="55"/>
      <c r="T384" s="55"/>
      <c r="U384" s="55"/>
      <c r="W384" s="27"/>
      <c r="Z384" s="27"/>
      <c r="AA384" s="27"/>
      <c r="AB384" s="27"/>
      <c r="AC384" s="27"/>
      <c r="AD384" s="13"/>
      <c r="AE384" s="13"/>
      <c r="AF384" s="13"/>
      <c r="AG384" s="27"/>
      <c r="AH384" s="27"/>
      <c r="AI384" s="27"/>
      <c r="AJ384" s="27"/>
      <c r="CL384" s="27"/>
    </row>
    <row r="385" spans="2:90" s="18" customFormat="1" ht="14.1" customHeight="1" x14ac:dyDescent="0.2">
      <c r="B385" s="54"/>
      <c r="C385" s="54"/>
      <c r="D385" s="54"/>
      <c r="E385" s="50"/>
      <c r="F385" s="50"/>
      <c r="G385" s="50"/>
      <c r="H385" s="50"/>
      <c r="I385" s="50"/>
      <c r="J385" s="50"/>
      <c r="K385" s="50"/>
      <c r="L385" s="50"/>
      <c r="M385" s="50"/>
      <c r="N385" s="51"/>
      <c r="O385" s="51"/>
      <c r="P385" s="52"/>
      <c r="Q385" s="55"/>
      <c r="R385" s="55"/>
      <c r="S385" s="55"/>
      <c r="T385" s="55"/>
      <c r="U385" s="55"/>
      <c r="W385" s="27"/>
      <c r="Z385" s="27"/>
      <c r="AA385" s="27"/>
      <c r="AB385" s="27"/>
      <c r="AC385" s="27"/>
      <c r="AD385" s="13"/>
      <c r="AE385" s="13"/>
      <c r="AF385" s="13"/>
      <c r="AG385" s="27"/>
      <c r="AH385" s="27"/>
      <c r="AI385" s="27"/>
      <c r="AJ385" s="27"/>
      <c r="CL385" s="27"/>
    </row>
    <row r="386" spans="2:90" s="18" customFormat="1" ht="14.1" customHeight="1" x14ac:dyDescent="0.2">
      <c r="B386" s="54"/>
      <c r="C386" s="54"/>
      <c r="D386" s="54"/>
      <c r="E386" s="50"/>
      <c r="F386" s="50"/>
      <c r="G386" s="50"/>
      <c r="H386" s="50"/>
      <c r="I386" s="50"/>
      <c r="J386" s="50"/>
      <c r="K386" s="50"/>
      <c r="L386" s="50"/>
      <c r="M386" s="50"/>
      <c r="N386" s="51"/>
      <c r="O386" s="51"/>
      <c r="P386" s="52"/>
      <c r="Q386" s="55"/>
      <c r="R386" s="55"/>
      <c r="S386" s="55"/>
      <c r="T386" s="55"/>
      <c r="U386" s="55"/>
      <c r="W386" s="27"/>
      <c r="Z386" s="27"/>
      <c r="AA386" s="27"/>
      <c r="AB386" s="27"/>
      <c r="AC386" s="27"/>
      <c r="AD386" s="13"/>
      <c r="AE386" s="13"/>
      <c r="AF386" s="13"/>
      <c r="AG386" s="27"/>
      <c r="AH386" s="27"/>
      <c r="AI386" s="27"/>
      <c r="AJ386" s="27"/>
      <c r="CL386" s="27"/>
    </row>
    <row r="387" spans="2:90" s="18" customFormat="1" ht="14.1" customHeight="1" x14ac:dyDescent="0.2">
      <c r="B387" s="54"/>
      <c r="C387" s="54"/>
      <c r="D387" s="54"/>
      <c r="E387" s="50"/>
      <c r="F387" s="50"/>
      <c r="G387" s="50"/>
      <c r="H387" s="50"/>
      <c r="I387" s="50"/>
      <c r="J387" s="50"/>
      <c r="K387" s="50"/>
      <c r="L387" s="50"/>
      <c r="M387" s="50"/>
      <c r="N387" s="51"/>
      <c r="O387" s="51"/>
      <c r="P387" s="52"/>
      <c r="Q387" s="55"/>
      <c r="R387" s="55"/>
      <c r="S387" s="55"/>
      <c r="T387" s="55"/>
      <c r="U387" s="55"/>
      <c r="W387" s="27"/>
      <c r="Z387" s="27"/>
      <c r="AA387" s="27"/>
      <c r="AB387" s="27"/>
      <c r="AC387" s="27"/>
      <c r="AD387" s="13"/>
      <c r="AE387" s="13"/>
      <c r="AF387" s="13"/>
      <c r="AG387" s="27"/>
      <c r="AH387" s="27"/>
      <c r="AI387" s="27"/>
      <c r="AJ387" s="27"/>
      <c r="CL387" s="27"/>
    </row>
    <row r="388" spans="2:90" s="18" customFormat="1" ht="14.1" customHeight="1" x14ac:dyDescent="0.2">
      <c r="B388" s="54"/>
      <c r="C388" s="54"/>
      <c r="D388" s="54"/>
      <c r="E388" s="50"/>
      <c r="F388" s="50"/>
      <c r="G388" s="50"/>
      <c r="H388" s="50"/>
      <c r="I388" s="50"/>
      <c r="J388" s="50"/>
      <c r="K388" s="50"/>
      <c r="L388" s="50"/>
      <c r="M388" s="50"/>
      <c r="N388" s="51"/>
      <c r="O388" s="51"/>
      <c r="P388" s="52"/>
      <c r="Q388" s="55"/>
      <c r="R388" s="55"/>
      <c r="S388" s="55"/>
      <c r="T388" s="55"/>
      <c r="U388" s="55"/>
      <c r="W388" s="27"/>
      <c r="Z388" s="27"/>
      <c r="AA388" s="27"/>
      <c r="AB388" s="27"/>
      <c r="AC388" s="27"/>
      <c r="AD388" s="13"/>
      <c r="AE388" s="13"/>
      <c r="AF388" s="13"/>
      <c r="AG388" s="27"/>
      <c r="AH388" s="27"/>
      <c r="AI388" s="27"/>
      <c r="AJ388" s="27"/>
      <c r="CL388" s="27"/>
    </row>
    <row r="389" spans="2:90" s="18" customFormat="1" ht="14.1" customHeight="1" x14ac:dyDescent="0.2">
      <c r="B389" s="54"/>
      <c r="C389" s="54"/>
      <c r="D389" s="54"/>
      <c r="E389" s="50"/>
      <c r="F389" s="50"/>
      <c r="G389" s="50"/>
      <c r="H389" s="50"/>
      <c r="I389" s="50"/>
      <c r="J389" s="50"/>
      <c r="K389" s="50"/>
      <c r="L389" s="50"/>
      <c r="M389" s="50"/>
      <c r="N389" s="51"/>
      <c r="O389" s="51"/>
      <c r="P389" s="52"/>
      <c r="Q389" s="55"/>
      <c r="R389" s="55"/>
      <c r="S389" s="55"/>
      <c r="T389" s="55"/>
      <c r="U389" s="55"/>
      <c r="W389" s="27"/>
      <c r="Z389" s="27"/>
      <c r="AA389" s="27"/>
      <c r="AB389" s="27"/>
      <c r="AC389" s="27"/>
      <c r="AD389" s="13"/>
      <c r="AE389" s="13"/>
      <c r="AF389" s="13"/>
      <c r="AG389" s="27"/>
      <c r="AH389" s="27"/>
      <c r="AI389" s="27"/>
      <c r="AJ389" s="27"/>
      <c r="CL389" s="27"/>
    </row>
    <row r="390" spans="2:90" s="18" customFormat="1" ht="14.1" customHeight="1" x14ac:dyDescent="0.2">
      <c r="B390" s="54"/>
      <c r="C390" s="54"/>
      <c r="D390" s="54"/>
      <c r="E390" s="50"/>
      <c r="F390" s="50"/>
      <c r="G390" s="50"/>
      <c r="H390" s="50"/>
      <c r="I390" s="50"/>
      <c r="J390" s="50"/>
      <c r="K390" s="50"/>
      <c r="L390" s="50"/>
      <c r="M390" s="50"/>
      <c r="N390" s="51"/>
      <c r="O390" s="51"/>
      <c r="P390" s="52"/>
      <c r="Q390" s="55"/>
      <c r="R390" s="55"/>
      <c r="S390" s="55"/>
      <c r="T390" s="55"/>
      <c r="U390" s="55"/>
      <c r="W390" s="27"/>
      <c r="Z390" s="27"/>
      <c r="AA390" s="27"/>
      <c r="AB390" s="27"/>
      <c r="AC390" s="27"/>
      <c r="AD390" s="13"/>
      <c r="AE390" s="13"/>
      <c r="AF390" s="13"/>
      <c r="AG390" s="27"/>
      <c r="AH390" s="27"/>
      <c r="AI390" s="27"/>
      <c r="AJ390" s="27"/>
      <c r="CL390" s="27"/>
    </row>
    <row r="391" spans="2:90" s="18" customFormat="1" ht="14.1" customHeight="1" x14ac:dyDescent="0.2">
      <c r="B391" s="54"/>
      <c r="C391" s="54"/>
      <c r="D391" s="54"/>
      <c r="E391" s="50"/>
      <c r="F391" s="50"/>
      <c r="G391" s="50"/>
      <c r="H391" s="50"/>
      <c r="I391" s="50"/>
      <c r="J391" s="50"/>
      <c r="K391" s="50"/>
      <c r="L391" s="50"/>
      <c r="M391" s="50"/>
      <c r="N391" s="51"/>
      <c r="O391" s="51"/>
      <c r="P391" s="52"/>
      <c r="Q391" s="55"/>
      <c r="R391" s="55"/>
      <c r="S391" s="55"/>
      <c r="T391" s="55"/>
      <c r="U391" s="55"/>
      <c r="W391" s="27"/>
      <c r="Z391" s="27"/>
      <c r="AA391" s="27"/>
      <c r="AB391" s="27"/>
      <c r="AC391" s="27"/>
      <c r="AD391" s="13"/>
      <c r="AE391" s="13"/>
      <c r="AF391" s="13"/>
      <c r="AG391" s="27"/>
      <c r="AH391" s="27"/>
      <c r="AI391" s="27"/>
      <c r="AJ391" s="27"/>
      <c r="CL391" s="27"/>
    </row>
    <row r="392" spans="2:90" s="18" customFormat="1" ht="14.1" customHeight="1" x14ac:dyDescent="0.2">
      <c r="B392" s="54"/>
      <c r="C392" s="54"/>
      <c r="D392" s="54"/>
      <c r="E392" s="50"/>
      <c r="F392" s="50"/>
      <c r="G392" s="50"/>
      <c r="H392" s="50"/>
      <c r="I392" s="50"/>
      <c r="J392" s="50"/>
      <c r="K392" s="50"/>
      <c r="L392" s="50"/>
      <c r="M392" s="50"/>
      <c r="N392" s="51"/>
      <c r="O392" s="51"/>
      <c r="P392" s="52"/>
      <c r="Q392" s="55"/>
      <c r="R392" s="55"/>
      <c r="S392" s="55"/>
      <c r="T392" s="55"/>
      <c r="U392" s="55"/>
      <c r="W392" s="27"/>
      <c r="Z392" s="27"/>
      <c r="AA392" s="27"/>
      <c r="AB392" s="27"/>
      <c r="AC392" s="27"/>
      <c r="AD392" s="13"/>
      <c r="AE392" s="13"/>
      <c r="AF392" s="13"/>
      <c r="AG392" s="27"/>
      <c r="AH392" s="27"/>
      <c r="AI392" s="27"/>
      <c r="AJ392" s="27"/>
      <c r="CL392" s="27"/>
    </row>
    <row r="393" spans="2:90" s="18" customFormat="1" ht="14.1" customHeight="1" x14ac:dyDescent="0.2">
      <c r="B393" s="54"/>
      <c r="C393" s="54"/>
      <c r="D393" s="54"/>
      <c r="E393" s="50"/>
      <c r="F393" s="50"/>
      <c r="G393" s="50"/>
      <c r="H393" s="50"/>
      <c r="I393" s="50"/>
      <c r="J393" s="50"/>
      <c r="K393" s="50"/>
      <c r="L393" s="50"/>
      <c r="M393" s="50"/>
      <c r="N393" s="51"/>
      <c r="O393" s="51"/>
      <c r="P393" s="52"/>
      <c r="Q393" s="55"/>
      <c r="R393" s="55"/>
      <c r="S393" s="55"/>
      <c r="T393" s="55"/>
      <c r="U393" s="55"/>
      <c r="W393" s="27"/>
      <c r="Z393" s="27"/>
      <c r="AA393" s="27"/>
      <c r="AB393" s="27"/>
      <c r="AC393" s="27"/>
      <c r="AD393" s="13"/>
      <c r="AE393" s="13"/>
      <c r="AF393" s="13"/>
      <c r="AG393" s="27"/>
      <c r="AH393" s="27"/>
      <c r="AI393" s="27"/>
      <c r="AJ393" s="27"/>
      <c r="CL393" s="27"/>
    </row>
    <row r="394" spans="2:90" s="18" customFormat="1" ht="14.1" customHeight="1" x14ac:dyDescent="0.2">
      <c r="B394" s="54"/>
      <c r="C394" s="54"/>
      <c r="D394" s="54"/>
      <c r="E394" s="50"/>
      <c r="F394" s="50"/>
      <c r="G394" s="50"/>
      <c r="H394" s="50"/>
      <c r="I394" s="50"/>
      <c r="J394" s="50"/>
      <c r="K394" s="50"/>
      <c r="L394" s="50"/>
      <c r="M394" s="50"/>
      <c r="N394" s="51"/>
      <c r="O394" s="51"/>
      <c r="P394" s="52"/>
      <c r="Q394" s="55"/>
      <c r="R394" s="55"/>
      <c r="S394" s="55"/>
      <c r="T394" s="55"/>
      <c r="U394" s="55"/>
      <c r="W394" s="27"/>
      <c r="Z394" s="27"/>
      <c r="AA394" s="27"/>
      <c r="AB394" s="27"/>
      <c r="AC394" s="27"/>
      <c r="AD394" s="13"/>
      <c r="AE394" s="13"/>
      <c r="AF394" s="13"/>
      <c r="AG394" s="27"/>
      <c r="AH394" s="27"/>
      <c r="AI394" s="27"/>
      <c r="AJ394" s="27"/>
      <c r="CL394" s="27"/>
    </row>
    <row r="395" spans="2:90" s="18" customFormat="1" ht="14.1" customHeight="1" x14ac:dyDescent="0.2">
      <c r="B395" s="54"/>
      <c r="C395" s="54"/>
      <c r="D395" s="54"/>
      <c r="E395" s="50"/>
      <c r="F395" s="50"/>
      <c r="G395" s="50"/>
      <c r="H395" s="50"/>
      <c r="I395" s="50"/>
      <c r="J395" s="50"/>
      <c r="K395" s="50"/>
      <c r="L395" s="50"/>
      <c r="M395" s="50"/>
      <c r="N395" s="51"/>
      <c r="O395" s="51"/>
      <c r="P395" s="52"/>
      <c r="Q395" s="55"/>
      <c r="R395" s="55"/>
      <c r="S395" s="55"/>
      <c r="T395" s="55"/>
      <c r="U395" s="55"/>
      <c r="W395" s="27"/>
      <c r="Z395" s="27"/>
      <c r="AA395" s="27"/>
      <c r="AB395" s="27"/>
      <c r="AC395" s="27"/>
      <c r="AD395" s="13"/>
      <c r="AE395" s="13"/>
      <c r="AF395" s="13"/>
      <c r="AG395" s="27"/>
      <c r="AH395" s="27"/>
      <c r="AI395" s="27"/>
      <c r="AJ395" s="27"/>
      <c r="CL395" s="27"/>
    </row>
    <row r="396" spans="2:90" s="18" customFormat="1" ht="14.1" customHeight="1" x14ac:dyDescent="0.2">
      <c r="B396" s="54"/>
      <c r="C396" s="54"/>
      <c r="D396" s="54"/>
      <c r="E396" s="50"/>
      <c r="F396" s="50"/>
      <c r="G396" s="50"/>
      <c r="H396" s="50"/>
      <c r="I396" s="50"/>
      <c r="J396" s="50"/>
      <c r="K396" s="50"/>
      <c r="L396" s="50"/>
      <c r="M396" s="50"/>
      <c r="N396" s="51"/>
      <c r="O396" s="51"/>
      <c r="P396" s="52"/>
      <c r="Q396" s="55"/>
      <c r="R396" s="55"/>
      <c r="S396" s="55"/>
      <c r="T396" s="55"/>
      <c r="U396" s="55"/>
      <c r="W396" s="27"/>
      <c r="Z396" s="27"/>
      <c r="AA396" s="27"/>
      <c r="AB396" s="27"/>
      <c r="AC396" s="27"/>
      <c r="AD396" s="13"/>
      <c r="AE396" s="13"/>
      <c r="AF396" s="13"/>
      <c r="AG396" s="27"/>
      <c r="AH396" s="27"/>
      <c r="AI396" s="27"/>
      <c r="AJ396" s="27"/>
      <c r="CL396" s="27"/>
    </row>
    <row r="397" spans="2:90" s="18" customFormat="1" ht="14.1" customHeight="1" x14ac:dyDescent="0.2">
      <c r="B397" s="54"/>
      <c r="C397" s="54"/>
      <c r="D397" s="54"/>
      <c r="E397" s="50"/>
      <c r="F397" s="50"/>
      <c r="G397" s="50"/>
      <c r="H397" s="50"/>
      <c r="I397" s="50"/>
      <c r="J397" s="50"/>
      <c r="K397" s="50"/>
      <c r="L397" s="50"/>
      <c r="M397" s="50"/>
      <c r="N397" s="51"/>
      <c r="O397" s="51"/>
      <c r="P397" s="52"/>
      <c r="Q397" s="55"/>
      <c r="R397" s="55"/>
      <c r="S397" s="55"/>
      <c r="T397" s="55"/>
      <c r="U397" s="55"/>
      <c r="W397" s="27"/>
      <c r="Z397" s="27"/>
      <c r="AA397" s="27"/>
      <c r="AB397" s="27"/>
      <c r="AC397" s="27"/>
      <c r="AD397" s="13"/>
      <c r="AE397" s="13"/>
      <c r="AF397" s="13"/>
      <c r="AG397" s="27"/>
      <c r="AH397" s="27"/>
      <c r="AI397" s="27"/>
      <c r="AJ397" s="27"/>
      <c r="CL397" s="27"/>
    </row>
    <row r="398" spans="2:90" s="18" customFormat="1" ht="14.1" customHeight="1" x14ac:dyDescent="0.2">
      <c r="B398" s="54"/>
      <c r="C398" s="54"/>
      <c r="D398" s="54"/>
      <c r="E398" s="50"/>
      <c r="F398" s="50"/>
      <c r="G398" s="50"/>
      <c r="H398" s="50"/>
      <c r="I398" s="50"/>
      <c r="J398" s="50"/>
      <c r="K398" s="50"/>
      <c r="L398" s="50"/>
      <c r="M398" s="50"/>
      <c r="N398" s="51"/>
      <c r="O398" s="51"/>
      <c r="P398" s="52"/>
      <c r="Q398" s="55"/>
      <c r="R398" s="55"/>
      <c r="S398" s="55"/>
      <c r="T398" s="55"/>
      <c r="U398" s="55"/>
      <c r="W398" s="27"/>
      <c r="Z398" s="27"/>
      <c r="AA398" s="27"/>
      <c r="AB398" s="27"/>
      <c r="AC398" s="27"/>
      <c r="AD398" s="13"/>
      <c r="AE398" s="13"/>
      <c r="AF398" s="13"/>
      <c r="AG398" s="27"/>
      <c r="AH398" s="27"/>
      <c r="AI398" s="27"/>
      <c r="AJ398" s="27"/>
      <c r="CL398" s="27"/>
    </row>
    <row r="399" spans="2:90" s="18" customFormat="1" ht="14.1" customHeight="1" x14ac:dyDescent="0.2">
      <c r="B399" s="54"/>
      <c r="C399" s="54"/>
      <c r="D399" s="54"/>
      <c r="E399" s="50"/>
      <c r="F399" s="50"/>
      <c r="G399" s="50"/>
      <c r="H399" s="50"/>
      <c r="I399" s="50"/>
      <c r="J399" s="50"/>
      <c r="K399" s="50"/>
      <c r="L399" s="50"/>
      <c r="M399" s="50"/>
      <c r="N399" s="51"/>
      <c r="O399" s="51"/>
      <c r="P399" s="52"/>
      <c r="Q399" s="55"/>
      <c r="R399" s="55"/>
      <c r="S399" s="55"/>
      <c r="T399" s="55"/>
      <c r="U399" s="55"/>
      <c r="W399" s="27"/>
      <c r="Z399" s="27"/>
      <c r="AA399" s="27"/>
      <c r="AB399" s="27"/>
      <c r="AC399" s="27"/>
      <c r="AD399" s="13"/>
      <c r="AE399" s="13"/>
      <c r="AF399" s="13"/>
      <c r="AG399" s="27"/>
      <c r="AH399" s="27"/>
      <c r="AI399" s="27"/>
      <c r="AJ399" s="27"/>
      <c r="CL399" s="27"/>
    </row>
    <row r="400" spans="2:90" s="18" customFormat="1" ht="14.1" customHeight="1" x14ac:dyDescent="0.2">
      <c r="B400" s="54"/>
      <c r="C400" s="54"/>
      <c r="D400" s="54"/>
      <c r="E400" s="50"/>
      <c r="F400" s="50"/>
      <c r="G400" s="50"/>
      <c r="H400" s="50"/>
      <c r="I400" s="50"/>
      <c r="J400" s="50"/>
      <c r="K400" s="50"/>
      <c r="L400" s="50"/>
      <c r="M400" s="50"/>
      <c r="N400" s="51"/>
      <c r="O400" s="51"/>
      <c r="P400" s="52"/>
      <c r="Q400" s="55"/>
      <c r="R400" s="55"/>
      <c r="S400" s="55"/>
      <c r="T400" s="55"/>
      <c r="U400" s="55"/>
      <c r="W400" s="27"/>
      <c r="Z400" s="27"/>
      <c r="AA400" s="27"/>
      <c r="AB400" s="27"/>
      <c r="AC400" s="27"/>
      <c r="AD400" s="13"/>
      <c r="AE400" s="13"/>
      <c r="AF400" s="13"/>
      <c r="AG400" s="27"/>
      <c r="AH400" s="27"/>
      <c r="AI400" s="27"/>
      <c r="AJ400" s="27"/>
      <c r="CL400" s="27"/>
    </row>
    <row r="401" spans="2:90" s="18" customFormat="1" ht="14.1" customHeight="1" x14ac:dyDescent="0.2">
      <c r="B401" s="54"/>
      <c r="C401" s="54"/>
      <c r="D401" s="54"/>
      <c r="E401" s="50"/>
      <c r="F401" s="50"/>
      <c r="G401" s="50"/>
      <c r="H401" s="50"/>
      <c r="I401" s="50"/>
      <c r="J401" s="50"/>
      <c r="K401" s="50"/>
      <c r="L401" s="50"/>
      <c r="M401" s="50"/>
      <c r="N401" s="51"/>
      <c r="O401" s="51"/>
      <c r="P401" s="52"/>
      <c r="Q401" s="55"/>
      <c r="R401" s="55"/>
      <c r="S401" s="55"/>
      <c r="T401" s="55"/>
      <c r="U401" s="55"/>
      <c r="W401" s="27"/>
      <c r="Z401" s="27"/>
      <c r="AA401" s="27"/>
      <c r="AB401" s="27"/>
      <c r="AC401" s="27"/>
      <c r="AD401" s="13"/>
      <c r="AE401" s="13"/>
      <c r="AF401" s="13"/>
      <c r="AG401" s="27"/>
      <c r="AH401" s="27"/>
      <c r="AI401" s="27"/>
      <c r="AJ401" s="27"/>
      <c r="CL401" s="27"/>
    </row>
    <row r="402" spans="2:90" s="18" customFormat="1" ht="14.1" customHeight="1" x14ac:dyDescent="0.2">
      <c r="B402" s="54"/>
      <c r="C402" s="54"/>
      <c r="D402" s="54"/>
      <c r="E402" s="50"/>
      <c r="F402" s="50"/>
      <c r="G402" s="50"/>
      <c r="H402" s="50"/>
      <c r="I402" s="50"/>
      <c r="J402" s="50"/>
      <c r="K402" s="50"/>
      <c r="L402" s="50"/>
      <c r="M402" s="50"/>
      <c r="N402" s="51"/>
      <c r="O402" s="51"/>
      <c r="P402" s="52"/>
      <c r="Q402" s="55"/>
      <c r="R402" s="55"/>
      <c r="S402" s="55"/>
      <c r="T402" s="55"/>
      <c r="U402" s="55"/>
      <c r="W402" s="27"/>
      <c r="Z402" s="27"/>
      <c r="AA402" s="27"/>
      <c r="AB402" s="27"/>
      <c r="AC402" s="27"/>
      <c r="AD402" s="13"/>
      <c r="AE402" s="13"/>
      <c r="AF402" s="13"/>
      <c r="AG402" s="27"/>
      <c r="AH402" s="27"/>
      <c r="AI402" s="27"/>
      <c r="AJ402" s="27"/>
      <c r="CL402" s="27"/>
    </row>
    <row r="403" spans="2:90" s="18" customFormat="1" ht="14.1" customHeight="1" x14ac:dyDescent="0.2">
      <c r="B403" s="54"/>
      <c r="C403" s="54"/>
      <c r="D403" s="54"/>
      <c r="E403" s="50"/>
      <c r="F403" s="50"/>
      <c r="G403" s="50"/>
      <c r="H403" s="50"/>
      <c r="I403" s="50"/>
      <c r="J403" s="50"/>
      <c r="K403" s="50"/>
      <c r="L403" s="50"/>
      <c r="M403" s="50"/>
      <c r="N403" s="51"/>
      <c r="O403" s="51"/>
      <c r="P403" s="52"/>
      <c r="Q403" s="55"/>
      <c r="R403" s="55"/>
      <c r="S403" s="55"/>
      <c r="T403" s="55"/>
      <c r="U403" s="55"/>
      <c r="W403" s="27"/>
      <c r="Z403" s="27"/>
      <c r="AA403" s="27"/>
      <c r="AB403" s="27"/>
      <c r="AC403" s="27"/>
      <c r="AD403" s="13"/>
      <c r="AE403" s="13"/>
      <c r="AF403" s="13"/>
      <c r="AG403" s="27"/>
      <c r="AH403" s="27"/>
      <c r="AI403" s="27"/>
      <c r="AJ403" s="27"/>
      <c r="CL403" s="27"/>
    </row>
    <row r="404" spans="2:90" s="18" customFormat="1" ht="14.1" customHeight="1" x14ac:dyDescent="0.2">
      <c r="B404" s="54"/>
      <c r="C404" s="54"/>
      <c r="D404" s="54"/>
      <c r="E404" s="50"/>
      <c r="F404" s="50"/>
      <c r="G404" s="50"/>
      <c r="H404" s="50"/>
      <c r="I404" s="50"/>
      <c r="J404" s="50"/>
      <c r="K404" s="50"/>
      <c r="L404" s="50"/>
      <c r="M404" s="50"/>
      <c r="N404" s="51"/>
      <c r="O404" s="51"/>
      <c r="P404" s="52"/>
      <c r="Q404" s="55"/>
      <c r="R404" s="55"/>
      <c r="S404" s="55"/>
      <c r="T404" s="55"/>
      <c r="U404" s="55"/>
      <c r="W404" s="27"/>
      <c r="Z404" s="27"/>
      <c r="AA404" s="27"/>
      <c r="AB404" s="27"/>
      <c r="AC404" s="27"/>
      <c r="AD404" s="13"/>
      <c r="AE404" s="13"/>
      <c r="AF404" s="13"/>
      <c r="AG404" s="27"/>
      <c r="AH404" s="27"/>
      <c r="AI404" s="27"/>
      <c r="AJ404" s="27"/>
      <c r="CL404" s="27"/>
    </row>
    <row r="405" spans="2:90" s="18" customFormat="1" ht="14.1" customHeight="1" x14ac:dyDescent="0.2">
      <c r="B405" s="54"/>
      <c r="C405" s="54"/>
      <c r="D405" s="54"/>
      <c r="E405" s="50"/>
      <c r="F405" s="50"/>
      <c r="G405" s="50"/>
      <c r="H405" s="50"/>
      <c r="I405" s="50"/>
      <c r="J405" s="50"/>
      <c r="K405" s="50"/>
      <c r="L405" s="50"/>
      <c r="M405" s="50"/>
      <c r="N405" s="51"/>
      <c r="O405" s="51"/>
      <c r="P405" s="52"/>
      <c r="Q405" s="55"/>
      <c r="R405" s="55"/>
      <c r="S405" s="55"/>
      <c r="T405" s="55"/>
      <c r="U405" s="55"/>
      <c r="W405" s="27"/>
      <c r="Z405" s="27"/>
      <c r="AA405" s="27"/>
      <c r="AB405" s="27"/>
      <c r="AC405" s="27"/>
      <c r="AD405" s="13"/>
      <c r="AE405" s="13"/>
      <c r="AF405" s="13"/>
      <c r="AG405" s="27"/>
      <c r="AH405" s="27"/>
      <c r="AI405" s="27"/>
      <c r="AJ405" s="27"/>
      <c r="CL405" s="27"/>
    </row>
    <row r="406" spans="2:90" s="18" customFormat="1" ht="14.1" customHeight="1" x14ac:dyDescent="0.2">
      <c r="B406" s="54"/>
      <c r="C406" s="54"/>
      <c r="D406" s="54"/>
      <c r="E406" s="50"/>
      <c r="F406" s="50"/>
      <c r="G406" s="50"/>
      <c r="H406" s="50"/>
      <c r="I406" s="50"/>
      <c r="J406" s="50"/>
      <c r="K406" s="50"/>
      <c r="L406" s="50"/>
      <c r="M406" s="50"/>
      <c r="N406" s="51"/>
      <c r="O406" s="51"/>
      <c r="P406" s="52"/>
      <c r="Q406" s="55"/>
      <c r="R406" s="55"/>
      <c r="S406" s="55"/>
      <c r="T406" s="55"/>
      <c r="U406" s="55"/>
      <c r="W406" s="27"/>
      <c r="Z406" s="27"/>
      <c r="AA406" s="27"/>
      <c r="AB406" s="27"/>
      <c r="AC406" s="27"/>
      <c r="AD406" s="13"/>
      <c r="AE406" s="13"/>
      <c r="AF406" s="13"/>
      <c r="AG406" s="27"/>
      <c r="AH406" s="27"/>
      <c r="AI406" s="27"/>
      <c r="AJ406" s="27"/>
      <c r="CL406" s="27"/>
    </row>
    <row r="407" spans="2:90" s="18" customFormat="1" ht="14.1" customHeight="1" x14ac:dyDescent="0.2">
      <c r="B407" s="54"/>
      <c r="C407" s="54"/>
      <c r="D407" s="54"/>
      <c r="E407" s="50"/>
      <c r="F407" s="50"/>
      <c r="G407" s="50"/>
      <c r="H407" s="50"/>
      <c r="I407" s="50"/>
      <c r="J407" s="50"/>
      <c r="K407" s="50"/>
      <c r="L407" s="50"/>
      <c r="M407" s="50"/>
      <c r="N407" s="51"/>
      <c r="O407" s="51"/>
      <c r="P407" s="52"/>
      <c r="Q407" s="55"/>
      <c r="R407" s="55"/>
      <c r="S407" s="55"/>
      <c r="T407" s="55"/>
      <c r="U407" s="55"/>
      <c r="W407" s="27"/>
      <c r="Z407" s="27"/>
      <c r="AA407" s="27"/>
      <c r="AB407" s="27"/>
      <c r="AC407" s="27"/>
      <c r="AD407" s="13"/>
      <c r="AE407" s="13"/>
      <c r="AF407" s="13"/>
      <c r="AG407" s="27"/>
      <c r="AH407" s="27"/>
      <c r="AI407" s="27"/>
      <c r="AJ407" s="27"/>
      <c r="CL407" s="27"/>
    </row>
    <row r="408" spans="2:90" s="18" customFormat="1" ht="14.1" customHeight="1" x14ac:dyDescent="0.2">
      <c r="B408" s="54"/>
      <c r="C408" s="54"/>
      <c r="D408" s="54"/>
      <c r="E408" s="50"/>
      <c r="F408" s="50"/>
      <c r="G408" s="50"/>
      <c r="H408" s="50"/>
      <c r="I408" s="50"/>
      <c r="J408" s="50"/>
      <c r="K408" s="50"/>
      <c r="L408" s="50"/>
      <c r="M408" s="50"/>
      <c r="N408" s="51"/>
      <c r="O408" s="51"/>
      <c r="P408" s="52"/>
      <c r="Q408" s="55"/>
      <c r="R408" s="55"/>
      <c r="S408" s="55"/>
      <c r="T408" s="55"/>
      <c r="U408" s="55"/>
      <c r="W408" s="27"/>
      <c r="Z408" s="27"/>
      <c r="AA408" s="27"/>
      <c r="AB408" s="27"/>
      <c r="AC408" s="27"/>
      <c r="AD408" s="13"/>
      <c r="AE408" s="13"/>
      <c r="AF408" s="13"/>
      <c r="AG408" s="27"/>
      <c r="AH408" s="27"/>
      <c r="AI408" s="27"/>
      <c r="AJ408" s="27"/>
      <c r="CL408" s="27"/>
    </row>
    <row r="409" spans="2:90" s="18" customFormat="1" ht="14.1" customHeight="1" x14ac:dyDescent="0.2">
      <c r="B409" s="54"/>
      <c r="C409" s="54"/>
      <c r="D409" s="54"/>
      <c r="E409" s="50"/>
      <c r="F409" s="50"/>
      <c r="G409" s="50"/>
      <c r="H409" s="50"/>
      <c r="I409" s="50"/>
      <c r="J409" s="50"/>
      <c r="K409" s="50"/>
      <c r="L409" s="50"/>
      <c r="M409" s="50"/>
      <c r="N409" s="51"/>
      <c r="O409" s="51"/>
      <c r="P409" s="52"/>
      <c r="Q409" s="55"/>
      <c r="R409" s="55"/>
      <c r="S409" s="55"/>
      <c r="T409" s="55"/>
      <c r="U409" s="55"/>
      <c r="W409" s="27"/>
      <c r="Z409" s="27"/>
      <c r="AA409" s="27"/>
      <c r="AB409" s="27"/>
      <c r="AC409" s="27"/>
      <c r="AD409" s="13"/>
      <c r="AE409" s="13"/>
      <c r="AF409" s="13"/>
      <c r="AG409" s="27"/>
      <c r="AH409" s="27"/>
      <c r="AI409" s="27"/>
      <c r="AJ409" s="27"/>
      <c r="CL409" s="27"/>
    </row>
    <row r="410" spans="2:90" s="18" customFormat="1" ht="14.1" customHeight="1" x14ac:dyDescent="0.2">
      <c r="B410" s="54"/>
      <c r="C410" s="54"/>
      <c r="D410" s="54"/>
      <c r="E410" s="50"/>
      <c r="F410" s="50"/>
      <c r="G410" s="50"/>
      <c r="H410" s="50"/>
      <c r="I410" s="50"/>
      <c r="J410" s="50"/>
      <c r="K410" s="50"/>
      <c r="L410" s="50"/>
      <c r="M410" s="50"/>
      <c r="N410" s="51"/>
      <c r="O410" s="51"/>
      <c r="P410" s="52"/>
      <c r="Q410" s="55"/>
      <c r="R410" s="55"/>
      <c r="S410" s="55"/>
      <c r="T410" s="55"/>
      <c r="U410" s="55"/>
      <c r="W410" s="27"/>
      <c r="Z410" s="27"/>
      <c r="AA410" s="27"/>
      <c r="AB410" s="27"/>
      <c r="AC410" s="27"/>
      <c r="AD410" s="13"/>
      <c r="AE410" s="13"/>
      <c r="AF410" s="13"/>
      <c r="AG410" s="27"/>
      <c r="AH410" s="27"/>
      <c r="AI410" s="27"/>
      <c r="AJ410" s="27"/>
      <c r="CL410" s="27"/>
    </row>
    <row r="411" spans="2:90" s="18" customFormat="1" ht="14.1" customHeight="1" x14ac:dyDescent="0.2">
      <c r="B411" s="54"/>
      <c r="C411" s="54"/>
      <c r="D411" s="54"/>
      <c r="E411" s="50"/>
      <c r="F411" s="50"/>
      <c r="G411" s="50"/>
      <c r="H411" s="50"/>
      <c r="I411" s="50"/>
      <c r="J411" s="50"/>
      <c r="K411" s="50"/>
      <c r="L411" s="50"/>
      <c r="M411" s="50"/>
      <c r="N411" s="51"/>
      <c r="O411" s="51"/>
      <c r="P411" s="52"/>
      <c r="Q411" s="55"/>
      <c r="R411" s="55"/>
      <c r="S411" s="55"/>
      <c r="T411" s="55"/>
      <c r="U411" s="55"/>
      <c r="W411" s="27"/>
      <c r="Z411" s="27"/>
      <c r="AA411" s="27"/>
      <c r="AB411" s="27"/>
      <c r="AC411" s="27"/>
      <c r="AD411" s="13"/>
      <c r="AE411" s="13"/>
      <c r="AF411" s="13"/>
      <c r="AG411" s="27"/>
      <c r="AH411" s="27"/>
      <c r="AI411" s="27"/>
      <c r="AJ411" s="27"/>
      <c r="CL411" s="27"/>
    </row>
    <row r="412" spans="2:90" s="18" customFormat="1" ht="14.1" customHeight="1" x14ac:dyDescent="0.2">
      <c r="B412" s="54"/>
      <c r="C412" s="54"/>
      <c r="D412" s="54"/>
      <c r="E412" s="50"/>
      <c r="F412" s="50"/>
      <c r="G412" s="50"/>
      <c r="H412" s="50"/>
      <c r="I412" s="50"/>
      <c r="J412" s="50"/>
      <c r="K412" s="50"/>
      <c r="L412" s="50"/>
      <c r="M412" s="50"/>
      <c r="N412" s="51"/>
      <c r="O412" s="51"/>
      <c r="P412" s="52"/>
      <c r="Q412" s="55"/>
      <c r="R412" s="55"/>
      <c r="S412" s="55"/>
      <c r="T412" s="55"/>
      <c r="U412" s="55"/>
      <c r="W412" s="27"/>
      <c r="Z412" s="27"/>
      <c r="AA412" s="27"/>
      <c r="AB412" s="27"/>
      <c r="AC412" s="27"/>
      <c r="AD412" s="13"/>
      <c r="AE412" s="13"/>
      <c r="AF412" s="13"/>
      <c r="AG412" s="27"/>
      <c r="AH412" s="27"/>
      <c r="AI412" s="27"/>
      <c r="AJ412" s="27"/>
      <c r="CL412" s="27"/>
    </row>
    <row r="413" spans="2:90" s="18" customFormat="1" ht="14.1" customHeight="1" x14ac:dyDescent="0.2">
      <c r="B413" s="54"/>
      <c r="C413" s="54"/>
      <c r="D413" s="54"/>
      <c r="E413" s="50"/>
      <c r="F413" s="50"/>
      <c r="G413" s="50"/>
      <c r="H413" s="50"/>
      <c r="I413" s="50"/>
      <c r="J413" s="50"/>
      <c r="K413" s="50"/>
      <c r="L413" s="50"/>
      <c r="M413" s="50"/>
      <c r="N413" s="51"/>
      <c r="O413" s="51"/>
      <c r="P413" s="52"/>
      <c r="Q413" s="55"/>
      <c r="R413" s="55"/>
      <c r="S413" s="55"/>
      <c r="T413" s="55"/>
      <c r="U413" s="55"/>
      <c r="W413" s="27"/>
      <c r="Z413" s="27"/>
      <c r="AA413" s="27"/>
      <c r="AB413" s="27"/>
      <c r="AC413" s="27"/>
      <c r="AD413" s="13"/>
      <c r="AE413" s="13"/>
      <c r="AF413" s="13"/>
      <c r="AG413" s="27"/>
      <c r="AH413" s="27"/>
      <c r="AI413" s="27"/>
      <c r="AJ413" s="27"/>
      <c r="CL413" s="27"/>
    </row>
    <row r="414" spans="2:90" s="18" customFormat="1" ht="14.1" customHeight="1" x14ac:dyDescent="0.2">
      <c r="B414" s="54"/>
      <c r="C414" s="54"/>
      <c r="D414" s="54"/>
      <c r="E414" s="50"/>
      <c r="F414" s="50"/>
      <c r="G414" s="50"/>
      <c r="H414" s="50"/>
      <c r="I414" s="50"/>
      <c r="J414" s="50"/>
      <c r="K414" s="50"/>
      <c r="L414" s="50"/>
      <c r="M414" s="50"/>
      <c r="N414" s="51"/>
      <c r="O414" s="51"/>
      <c r="P414" s="52"/>
      <c r="Q414" s="55"/>
      <c r="R414" s="55"/>
      <c r="S414" s="55"/>
      <c r="T414" s="55"/>
      <c r="U414" s="55"/>
      <c r="W414" s="27"/>
      <c r="Z414" s="27"/>
      <c r="AA414" s="27"/>
      <c r="AB414" s="27"/>
      <c r="AC414" s="27"/>
      <c r="AD414" s="13"/>
      <c r="AE414" s="13"/>
      <c r="AF414" s="13"/>
      <c r="AG414" s="27"/>
      <c r="AH414" s="27"/>
      <c r="AI414" s="27"/>
      <c r="AJ414" s="27"/>
      <c r="CL414" s="27"/>
    </row>
    <row r="415" spans="2:90" s="18" customFormat="1" ht="14.1" customHeight="1" x14ac:dyDescent="0.2">
      <c r="B415" s="54"/>
      <c r="C415" s="54"/>
      <c r="D415" s="54"/>
      <c r="E415" s="50"/>
      <c r="F415" s="50"/>
      <c r="G415" s="50"/>
      <c r="H415" s="50"/>
      <c r="I415" s="50"/>
      <c r="J415" s="50"/>
      <c r="K415" s="50"/>
      <c r="L415" s="50"/>
      <c r="M415" s="50"/>
      <c r="N415" s="51"/>
      <c r="O415" s="51"/>
      <c r="P415" s="52"/>
      <c r="Q415" s="55"/>
      <c r="R415" s="55"/>
      <c r="S415" s="55"/>
      <c r="T415" s="55"/>
      <c r="U415" s="55"/>
      <c r="W415" s="27"/>
      <c r="Z415" s="27"/>
      <c r="AA415" s="27"/>
      <c r="AB415" s="27"/>
      <c r="AC415" s="27"/>
      <c r="AD415" s="13"/>
      <c r="AE415" s="13"/>
      <c r="AF415" s="13"/>
      <c r="AG415" s="27"/>
      <c r="AH415" s="27"/>
      <c r="AI415" s="27"/>
      <c r="AJ415" s="27"/>
      <c r="CL415" s="27"/>
    </row>
    <row r="416" spans="2:90" s="18" customFormat="1" ht="14.1" customHeight="1" x14ac:dyDescent="0.2">
      <c r="B416" s="54"/>
      <c r="C416" s="54"/>
      <c r="D416" s="54"/>
      <c r="E416" s="50"/>
      <c r="F416" s="50"/>
      <c r="G416" s="50"/>
      <c r="H416" s="50"/>
      <c r="I416" s="50"/>
      <c r="J416" s="50"/>
      <c r="K416" s="50"/>
      <c r="L416" s="50"/>
      <c r="M416" s="50"/>
      <c r="N416" s="51"/>
      <c r="O416" s="51"/>
      <c r="P416" s="52"/>
      <c r="Q416" s="55"/>
      <c r="R416" s="55"/>
      <c r="S416" s="55"/>
      <c r="T416" s="55"/>
      <c r="U416" s="55"/>
      <c r="W416" s="27"/>
      <c r="Z416" s="27"/>
      <c r="AA416" s="27"/>
      <c r="AB416" s="27"/>
      <c r="AC416" s="27"/>
      <c r="AD416" s="13"/>
      <c r="AE416" s="13"/>
      <c r="AF416" s="13"/>
      <c r="AG416" s="27"/>
      <c r="AH416" s="27"/>
      <c r="AI416" s="27"/>
      <c r="AJ416" s="27"/>
      <c r="CL416" s="27"/>
    </row>
    <row r="417" spans="2:90" s="18" customFormat="1" ht="14.1" customHeight="1" x14ac:dyDescent="0.2">
      <c r="B417" s="54"/>
      <c r="C417" s="54"/>
      <c r="D417" s="54"/>
      <c r="E417" s="50"/>
      <c r="F417" s="50"/>
      <c r="G417" s="50"/>
      <c r="H417" s="50"/>
      <c r="I417" s="50"/>
      <c r="J417" s="50"/>
      <c r="K417" s="50"/>
      <c r="L417" s="50"/>
      <c r="M417" s="50"/>
      <c r="N417" s="51"/>
      <c r="O417" s="51"/>
      <c r="P417" s="52"/>
      <c r="Q417" s="55"/>
      <c r="R417" s="55"/>
      <c r="S417" s="55"/>
      <c r="T417" s="55"/>
      <c r="U417" s="55"/>
      <c r="W417" s="27"/>
      <c r="Z417" s="27"/>
      <c r="AA417" s="27"/>
      <c r="AB417" s="27"/>
      <c r="AC417" s="27"/>
      <c r="AD417" s="13"/>
      <c r="AE417" s="13"/>
      <c r="AF417" s="13"/>
      <c r="AG417" s="27"/>
      <c r="AH417" s="27"/>
      <c r="AI417" s="27"/>
      <c r="AJ417" s="27"/>
      <c r="CL417" s="27"/>
    </row>
    <row r="418" spans="2:90" s="18" customFormat="1" ht="14.1" customHeight="1" x14ac:dyDescent="0.2">
      <c r="B418" s="54"/>
      <c r="C418" s="54"/>
      <c r="D418" s="54"/>
      <c r="E418" s="50"/>
      <c r="F418" s="50"/>
      <c r="G418" s="50"/>
      <c r="H418" s="50"/>
      <c r="I418" s="50"/>
      <c r="J418" s="50"/>
      <c r="K418" s="50"/>
      <c r="L418" s="50"/>
      <c r="M418" s="50"/>
      <c r="N418" s="51"/>
      <c r="O418" s="51"/>
      <c r="P418" s="52"/>
      <c r="Q418" s="55"/>
      <c r="R418" s="55"/>
      <c r="S418" s="55"/>
      <c r="T418" s="55"/>
      <c r="U418" s="55"/>
      <c r="W418" s="27"/>
      <c r="Z418" s="27"/>
      <c r="AA418" s="27"/>
      <c r="AB418" s="27"/>
      <c r="AC418" s="27"/>
      <c r="AD418" s="13"/>
      <c r="AE418" s="13"/>
      <c r="AF418" s="13"/>
      <c r="AG418" s="27"/>
      <c r="AH418" s="27"/>
      <c r="AI418" s="27"/>
      <c r="AJ418" s="27"/>
      <c r="CL418" s="27"/>
    </row>
    <row r="419" spans="2:90" s="18" customFormat="1" ht="14.1" customHeight="1" x14ac:dyDescent="0.2">
      <c r="B419" s="54"/>
      <c r="C419" s="54"/>
      <c r="D419" s="54"/>
      <c r="E419" s="50"/>
      <c r="F419" s="50"/>
      <c r="G419" s="50"/>
      <c r="H419" s="50"/>
      <c r="I419" s="50"/>
      <c r="J419" s="50"/>
      <c r="K419" s="50"/>
      <c r="L419" s="50"/>
      <c r="M419" s="50"/>
      <c r="N419" s="51"/>
      <c r="O419" s="51"/>
      <c r="P419" s="52"/>
      <c r="Q419" s="55"/>
      <c r="R419" s="55"/>
      <c r="S419" s="55"/>
      <c r="T419" s="55"/>
      <c r="U419" s="55"/>
      <c r="W419" s="27"/>
      <c r="Z419" s="27"/>
      <c r="AA419" s="27"/>
      <c r="AB419" s="27"/>
      <c r="AC419" s="27"/>
      <c r="AD419" s="13"/>
      <c r="AE419" s="13"/>
      <c r="AF419" s="13"/>
      <c r="AG419" s="27"/>
      <c r="AH419" s="27"/>
      <c r="AI419" s="27"/>
      <c r="AJ419" s="27"/>
      <c r="CL419" s="27"/>
    </row>
    <row r="420" spans="2:90" s="18" customFormat="1" ht="14.1" customHeight="1" x14ac:dyDescent="0.2">
      <c r="B420" s="54"/>
      <c r="C420" s="54"/>
      <c r="D420" s="54"/>
      <c r="E420" s="50"/>
      <c r="F420" s="50"/>
      <c r="G420" s="50"/>
      <c r="H420" s="50"/>
      <c r="I420" s="50"/>
      <c r="J420" s="50"/>
      <c r="K420" s="50"/>
      <c r="L420" s="50"/>
      <c r="M420" s="50"/>
      <c r="N420" s="51"/>
      <c r="O420" s="51"/>
      <c r="P420" s="52"/>
      <c r="Q420" s="55"/>
      <c r="R420" s="55"/>
      <c r="S420" s="55"/>
      <c r="T420" s="55"/>
      <c r="U420" s="55"/>
      <c r="W420" s="27"/>
      <c r="Z420" s="27"/>
      <c r="AA420" s="27"/>
      <c r="AB420" s="27"/>
      <c r="AC420" s="27"/>
      <c r="AD420" s="13"/>
      <c r="AE420" s="13"/>
      <c r="AF420" s="13"/>
      <c r="AG420" s="27"/>
      <c r="AH420" s="27"/>
      <c r="AI420" s="27"/>
      <c r="AJ420" s="27"/>
      <c r="CL420" s="27"/>
    </row>
    <row r="421" spans="2:90" s="18" customFormat="1" ht="14.1" customHeight="1" x14ac:dyDescent="0.2">
      <c r="B421" s="54"/>
      <c r="C421" s="54"/>
      <c r="D421" s="54"/>
      <c r="E421" s="50"/>
      <c r="F421" s="50"/>
      <c r="G421" s="50"/>
      <c r="H421" s="50"/>
      <c r="I421" s="50"/>
      <c r="J421" s="50"/>
      <c r="K421" s="50"/>
      <c r="L421" s="50"/>
      <c r="M421" s="50"/>
      <c r="N421" s="51"/>
      <c r="O421" s="51"/>
      <c r="P421" s="52"/>
      <c r="Q421" s="55"/>
      <c r="R421" s="55"/>
      <c r="S421" s="55"/>
      <c r="T421" s="55"/>
      <c r="U421" s="55"/>
      <c r="W421" s="27"/>
      <c r="Z421" s="27"/>
      <c r="AA421" s="27"/>
      <c r="AB421" s="27"/>
      <c r="AC421" s="27"/>
      <c r="AD421" s="13"/>
      <c r="AE421" s="13"/>
      <c r="AF421" s="13"/>
      <c r="AG421" s="27"/>
      <c r="AH421" s="27"/>
      <c r="AI421" s="27"/>
      <c r="AJ421" s="27"/>
      <c r="CL421" s="27"/>
    </row>
    <row r="422" spans="2:90" s="18" customFormat="1" ht="14.1" customHeight="1" x14ac:dyDescent="0.2">
      <c r="B422" s="54"/>
      <c r="C422" s="54"/>
      <c r="D422" s="54"/>
      <c r="E422" s="50"/>
      <c r="F422" s="50"/>
      <c r="G422" s="50"/>
      <c r="H422" s="50"/>
      <c r="I422" s="50"/>
      <c r="J422" s="50"/>
      <c r="K422" s="50"/>
      <c r="L422" s="50"/>
      <c r="M422" s="50"/>
      <c r="N422" s="51"/>
      <c r="O422" s="51"/>
      <c r="P422" s="52"/>
      <c r="Q422" s="55"/>
      <c r="R422" s="55"/>
      <c r="S422" s="55"/>
      <c r="T422" s="55"/>
      <c r="U422" s="55"/>
      <c r="W422" s="27"/>
      <c r="Z422" s="27"/>
      <c r="AA422" s="27"/>
      <c r="AB422" s="27"/>
      <c r="AC422" s="27"/>
      <c r="AD422" s="13"/>
      <c r="AE422" s="13"/>
      <c r="AF422" s="13"/>
      <c r="AG422" s="27"/>
      <c r="AH422" s="27"/>
      <c r="AI422" s="27"/>
      <c r="AJ422" s="27"/>
      <c r="CL422" s="27"/>
    </row>
    <row r="423" spans="2:90" s="18" customFormat="1" ht="14.1" customHeight="1" x14ac:dyDescent="0.2">
      <c r="B423" s="54"/>
      <c r="C423" s="54"/>
      <c r="D423" s="54"/>
      <c r="E423" s="50"/>
      <c r="F423" s="50"/>
      <c r="G423" s="50"/>
      <c r="H423" s="50"/>
      <c r="I423" s="50"/>
      <c r="J423" s="50"/>
      <c r="K423" s="50"/>
      <c r="L423" s="50"/>
      <c r="M423" s="50"/>
      <c r="N423" s="51"/>
      <c r="O423" s="51"/>
      <c r="P423" s="52"/>
      <c r="Q423" s="55"/>
      <c r="R423" s="55"/>
      <c r="S423" s="55"/>
      <c r="T423" s="55"/>
      <c r="U423" s="55"/>
      <c r="W423" s="27"/>
      <c r="Z423" s="27"/>
      <c r="AA423" s="27"/>
      <c r="AB423" s="27"/>
      <c r="AC423" s="27"/>
      <c r="AD423" s="13"/>
      <c r="AE423" s="13"/>
      <c r="AF423" s="13"/>
      <c r="AG423" s="27"/>
      <c r="AH423" s="27"/>
      <c r="AI423" s="27"/>
      <c r="AJ423" s="27"/>
      <c r="CL423" s="27"/>
    </row>
    <row r="424" spans="2:90" s="18" customFormat="1" ht="14.1" customHeight="1" x14ac:dyDescent="0.2">
      <c r="B424" s="54"/>
      <c r="C424" s="54"/>
      <c r="D424" s="54"/>
      <c r="E424" s="50"/>
      <c r="F424" s="50"/>
      <c r="G424" s="50"/>
      <c r="H424" s="50"/>
      <c r="I424" s="50"/>
      <c r="J424" s="50"/>
      <c r="K424" s="50"/>
      <c r="L424" s="50"/>
      <c r="M424" s="50"/>
      <c r="N424" s="51"/>
      <c r="O424" s="51"/>
      <c r="P424" s="52"/>
      <c r="Q424" s="55"/>
      <c r="R424" s="55"/>
      <c r="S424" s="55"/>
      <c r="T424" s="55"/>
      <c r="U424" s="55"/>
      <c r="W424" s="27"/>
      <c r="Z424" s="27"/>
      <c r="AA424" s="27"/>
      <c r="AB424" s="27"/>
      <c r="AC424" s="27"/>
      <c r="AD424" s="13"/>
      <c r="AE424" s="13"/>
      <c r="AF424" s="13"/>
      <c r="AG424" s="27"/>
      <c r="AH424" s="27"/>
      <c r="AI424" s="27"/>
      <c r="AJ424" s="27"/>
      <c r="CL424" s="27"/>
    </row>
    <row r="425" spans="2:90" s="18" customFormat="1" ht="14.1" customHeight="1" x14ac:dyDescent="0.2">
      <c r="B425" s="54"/>
      <c r="C425" s="54"/>
      <c r="D425" s="54"/>
      <c r="E425" s="50"/>
      <c r="F425" s="50"/>
      <c r="G425" s="50"/>
      <c r="H425" s="50"/>
      <c r="I425" s="50"/>
      <c r="J425" s="50"/>
      <c r="K425" s="50"/>
      <c r="L425" s="50"/>
      <c r="M425" s="50"/>
      <c r="N425" s="51"/>
      <c r="O425" s="51"/>
      <c r="P425" s="52"/>
      <c r="Q425" s="55"/>
      <c r="R425" s="55"/>
      <c r="S425" s="55"/>
      <c r="T425" s="55"/>
      <c r="U425" s="55"/>
      <c r="W425" s="27"/>
      <c r="Z425" s="27"/>
      <c r="AA425" s="27"/>
      <c r="AB425" s="27"/>
      <c r="AC425" s="27"/>
      <c r="AD425" s="13"/>
      <c r="AE425" s="13"/>
      <c r="AF425" s="13"/>
      <c r="AG425" s="27"/>
      <c r="AH425" s="27"/>
      <c r="AI425" s="27"/>
      <c r="AJ425" s="27"/>
      <c r="CL425" s="27"/>
    </row>
    <row r="426" spans="2:90" s="18" customFormat="1" ht="14.1" customHeight="1" x14ac:dyDescent="0.2">
      <c r="B426" s="54"/>
      <c r="C426" s="54"/>
      <c r="D426" s="54"/>
      <c r="E426" s="50"/>
      <c r="F426" s="50"/>
      <c r="G426" s="50"/>
      <c r="H426" s="50"/>
      <c r="I426" s="50"/>
      <c r="J426" s="50"/>
      <c r="K426" s="50"/>
      <c r="L426" s="50"/>
      <c r="M426" s="50"/>
      <c r="N426" s="51"/>
      <c r="O426" s="51"/>
      <c r="P426" s="52"/>
      <c r="Q426" s="55"/>
      <c r="R426" s="55"/>
      <c r="S426" s="55"/>
      <c r="T426" s="55"/>
      <c r="U426" s="55"/>
      <c r="W426" s="27"/>
      <c r="Z426" s="27"/>
      <c r="AA426" s="27"/>
      <c r="AB426" s="27"/>
      <c r="AC426" s="27"/>
      <c r="AD426" s="13"/>
      <c r="AE426" s="13"/>
      <c r="AF426" s="13"/>
      <c r="AG426" s="27"/>
      <c r="AH426" s="27"/>
      <c r="AI426" s="27"/>
      <c r="AJ426" s="27"/>
      <c r="CL426" s="27"/>
    </row>
    <row r="427" spans="2:90" s="18" customFormat="1" ht="14.1" customHeight="1" x14ac:dyDescent="0.2">
      <c r="B427" s="54"/>
      <c r="C427" s="54"/>
      <c r="D427" s="54"/>
      <c r="E427" s="50"/>
      <c r="F427" s="50"/>
      <c r="G427" s="50"/>
      <c r="H427" s="50"/>
      <c r="I427" s="50"/>
      <c r="J427" s="50"/>
      <c r="K427" s="50"/>
      <c r="L427" s="50"/>
      <c r="M427" s="50"/>
      <c r="N427" s="51"/>
      <c r="O427" s="51"/>
      <c r="P427" s="52"/>
      <c r="Q427" s="55"/>
      <c r="R427" s="55"/>
      <c r="S427" s="55"/>
      <c r="T427" s="55"/>
      <c r="U427" s="55"/>
      <c r="W427" s="27"/>
      <c r="Z427" s="27"/>
      <c r="AA427" s="27"/>
      <c r="AB427" s="27"/>
      <c r="AC427" s="27"/>
      <c r="AD427" s="13"/>
      <c r="AE427" s="13"/>
      <c r="AF427" s="13"/>
      <c r="AG427" s="27"/>
      <c r="AH427" s="27"/>
      <c r="AI427" s="27"/>
      <c r="AJ427" s="27"/>
      <c r="CL427" s="27"/>
    </row>
    <row r="428" spans="2:90" s="18" customFormat="1" ht="14.1" customHeight="1" x14ac:dyDescent="0.2">
      <c r="B428" s="54"/>
      <c r="C428" s="54"/>
      <c r="D428" s="54"/>
      <c r="E428" s="50"/>
      <c r="F428" s="50"/>
      <c r="G428" s="50"/>
      <c r="H428" s="50"/>
      <c r="I428" s="50"/>
      <c r="J428" s="50"/>
      <c r="K428" s="50"/>
      <c r="L428" s="50"/>
      <c r="M428" s="50"/>
      <c r="N428" s="51"/>
      <c r="O428" s="51"/>
      <c r="P428" s="52"/>
      <c r="Q428" s="55"/>
      <c r="R428" s="55"/>
      <c r="S428" s="55"/>
      <c r="T428" s="55"/>
      <c r="U428" s="55"/>
      <c r="W428" s="27"/>
      <c r="Z428" s="27"/>
      <c r="AA428" s="27"/>
      <c r="AB428" s="27"/>
      <c r="AC428" s="27"/>
      <c r="AD428" s="13"/>
      <c r="AE428" s="13"/>
      <c r="AF428" s="13"/>
      <c r="AG428" s="27"/>
      <c r="AH428" s="27"/>
      <c r="AI428" s="27"/>
      <c r="AJ428" s="27"/>
      <c r="CL428" s="27"/>
    </row>
    <row r="429" spans="2:90" s="18" customFormat="1" ht="14.1" customHeight="1" x14ac:dyDescent="0.2">
      <c r="B429" s="54"/>
      <c r="C429" s="54"/>
      <c r="D429" s="54"/>
      <c r="E429" s="50"/>
      <c r="F429" s="50"/>
      <c r="G429" s="50"/>
      <c r="H429" s="50"/>
      <c r="I429" s="50"/>
      <c r="J429" s="50"/>
      <c r="K429" s="50"/>
      <c r="L429" s="50"/>
      <c r="M429" s="50"/>
      <c r="N429" s="51"/>
      <c r="O429" s="51"/>
      <c r="P429" s="52"/>
      <c r="Q429" s="55"/>
      <c r="R429" s="55"/>
      <c r="S429" s="55"/>
      <c r="T429" s="55"/>
      <c r="U429" s="55"/>
      <c r="W429" s="27"/>
      <c r="Z429" s="27"/>
      <c r="AA429" s="27"/>
      <c r="AB429" s="27"/>
      <c r="AC429" s="27"/>
      <c r="AD429" s="13"/>
      <c r="AE429" s="13"/>
      <c r="AF429" s="13"/>
      <c r="AG429" s="27"/>
      <c r="AH429" s="27"/>
      <c r="AI429" s="27"/>
      <c r="AJ429" s="27"/>
      <c r="CL429" s="27"/>
    </row>
    <row r="430" spans="2:90" s="18" customFormat="1" ht="14.1" customHeight="1" x14ac:dyDescent="0.2">
      <c r="B430" s="54"/>
      <c r="C430" s="54"/>
      <c r="D430" s="54"/>
      <c r="E430" s="50"/>
      <c r="F430" s="50"/>
      <c r="G430" s="50"/>
      <c r="H430" s="50"/>
      <c r="I430" s="50"/>
      <c r="J430" s="50"/>
      <c r="K430" s="50"/>
      <c r="L430" s="50"/>
      <c r="M430" s="50"/>
      <c r="N430" s="51"/>
      <c r="O430" s="51"/>
      <c r="P430" s="52"/>
      <c r="Q430" s="55"/>
      <c r="R430" s="55"/>
      <c r="S430" s="55"/>
      <c r="T430" s="55"/>
      <c r="U430" s="55"/>
      <c r="W430" s="27"/>
      <c r="Z430" s="27"/>
      <c r="AA430" s="27"/>
      <c r="AB430" s="27"/>
      <c r="AC430" s="27"/>
      <c r="AD430" s="13"/>
      <c r="AE430" s="13"/>
      <c r="AF430" s="13"/>
      <c r="AG430" s="27"/>
      <c r="AH430" s="27"/>
      <c r="AI430" s="27"/>
      <c r="AJ430" s="27"/>
      <c r="CL430" s="27"/>
    </row>
    <row r="431" spans="2:90" s="18" customFormat="1" ht="14.1" customHeight="1" x14ac:dyDescent="0.2">
      <c r="B431" s="54"/>
      <c r="C431" s="54"/>
      <c r="D431" s="54"/>
      <c r="E431" s="50"/>
      <c r="F431" s="50"/>
      <c r="G431" s="50"/>
      <c r="H431" s="50"/>
      <c r="I431" s="50"/>
      <c r="J431" s="50"/>
      <c r="K431" s="50"/>
      <c r="L431" s="50"/>
      <c r="M431" s="50"/>
      <c r="N431" s="51"/>
      <c r="O431" s="51"/>
      <c r="P431" s="52"/>
      <c r="Q431" s="55"/>
      <c r="R431" s="55"/>
      <c r="S431" s="55"/>
      <c r="T431" s="55"/>
      <c r="U431" s="55"/>
      <c r="W431" s="27"/>
      <c r="Z431" s="27"/>
      <c r="AA431" s="27"/>
      <c r="AB431" s="27"/>
      <c r="AC431" s="27"/>
      <c r="AD431" s="13"/>
      <c r="AE431" s="13"/>
      <c r="AF431" s="13"/>
      <c r="AG431" s="27"/>
      <c r="AH431" s="27"/>
      <c r="AI431" s="27"/>
      <c r="AJ431" s="27"/>
      <c r="CL431" s="27"/>
    </row>
    <row r="432" spans="2:90" s="18" customFormat="1" ht="14.1" customHeight="1" x14ac:dyDescent="0.2">
      <c r="B432" s="54"/>
      <c r="C432" s="54"/>
      <c r="D432" s="54"/>
      <c r="E432" s="50"/>
      <c r="F432" s="50"/>
      <c r="G432" s="50"/>
      <c r="H432" s="50"/>
      <c r="I432" s="50"/>
      <c r="J432" s="50"/>
      <c r="K432" s="50"/>
      <c r="L432" s="50"/>
      <c r="M432" s="50"/>
      <c r="N432" s="51"/>
      <c r="O432" s="51"/>
      <c r="P432" s="52"/>
      <c r="Q432" s="55"/>
      <c r="R432" s="55"/>
      <c r="S432" s="55"/>
      <c r="T432" s="55"/>
      <c r="U432" s="55"/>
      <c r="W432" s="27"/>
      <c r="Z432" s="27"/>
      <c r="AA432" s="27"/>
      <c r="AB432" s="27"/>
      <c r="AC432" s="27"/>
      <c r="AD432" s="13"/>
      <c r="AE432" s="13"/>
      <c r="AF432" s="13"/>
      <c r="AG432" s="27"/>
      <c r="AH432" s="27"/>
      <c r="AI432" s="27"/>
      <c r="AJ432" s="27"/>
      <c r="CL432" s="27"/>
    </row>
    <row r="433" spans="2:90" s="18" customFormat="1" ht="14.1" customHeight="1" x14ac:dyDescent="0.2">
      <c r="B433" s="54"/>
      <c r="C433" s="54"/>
      <c r="D433" s="54"/>
      <c r="E433" s="50"/>
      <c r="F433" s="50"/>
      <c r="G433" s="50"/>
      <c r="H433" s="50"/>
      <c r="I433" s="50"/>
      <c r="J433" s="50"/>
      <c r="K433" s="50"/>
      <c r="L433" s="50"/>
      <c r="M433" s="50"/>
      <c r="N433" s="51"/>
      <c r="O433" s="51"/>
      <c r="P433" s="52"/>
      <c r="Q433" s="55"/>
      <c r="R433" s="55"/>
      <c r="S433" s="55"/>
      <c r="T433" s="55"/>
      <c r="U433" s="55"/>
      <c r="W433" s="27"/>
      <c r="Z433" s="27"/>
      <c r="AA433" s="27"/>
      <c r="AB433" s="27"/>
      <c r="AC433" s="27"/>
      <c r="AD433" s="13"/>
      <c r="AE433" s="13"/>
      <c r="AF433" s="13"/>
      <c r="AG433" s="27"/>
      <c r="AH433" s="27"/>
      <c r="AI433" s="27"/>
      <c r="AJ433" s="27"/>
      <c r="CL433" s="27"/>
    </row>
    <row r="434" spans="2:90" s="18" customFormat="1" ht="14.1" customHeight="1" x14ac:dyDescent="0.2">
      <c r="B434" s="54"/>
      <c r="C434" s="54"/>
      <c r="D434" s="54"/>
      <c r="E434" s="50"/>
      <c r="F434" s="50"/>
      <c r="G434" s="50"/>
      <c r="H434" s="50"/>
      <c r="I434" s="50"/>
      <c r="J434" s="50"/>
      <c r="K434" s="50"/>
      <c r="L434" s="50"/>
      <c r="M434" s="50"/>
      <c r="N434" s="51"/>
      <c r="O434" s="51"/>
      <c r="P434" s="52"/>
      <c r="Q434" s="55"/>
      <c r="R434" s="55"/>
      <c r="S434" s="55"/>
      <c r="T434" s="55"/>
      <c r="U434" s="55"/>
      <c r="W434" s="27"/>
      <c r="Z434" s="27"/>
      <c r="AA434" s="27"/>
      <c r="AB434" s="27"/>
      <c r="AC434" s="27"/>
      <c r="AD434" s="13"/>
      <c r="AE434" s="13"/>
      <c r="AF434" s="13"/>
      <c r="AG434" s="27"/>
      <c r="AH434" s="27"/>
      <c r="AI434" s="27"/>
      <c r="AJ434" s="27"/>
      <c r="CL434" s="27"/>
    </row>
    <row r="435" spans="2:90" s="18" customFormat="1" ht="14.1" customHeight="1" x14ac:dyDescent="0.2">
      <c r="B435" s="54"/>
      <c r="C435" s="54"/>
      <c r="D435" s="54"/>
      <c r="E435" s="50"/>
      <c r="F435" s="50"/>
      <c r="G435" s="50"/>
      <c r="H435" s="50"/>
      <c r="I435" s="50"/>
      <c r="J435" s="50"/>
      <c r="K435" s="50"/>
      <c r="L435" s="50"/>
      <c r="M435" s="50"/>
      <c r="N435" s="51"/>
      <c r="O435" s="51"/>
      <c r="P435" s="52"/>
      <c r="Q435" s="55"/>
      <c r="R435" s="55"/>
      <c r="S435" s="55"/>
      <c r="T435" s="55"/>
      <c r="U435" s="55"/>
      <c r="W435" s="27"/>
      <c r="Z435" s="27"/>
      <c r="AA435" s="27"/>
      <c r="AB435" s="27"/>
      <c r="AC435" s="27"/>
      <c r="AD435" s="13"/>
      <c r="AE435" s="13"/>
      <c r="AF435" s="13"/>
      <c r="AG435" s="27"/>
      <c r="AH435" s="27"/>
      <c r="AI435" s="27"/>
      <c r="AJ435" s="27"/>
      <c r="CL435" s="27"/>
    </row>
    <row r="436" spans="2:90" s="18" customFormat="1" ht="14.1" customHeight="1" x14ac:dyDescent="0.2">
      <c r="B436" s="54"/>
      <c r="C436" s="54"/>
      <c r="D436" s="54"/>
      <c r="E436" s="50"/>
      <c r="F436" s="50"/>
      <c r="G436" s="50"/>
      <c r="H436" s="50"/>
      <c r="I436" s="50"/>
      <c r="J436" s="50"/>
      <c r="K436" s="50"/>
      <c r="L436" s="50"/>
      <c r="M436" s="50"/>
      <c r="N436" s="51"/>
      <c r="O436" s="51"/>
      <c r="P436" s="52"/>
      <c r="Q436" s="55"/>
      <c r="R436" s="55"/>
      <c r="S436" s="55"/>
      <c r="T436" s="55"/>
      <c r="U436" s="55"/>
      <c r="W436" s="27"/>
      <c r="Z436" s="27"/>
      <c r="AA436" s="27"/>
      <c r="AB436" s="27"/>
      <c r="AC436" s="27"/>
      <c r="AD436" s="13"/>
      <c r="AE436" s="13"/>
      <c r="AF436" s="13"/>
      <c r="AG436" s="27"/>
      <c r="AH436" s="27"/>
      <c r="AI436" s="27"/>
      <c r="AJ436" s="27"/>
      <c r="CL436" s="27"/>
    </row>
    <row r="437" spans="2:90" s="18" customFormat="1" ht="14.1" customHeight="1" x14ac:dyDescent="0.2">
      <c r="B437" s="54"/>
      <c r="C437" s="54"/>
      <c r="D437" s="54"/>
      <c r="E437" s="50"/>
      <c r="F437" s="50"/>
      <c r="G437" s="50"/>
      <c r="H437" s="50"/>
      <c r="I437" s="50"/>
      <c r="J437" s="50"/>
      <c r="K437" s="50"/>
      <c r="L437" s="50"/>
      <c r="M437" s="50"/>
      <c r="N437" s="51"/>
      <c r="O437" s="51"/>
      <c r="P437" s="52"/>
      <c r="Q437" s="55"/>
      <c r="R437" s="55"/>
      <c r="S437" s="55"/>
      <c r="T437" s="55"/>
      <c r="U437" s="55"/>
      <c r="W437" s="27"/>
      <c r="Z437" s="27"/>
      <c r="AA437" s="27"/>
      <c r="AB437" s="27"/>
      <c r="AC437" s="27"/>
      <c r="AD437" s="13"/>
      <c r="AE437" s="13"/>
      <c r="AF437" s="13"/>
      <c r="AG437" s="27"/>
      <c r="AH437" s="27"/>
      <c r="AI437" s="27"/>
      <c r="AJ437" s="27"/>
      <c r="CL437" s="27"/>
    </row>
    <row r="438" spans="2:90" s="18" customFormat="1" ht="14.1" customHeight="1" x14ac:dyDescent="0.2">
      <c r="B438" s="54"/>
      <c r="C438" s="54"/>
      <c r="D438" s="54"/>
      <c r="E438" s="50"/>
      <c r="F438" s="50"/>
      <c r="G438" s="50"/>
      <c r="H438" s="50"/>
      <c r="I438" s="50"/>
      <c r="J438" s="50"/>
      <c r="K438" s="50"/>
      <c r="L438" s="50"/>
      <c r="M438" s="50"/>
      <c r="N438" s="51"/>
      <c r="O438" s="51"/>
      <c r="P438" s="52"/>
      <c r="Q438" s="55"/>
      <c r="R438" s="55"/>
      <c r="S438" s="55"/>
      <c r="T438" s="55"/>
      <c r="U438" s="55"/>
      <c r="W438" s="27"/>
      <c r="Z438" s="27"/>
      <c r="AA438" s="27"/>
      <c r="AB438" s="27"/>
      <c r="AC438" s="27"/>
      <c r="AD438" s="13"/>
      <c r="AE438" s="13"/>
      <c r="AF438" s="13"/>
      <c r="AG438" s="27"/>
      <c r="AH438" s="27"/>
      <c r="AI438" s="27"/>
      <c r="AJ438" s="27"/>
      <c r="CL438" s="27"/>
    </row>
    <row r="439" spans="2:90" s="18" customFormat="1" ht="14.1" customHeight="1" x14ac:dyDescent="0.2">
      <c r="B439" s="54"/>
      <c r="C439" s="54"/>
      <c r="D439" s="54"/>
      <c r="E439" s="50"/>
      <c r="F439" s="50"/>
      <c r="G439" s="50"/>
      <c r="H439" s="50"/>
      <c r="I439" s="50"/>
      <c r="J439" s="50"/>
      <c r="K439" s="50"/>
      <c r="L439" s="50"/>
      <c r="M439" s="50"/>
      <c r="N439" s="51"/>
      <c r="O439" s="51"/>
      <c r="P439" s="52"/>
      <c r="Q439" s="55"/>
      <c r="R439" s="55"/>
      <c r="S439" s="55"/>
      <c r="T439" s="55"/>
      <c r="U439" s="55"/>
      <c r="W439" s="27"/>
      <c r="Z439" s="27"/>
      <c r="AA439" s="27"/>
      <c r="AB439" s="27"/>
      <c r="AC439" s="27"/>
      <c r="AD439" s="13"/>
      <c r="AE439" s="13"/>
      <c r="AF439" s="13"/>
      <c r="AG439" s="27"/>
      <c r="AH439" s="27"/>
      <c r="AI439" s="27"/>
      <c r="AJ439" s="27"/>
      <c r="CL439" s="27"/>
    </row>
    <row r="440" spans="2:90" s="18" customFormat="1" ht="14.1" customHeight="1" x14ac:dyDescent="0.2">
      <c r="B440" s="54"/>
      <c r="C440" s="54"/>
      <c r="D440" s="54"/>
      <c r="E440" s="50"/>
      <c r="F440" s="50"/>
      <c r="G440" s="50"/>
      <c r="H440" s="50"/>
      <c r="I440" s="50"/>
      <c r="J440" s="50"/>
      <c r="K440" s="50"/>
      <c r="L440" s="50"/>
      <c r="M440" s="50"/>
      <c r="N440" s="51"/>
      <c r="O440" s="51"/>
      <c r="P440" s="52"/>
      <c r="Q440" s="55"/>
      <c r="R440" s="55"/>
      <c r="S440" s="55"/>
      <c r="T440" s="55"/>
      <c r="U440" s="55"/>
      <c r="W440" s="27"/>
      <c r="Z440" s="27"/>
      <c r="AA440" s="27"/>
      <c r="AB440" s="27"/>
      <c r="AC440" s="27"/>
      <c r="AD440" s="13"/>
      <c r="AE440" s="13"/>
      <c r="AF440" s="13"/>
      <c r="AG440" s="27"/>
      <c r="AH440" s="27"/>
      <c r="AI440" s="27"/>
      <c r="AJ440" s="27"/>
      <c r="CL440" s="27"/>
    </row>
    <row r="441" spans="2:90" s="18" customFormat="1" ht="14.1" customHeight="1" x14ac:dyDescent="0.2">
      <c r="B441" s="54"/>
      <c r="C441" s="54"/>
      <c r="D441" s="54"/>
      <c r="E441" s="50"/>
      <c r="F441" s="50"/>
      <c r="G441" s="50"/>
      <c r="H441" s="50"/>
      <c r="I441" s="50"/>
      <c r="J441" s="50"/>
      <c r="K441" s="50"/>
      <c r="L441" s="50"/>
      <c r="M441" s="50"/>
      <c r="N441" s="51"/>
      <c r="O441" s="51"/>
      <c r="P441" s="52"/>
      <c r="Q441" s="55"/>
      <c r="R441" s="55"/>
      <c r="S441" s="55"/>
      <c r="T441" s="55"/>
      <c r="U441" s="55"/>
      <c r="W441" s="27"/>
      <c r="Z441" s="27"/>
      <c r="AA441" s="27"/>
      <c r="AB441" s="27"/>
      <c r="AC441" s="27"/>
      <c r="AD441" s="13"/>
      <c r="AE441" s="13"/>
      <c r="AF441" s="13"/>
      <c r="AG441" s="27"/>
      <c r="AH441" s="27"/>
      <c r="AI441" s="27"/>
      <c r="AJ441" s="27"/>
      <c r="CL441" s="27"/>
    </row>
    <row r="442" spans="2:90" s="18" customFormat="1" ht="14.1" customHeight="1" x14ac:dyDescent="0.2">
      <c r="B442" s="54"/>
      <c r="C442" s="54"/>
      <c r="D442" s="54"/>
      <c r="E442" s="50"/>
      <c r="F442" s="50"/>
      <c r="G442" s="50"/>
      <c r="H442" s="50"/>
      <c r="I442" s="50"/>
      <c r="J442" s="50"/>
      <c r="K442" s="50"/>
      <c r="L442" s="50"/>
      <c r="M442" s="50"/>
      <c r="N442" s="51"/>
      <c r="O442" s="51"/>
      <c r="P442" s="52"/>
      <c r="Q442" s="55"/>
      <c r="R442" s="55"/>
      <c r="S442" s="55"/>
      <c r="T442" s="55"/>
      <c r="U442" s="55"/>
      <c r="W442" s="27"/>
      <c r="Z442" s="27"/>
      <c r="AA442" s="27"/>
      <c r="AB442" s="27"/>
      <c r="AC442" s="27"/>
      <c r="AD442" s="13"/>
      <c r="AE442" s="13"/>
      <c r="AF442" s="13"/>
      <c r="AG442" s="27"/>
      <c r="AH442" s="27"/>
      <c r="AI442" s="27"/>
      <c r="AJ442" s="27"/>
      <c r="CL442" s="27"/>
    </row>
    <row r="443" spans="2:90" s="18" customFormat="1" ht="14.1" customHeight="1" x14ac:dyDescent="0.2">
      <c r="B443" s="54"/>
      <c r="C443" s="54"/>
      <c r="D443" s="54"/>
      <c r="E443" s="50"/>
      <c r="F443" s="50"/>
      <c r="G443" s="50"/>
      <c r="H443" s="50"/>
      <c r="I443" s="50"/>
      <c r="J443" s="50"/>
      <c r="K443" s="50"/>
      <c r="L443" s="50"/>
      <c r="M443" s="50"/>
      <c r="N443" s="51"/>
      <c r="O443" s="51"/>
      <c r="P443" s="52"/>
      <c r="Q443" s="55"/>
      <c r="R443" s="55"/>
      <c r="S443" s="55"/>
      <c r="T443" s="55"/>
      <c r="U443" s="55"/>
      <c r="W443" s="27"/>
      <c r="Z443" s="27"/>
      <c r="AA443" s="27"/>
      <c r="AB443" s="27"/>
      <c r="AC443" s="27"/>
      <c r="AD443" s="13"/>
      <c r="AE443" s="13"/>
      <c r="AF443" s="13"/>
      <c r="AG443" s="27"/>
      <c r="AH443" s="27"/>
      <c r="AI443" s="27"/>
      <c r="AJ443" s="27"/>
      <c r="CL443" s="27"/>
    </row>
    <row r="444" spans="2:90" s="18" customFormat="1" ht="14.1" customHeight="1" x14ac:dyDescent="0.2">
      <c r="B444" s="54"/>
      <c r="C444" s="54"/>
      <c r="D444" s="54"/>
      <c r="E444" s="50"/>
      <c r="F444" s="50"/>
      <c r="G444" s="50"/>
      <c r="H444" s="50"/>
      <c r="I444" s="50"/>
      <c r="J444" s="50"/>
      <c r="K444" s="50"/>
      <c r="L444" s="50"/>
      <c r="M444" s="50"/>
      <c r="N444" s="51"/>
      <c r="O444" s="51"/>
      <c r="P444" s="52"/>
      <c r="Q444" s="55"/>
      <c r="R444" s="55"/>
      <c r="S444" s="55"/>
      <c r="T444" s="55"/>
      <c r="U444" s="55"/>
      <c r="W444" s="27"/>
      <c r="Z444" s="27"/>
      <c r="AA444" s="27"/>
      <c r="AB444" s="27"/>
      <c r="AC444" s="27"/>
      <c r="AD444" s="13"/>
      <c r="AE444" s="13"/>
      <c r="AF444" s="13"/>
      <c r="AG444" s="27"/>
      <c r="AH444" s="27"/>
      <c r="AI444" s="27"/>
      <c r="AJ444" s="27"/>
      <c r="CL444" s="27"/>
    </row>
    <row r="445" spans="2:90" s="18" customFormat="1" ht="14.1" customHeight="1" x14ac:dyDescent="0.2">
      <c r="B445" s="54"/>
      <c r="C445" s="54"/>
      <c r="D445" s="54"/>
      <c r="E445" s="50"/>
      <c r="F445" s="50"/>
      <c r="G445" s="50"/>
      <c r="H445" s="50"/>
      <c r="I445" s="50"/>
      <c r="J445" s="50"/>
      <c r="K445" s="50"/>
      <c r="L445" s="50"/>
      <c r="M445" s="50"/>
      <c r="N445" s="51"/>
      <c r="O445" s="51"/>
      <c r="P445" s="52"/>
      <c r="Q445" s="55"/>
      <c r="R445" s="55"/>
      <c r="S445" s="55"/>
      <c r="T445" s="55"/>
      <c r="U445" s="55"/>
      <c r="W445" s="27"/>
      <c r="Z445" s="27"/>
      <c r="AA445" s="27"/>
      <c r="AB445" s="27"/>
      <c r="AC445" s="27"/>
      <c r="AD445" s="13"/>
      <c r="AE445" s="13"/>
      <c r="AF445" s="13"/>
      <c r="AG445" s="27"/>
      <c r="AH445" s="27"/>
      <c r="AI445" s="27"/>
      <c r="AJ445" s="27"/>
      <c r="CL445" s="27"/>
    </row>
    <row r="446" spans="2:90" s="18" customFormat="1" ht="14.1" customHeight="1" x14ac:dyDescent="0.2">
      <c r="B446" s="54"/>
      <c r="C446" s="54"/>
      <c r="D446" s="54"/>
      <c r="E446" s="50"/>
      <c r="F446" s="50"/>
      <c r="G446" s="50"/>
      <c r="H446" s="50"/>
      <c r="I446" s="50"/>
      <c r="J446" s="50"/>
      <c r="K446" s="50"/>
      <c r="L446" s="50"/>
      <c r="M446" s="50"/>
      <c r="N446" s="51"/>
      <c r="O446" s="51"/>
      <c r="P446" s="52"/>
      <c r="Q446" s="55"/>
      <c r="R446" s="55"/>
      <c r="S446" s="55"/>
      <c r="T446" s="55"/>
      <c r="U446" s="55"/>
      <c r="W446" s="27"/>
      <c r="Z446" s="27"/>
      <c r="AA446" s="27"/>
      <c r="AB446" s="27"/>
      <c r="AC446" s="27"/>
      <c r="AD446" s="13"/>
      <c r="AE446" s="13"/>
      <c r="AF446" s="13"/>
      <c r="AG446" s="27"/>
      <c r="AH446" s="27"/>
      <c r="AI446" s="27"/>
      <c r="AJ446" s="27"/>
      <c r="CL446" s="27"/>
    </row>
    <row r="447" spans="2:90" s="18" customFormat="1" ht="14.1" customHeight="1" x14ac:dyDescent="0.2">
      <c r="B447" s="54"/>
      <c r="C447" s="54"/>
      <c r="D447" s="54"/>
      <c r="E447" s="50"/>
      <c r="F447" s="50"/>
      <c r="G447" s="50"/>
      <c r="H447" s="50"/>
      <c r="I447" s="50"/>
      <c r="J447" s="50"/>
      <c r="K447" s="50"/>
      <c r="L447" s="50"/>
      <c r="M447" s="50"/>
      <c r="N447" s="51"/>
      <c r="O447" s="51"/>
      <c r="P447" s="52"/>
      <c r="Q447" s="55"/>
      <c r="R447" s="55"/>
      <c r="S447" s="55"/>
      <c r="T447" s="55"/>
      <c r="U447" s="55"/>
      <c r="W447" s="27"/>
      <c r="Z447" s="27"/>
      <c r="AA447" s="27"/>
      <c r="AB447" s="27"/>
      <c r="AC447" s="27"/>
      <c r="AD447" s="13"/>
      <c r="AE447" s="13"/>
      <c r="AF447" s="13"/>
      <c r="AG447" s="27"/>
      <c r="AH447" s="27"/>
      <c r="AI447" s="27"/>
      <c r="AJ447" s="27"/>
      <c r="CL447" s="27"/>
    </row>
    <row r="448" spans="2:90" s="18" customFormat="1" ht="14.1" customHeight="1" x14ac:dyDescent="0.2">
      <c r="B448" s="54"/>
      <c r="C448" s="54"/>
      <c r="D448" s="54"/>
      <c r="E448" s="50"/>
      <c r="F448" s="50"/>
      <c r="G448" s="50"/>
      <c r="H448" s="50"/>
      <c r="I448" s="50"/>
      <c r="J448" s="50"/>
      <c r="K448" s="50"/>
      <c r="L448" s="50"/>
      <c r="M448" s="50"/>
      <c r="N448" s="51"/>
      <c r="O448" s="51"/>
      <c r="P448" s="52"/>
      <c r="Q448" s="55"/>
      <c r="R448" s="55"/>
      <c r="S448" s="55"/>
      <c r="T448" s="55"/>
      <c r="U448" s="55"/>
      <c r="W448" s="27"/>
      <c r="Z448" s="27"/>
      <c r="AA448" s="27"/>
      <c r="AB448" s="27"/>
      <c r="AC448" s="27"/>
      <c r="AD448" s="13"/>
      <c r="AE448" s="13"/>
      <c r="AF448" s="13"/>
      <c r="AG448" s="27"/>
      <c r="AH448" s="27"/>
      <c r="AI448" s="27"/>
      <c r="AJ448" s="27"/>
      <c r="CL448" s="27"/>
    </row>
    <row r="449" spans="2:90" s="18" customFormat="1" ht="14.1" customHeight="1" x14ac:dyDescent="0.2">
      <c r="B449" s="54"/>
      <c r="C449" s="54"/>
      <c r="D449" s="54"/>
      <c r="E449" s="50"/>
      <c r="F449" s="50"/>
      <c r="G449" s="50"/>
      <c r="H449" s="50"/>
      <c r="I449" s="50"/>
      <c r="J449" s="50"/>
      <c r="K449" s="50"/>
      <c r="L449" s="50"/>
      <c r="M449" s="50"/>
      <c r="N449" s="51"/>
      <c r="O449" s="51"/>
      <c r="P449" s="52"/>
      <c r="Q449" s="55"/>
      <c r="R449" s="55"/>
      <c r="S449" s="55"/>
      <c r="T449" s="55"/>
      <c r="U449" s="55"/>
      <c r="W449" s="27"/>
      <c r="Z449" s="27"/>
      <c r="AA449" s="27"/>
      <c r="AB449" s="27"/>
      <c r="AC449" s="27"/>
      <c r="AD449" s="13"/>
      <c r="AE449" s="13"/>
      <c r="AF449" s="13"/>
      <c r="AG449" s="27"/>
      <c r="AH449" s="27"/>
      <c r="AI449" s="27"/>
      <c r="AJ449" s="27"/>
      <c r="CL449" s="27"/>
    </row>
    <row r="450" spans="2:90" s="18" customFormat="1" ht="14.1" customHeight="1" x14ac:dyDescent="0.2">
      <c r="B450" s="54"/>
      <c r="C450" s="54"/>
      <c r="D450" s="54"/>
      <c r="E450" s="50"/>
      <c r="F450" s="50"/>
      <c r="G450" s="50"/>
      <c r="H450" s="50"/>
      <c r="I450" s="50"/>
      <c r="J450" s="50"/>
      <c r="K450" s="50"/>
      <c r="L450" s="50"/>
      <c r="M450" s="50"/>
      <c r="N450" s="51"/>
      <c r="O450" s="51"/>
      <c r="P450" s="52"/>
      <c r="Q450" s="55"/>
      <c r="R450" s="55"/>
      <c r="S450" s="55"/>
      <c r="T450" s="55"/>
      <c r="U450" s="55"/>
      <c r="W450" s="27"/>
      <c r="Z450" s="27"/>
      <c r="AA450" s="27"/>
      <c r="AB450" s="27"/>
      <c r="AC450" s="27"/>
      <c r="AD450" s="13"/>
      <c r="AE450" s="13"/>
      <c r="AF450" s="13"/>
      <c r="AG450" s="27"/>
      <c r="AH450" s="27"/>
      <c r="AI450" s="27"/>
      <c r="AJ450" s="27"/>
      <c r="CL450" s="27"/>
    </row>
    <row r="451" spans="2:90" s="18" customFormat="1" ht="14.1" customHeight="1" x14ac:dyDescent="0.2">
      <c r="B451" s="54"/>
      <c r="C451" s="54"/>
      <c r="D451" s="54"/>
      <c r="E451" s="50"/>
      <c r="F451" s="50"/>
      <c r="G451" s="50"/>
      <c r="H451" s="50"/>
      <c r="I451" s="50"/>
      <c r="J451" s="50"/>
      <c r="K451" s="50"/>
      <c r="L451" s="50"/>
      <c r="M451" s="50"/>
      <c r="N451" s="51"/>
      <c r="O451" s="51"/>
      <c r="P451" s="52"/>
      <c r="Q451" s="55"/>
      <c r="R451" s="55"/>
      <c r="S451" s="55"/>
      <c r="T451" s="55"/>
      <c r="U451" s="55"/>
      <c r="W451" s="27"/>
      <c r="Z451" s="27"/>
      <c r="AA451" s="27"/>
      <c r="AB451" s="27"/>
      <c r="AC451" s="27"/>
      <c r="AD451" s="13"/>
      <c r="AE451" s="13"/>
      <c r="AF451" s="13"/>
      <c r="AG451" s="27"/>
      <c r="AH451" s="27"/>
      <c r="AI451" s="27"/>
      <c r="AJ451" s="27"/>
      <c r="CL451" s="27"/>
    </row>
    <row r="452" spans="2:90" s="18" customFormat="1" ht="14.1" customHeight="1" x14ac:dyDescent="0.2">
      <c r="B452" s="54"/>
      <c r="C452" s="54"/>
      <c r="D452" s="54"/>
      <c r="E452" s="50"/>
      <c r="F452" s="50"/>
      <c r="G452" s="50"/>
      <c r="H452" s="50"/>
      <c r="I452" s="50"/>
      <c r="J452" s="50"/>
      <c r="K452" s="50"/>
      <c r="L452" s="50"/>
      <c r="M452" s="50"/>
      <c r="N452" s="51"/>
      <c r="O452" s="51"/>
      <c r="P452" s="52"/>
      <c r="Q452" s="55"/>
      <c r="R452" s="55"/>
      <c r="S452" s="55"/>
      <c r="T452" s="55"/>
      <c r="U452" s="55"/>
      <c r="W452" s="27"/>
      <c r="Z452" s="27"/>
      <c r="AA452" s="27"/>
      <c r="AB452" s="27"/>
      <c r="AC452" s="27"/>
      <c r="AD452" s="13"/>
      <c r="AE452" s="13"/>
      <c r="AF452" s="13"/>
      <c r="AG452" s="27"/>
      <c r="AH452" s="27"/>
      <c r="AI452" s="27"/>
      <c r="AJ452" s="27"/>
      <c r="CL452" s="27"/>
    </row>
    <row r="453" spans="2:90" s="18" customFormat="1" ht="14.1" customHeight="1" x14ac:dyDescent="0.2">
      <c r="B453" s="54"/>
      <c r="C453" s="54"/>
      <c r="D453" s="54"/>
      <c r="E453" s="50"/>
      <c r="F453" s="50"/>
      <c r="G453" s="50"/>
      <c r="H453" s="50"/>
      <c r="I453" s="50"/>
      <c r="J453" s="50"/>
      <c r="K453" s="50"/>
      <c r="L453" s="50"/>
      <c r="M453" s="50"/>
      <c r="N453" s="51"/>
      <c r="O453" s="51"/>
      <c r="P453" s="52"/>
      <c r="Q453" s="55"/>
      <c r="R453" s="55"/>
      <c r="S453" s="55"/>
      <c r="T453" s="55"/>
      <c r="U453" s="55"/>
      <c r="W453" s="27"/>
      <c r="Z453" s="27"/>
      <c r="AA453" s="27"/>
      <c r="AB453" s="27"/>
      <c r="AC453" s="27"/>
      <c r="AD453" s="13"/>
      <c r="AE453" s="13"/>
      <c r="AF453" s="13"/>
      <c r="AG453" s="27"/>
      <c r="AH453" s="27"/>
      <c r="AI453" s="27"/>
      <c r="AJ453" s="27"/>
      <c r="CL453" s="27"/>
    </row>
    <row r="454" spans="2:90" s="18" customFormat="1" ht="14.1" customHeight="1" x14ac:dyDescent="0.2">
      <c r="B454" s="54"/>
      <c r="C454" s="54"/>
      <c r="D454" s="54"/>
      <c r="E454" s="50"/>
      <c r="F454" s="50"/>
      <c r="G454" s="50"/>
      <c r="H454" s="50"/>
      <c r="I454" s="50"/>
      <c r="J454" s="50"/>
      <c r="K454" s="50"/>
      <c r="L454" s="50"/>
      <c r="M454" s="50"/>
      <c r="N454" s="51"/>
      <c r="O454" s="51"/>
      <c r="P454" s="52"/>
      <c r="Q454" s="55"/>
      <c r="R454" s="55"/>
      <c r="S454" s="55"/>
      <c r="T454" s="55"/>
      <c r="U454" s="55"/>
      <c r="W454" s="27"/>
      <c r="Z454" s="27"/>
      <c r="AA454" s="27"/>
      <c r="AB454" s="27"/>
      <c r="AC454" s="27"/>
      <c r="AD454" s="13"/>
      <c r="AE454" s="13"/>
      <c r="AF454" s="13"/>
      <c r="AG454" s="27"/>
      <c r="AH454" s="27"/>
      <c r="AI454" s="27"/>
      <c r="AJ454" s="27"/>
      <c r="CL454" s="27"/>
    </row>
    <row r="455" spans="2:90" s="18" customFormat="1" ht="14.1" customHeight="1" x14ac:dyDescent="0.2">
      <c r="B455" s="54"/>
      <c r="C455" s="54"/>
      <c r="D455" s="54"/>
      <c r="E455" s="50"/>
      <c r="F455" s="50"/>
      <c r="G455" s="50"/>
      <c r="H455" s="50"/>
      <c r="I455" s="50"/>
      <c r="J455" s="50"/>
      <c r="K455" s="50"/>
      <c r="L455" s="50"/>
      <c r="M455" s="50"/>
      <c r="N455" s="51"/>
      <c r="O455" s="51"/>
      <c r="P455" s="52"/>
      <c r="Q455" s="55"/>
      <c r="R455" s="55"/>
      <c r="S455" s="55"/>
      <c r="T455" s="55"/>
      <c r="U455" s="55"/>
      <c r="W455" s="27"/>
      <c r="Z455" s="27"/>
      <c r="AA455" s="27"/>
      <c r="AB455" s="27"/>
      <c r="AC455" s="27"/>
      <c r="AD455" s="13"/>
      <c r="AE455" s="13"/>
      <c r="AF455" s="13"/>
      <c r="AG455" s="27"/>
      <c r="AH455" s="27"/>
      <c r="AI455" s="27"/>
      <c r="AJ455" s="27"/>
      <c r="CL455" s="27"/>
    </row>
    <row r="456" spans="2:90" s="18" customFormat="1" ht="14.1" customHeight="1" x14ac:dyDescent="0.2">
      <c r="B456" s="54"/>
      <c r="C456" s="54"/>
      <c r="D456" s="54"/>
      <c r="E456" s="50"/>
      <c r="F456" s="50"/>
      <c r="G456" s="50"/>
      <c r="H456" s="50"/>
      <c r="I456" s="50"/>
      <c r="J456" s="50"/>
      <c r="K456" s="50"/>
      <c r="L456" s="50"/>
      <c r="M456" s="50"/>
      <c r="N456" s="51"/>
      <c r="O456" s="51"/>
      <c r="P456" s="52"/>
      <c r="Q456" s="55"/>
      <c r="R456" s="55"/>
      <c r="S456" s="55"/>
      <c r="T456" s="55"/>
      <c r="U456" s="55"/>
      <c r="W456" s="27"/>
      <c r="Z456" s="27"/>
      <c r="AA456" s="27"/>
      <c r="AB456" s="27"/>
      <c r="AC456" s="27"/>
      <c r="AD456" s="13"/>
      <c r="AE456" s="13"/>
      <c r="AF456" s="13"/>
      <c r="AG456" s="27"/>
      <c r="AH456" s="27"/>
      <c r="AI456" s="27"/>
      <c r="AJ456" s="27"/>
      <c r="CL456" s="27"/>
    </row>
    <row r="457" spans="2:90" s="18" customFormat="1" ht="14.1" customHeight="1" x14ac:dyDescent="0.2">
      <c r="B457" s="54"/>
      <c r="C457" s="54"/>
      <c r="D457" s="54"/>
      <c r="E457" s="50"/>
      <c r="F457" s="50"/>
      <c r="G457" s="50"/>
      <c r="H457" s="50"/>
      <c r="I457" s="50"/>
      <c r="J457" s="50"/>
      <c r="K457" s="50"/>
      <c r="L457" s="50"/>
      <c r="M457" s="50"/>
      <c r="N457" s="51"/>
      <c r="O457" s="51"/>
      <c r="P457" s="52"/>
      <c r="Q457" s="55"/>
      <c r="R457" s="55"/>
      <c r="S457" s="55"/>
      <c r="T457" s="55"/>
      <c r="U457" s="55"/>
      <c r="W457" s="27"/>
      <c r="Z457" s="27"/>
      <c r="AA457" s="27"/>
      <c r="AB457" s="27"/>
      <c r="AC457" s="27"/>
      <c r="AD457" s="13"/>
      <c r="AE457" s="13"/>
      <c r="AF457" s="13"/>
      <c r="AG457" s="27"/>
      <c r="AH457" s="27"/>
      <c r="AI457" s="27"/>
      <c r="AJ457" s="27"/>
      <c r="CL457" s="27"/>
    </row>
    <row r="458" spans="2:90" s="18" customFormat="1" ht="14.1" customHeight="1" x14ac:dyDescent="0.2">
      <c r="B458" s="54"/>
      <c r="C458" s="54"/>
      <c r="D458" s="54"/>
      <c r="E458" s="50"/>
      <c r="F458" s="50"/>
      <c r="G458" s="50"/>
      <c r="H458" s="50"/>
      <c r="I458" s="50"/>
      <c r="J458" s="50"/>
      <c r="K458" s="50"/>
      <c r="L458" s="50"/>
      <c r="M458" s="50"/>
      <c r="N458" s="51"/>
      <c r="O458" s="51"/>
      <c r="P458" s="52"/>
      <c r="Q458" s="55"/>
      <c r="R458" s="55"/>
      <c r="S458" s="55"/>
      <c r="T458" s="55"/>
      <c r="U458" s="55"/>
      <c r="W458" s="27"/>
      <c r="Z458" s="27"/>
      <c r="AA458" s="27"/>
      <c r="AB458" s="27"/>
      <c r="AC458" s="27"/>
      <c r="AD458" s="13"/>
      <c r="AE458" s="13"/>
      <c r="AF458" s="13"/>
      <c r="AG458" s="27"/>
      <c r="AH458" s="27"/>
      <c r="AI458" s="27"/>
      <c r="AJ458" s="27"/>
      <c r="CL458" s="27"/>
    </row>
    <row r="459" spans="2:90" s="18" customFormat="1" ht="14.1" customHeight="1" x14ac:dyDescent="0.2">
      <c r="B459" s="54"/>
      <c r="C459" s="54"/>
      <c r="D459" s="54"/>
      <c r="E459" s="50"/>
      <c r="F459" s="50"/>
      <c r="G459" s="50"/>
      <c r="H459" s="50"/>
      <c r="I459" s="50"/>
      <c r="J459" s="50"/>
      <c r="K459" s="50"/>
      <c r="L459" s="50"/>
      <c r="M459" s="50"/>
      <c r="N459" s="51"/>
      <c r="O459" s="51"/>
      <c r="P459" s="52"/>
      <c r="Q459" s="55"/>
      <c r="R459" s="55"/>
      <c r="S459" s="55"/>
      <c r="T459" s="55"/>
      <c r="U459" s="55"/>
      <c r="W459" s="27"/>
      <c r="Z459" s="27"/>
      <c r="AA459" s="27"/>
      <c r="AB459" s="27"/>
      <c r="AC459" s="27"/>
      <c r="AD459" s="13"/>
      <c r="AE459" s="13"/>
      <c r="AF459" s="13"/>
      <c r="AG459" s="27"/>
      <c r="AH459" s="27"/>
      <c r="AI459" s="27"/>
      <c r="AJ459" s="27"/>
      <c r="CL459" s="27"/>
    </row>
    <row r="460" spans="2:90" s="18" customFormat="1" ht="14.1" customHeight="1" x14ac:dyDescent="0.2">
      <c r="B460" s="54"/>
      <c r="C460" s="54"/>
      <c r="D460" s="54"/>
      <c r="E460" s="50"/>
      <c r="F460" s="50"/>
      <c r="G460" s="50"/>
      <c r="H460" s="50"/>
      <c r="I460" s="50"/>
      <c r="J460" s="50"/>
      <c r="K460" s="50"/>
      <c r="L460" s="50"/>
      <c r="M460" s="50"/>
      <c r="N460" s="51"/>
      <c r="O460" s="51"/>
      <c r="P460" s="52"/>
      <c r="Q460" s="55"/>
      <c r="R460" s="55"/>
      <c r="S460" s="55"/>
      <c r="T460" s="55"/>
      <c r="U460" s="55"/>
      <c r="W460" s="27"/>
      <c r="Z460" s="27"/>
      <c r="AA460" s="27"/>
      <c r="AB460" s="27"/>
      <c r="AC460" s="27"/>
      <c r="AD460" s="13"/>
      <c r="AE460" s="13"/>
      <c r="AF460" s="13"/>
      <c r="AG460" s="27"/>
      <c r="AH460" s="27"/>
      <c r="AI460" s="27"/>
      <c r="AJ460" s="27"/>
      <c r="CL460" s="27"/>
    </row>
    <row r="461" spans="2:90" s="18" customFormat="1" ht="14.1" customHeight="1" x14ac:dyDescent="0.2">
      <c r="B461" s="54"/>
      <c r="C461" s="54"/>
      <c r="D461" s="54"/>
      <c r="E461" s="50"/>
      <c r="F461" s="50"/>
      <c r="G461" s="50"/>
      <c r="H461" s="50"/>
      <c r="I461" s="50"/>
      <c r="J461" s="50"/>
      <c r="K461" s="50"/>
      <c r="L461" s="50"/>
      <c r="M461" s="50"/>
      <c r="N461" s="51"/>
      <c r="O461" s="51"/>
      <c r="P461" s="52"/>
      <c r="Q461" s="55"/>
      <c r="R461" s="55"/>
      <c r="S461" s="55"/>
      <c r="T461" s="55"/>
      <c r="U461" s="55"/>
      <c r="W461" s="27"/>
      <c r="Z461" s="27"/>
      <c r="AA461" s="27"/>
      <c r="AB461" s="27"/>
      <c r="AC461" s="27"/>
      <c r="AD461" s="13"/>
      <c r="AE461" s="13"/>
      <c r="AF461" s="13"/>
      <c r="AG461" s="27"/>
      <c r="AH461" s="27"/>
      <c r="AI461" s="27"/>
      <c r="AJ461" s="27"/>
      <c r="CL461" s="27"/>
    </row>
    <row r="462" spans="2:90" s="18" customFormat="1" ht="14.1" customHeight="1" x14ac:dyDescent="0.2">
      <c r="B462" s="54"/>
      <c r="C462" s="54"/>
      <c r="D462" s="54"/>
      <c r="E462" s="50"/>
      <c r="F462" s="50"/>
      <c r="G462" s="50"/>
      <c r="H462" s="50"/>
      <c r="I462" s="50"/>
      <c r="J462" s="50"/>
      <c r="K462" s="50"/>
      <c r="L462" s="50"/>
      <c r="M462" s="50"/>
      <c r="N462" s="51"/>
      <c r="O462" s="51"/>
      <c r="P462" s="52"/>
      <c r="Q462" s="55"/>
      <c r="R462" s="55"/>
      <c r="S462" s="55"/>
      <c r="T462" s="55"/>
      <c r="U462" s="55"/>
      <c r="W462" s="27"/>
      <c r="Z462" s="27"/>
      <c r="AA462" s="27"/>
      <c r="AB462" s="27"/>
      <c r="AC462" s="27"/>
      <c r="AD462" s="13"/>
      <c r="AE462" s="13"/>
      <c r="AF462" s="13"/>
      <c r="AG462" s="27"/>
      <c r="AH462" s="27"/>
      <c r="AI462" s="27"/>
      <c r="AJ462" s="27"/>
      <c r="CL462" s="27"/>
    </row>
    <row r="463" spans="2:90" s="18" customFormat="1" ht="14.1" customHeight="1" x14ac:dyDescent="0.2">
      <c r="B463" s="54"/>
      <c r="C463" s="54"/>
      <c r="D463" s="54"/>
      <c r="E463" s="50"/>
      <c r="F463" s="50"/>
      <c r="G463" s="50"/>
      <c r="H463" s="50"/>
      <c r="I463" s="50"/>
      <c r="J463" s="50"/>
      <c r="K463" s="50"/>
      <c r="L463" s="50"/>
      <c r="M463" s="50"/>
      <c r="N463" s="51"/>
      <c r="O463" s="51"/>
      <c r="P463" s="52"/>
      <c r="Q463" s="55"/>
      <c r="R463" s="55"/>
      <c r="S463" s="55"/>
      <c r="T463" s="55"/>
      <c r="U463" s="55"/>
      <c r="W463" s="27"/>
      <c r="Z463" s="27"/>
      <c r="AA463" s="27"/>
      <c r="AB463" s="27"/>
      <c r="AC463" s="27"/>
      <c r="AD463" s="13"/>
      <c r="AE463" s="13"/>
      <c r="AF463" s="13"/>
      <c r="AG463" s="27"/>
      <c r="AH463" s="27"/>
      <c r="AI463" s="27"/>
      <c r="AJ463" s="27"/>
      <c r="CL463" s="27"/>
    </row>
    <row r="464" spans="2:90" s="18" customFormat="1" ht="14.1" customHeight="1" x14ac:dyDescent="0.2">
      <c r="B464" s="54"/>
      <c r="C464" s="54"/>
      <c r="D464" s="54"/>
      <c r="E464" s="50"/>
      <c r="F464" s="50"/>
      <c r="G464" s="50"/>
      <c r="H464" s="50"/>
      <c r="I464" s="50"/>
      <c r="J464" s="50"/>
      <c r="K464" s="50"/>
      <c r="L464" s="50"/>
      <c r="M464" s="50"/>
      <c r="N464" s="51"/>
      <c r="O464" s="51"/>
      <c r="P464" s="52"/>
      <c r="Q464" s="55"/>
      <c r="R464" s="55"/>
      <c r="S464" s="55"/>
      <c r="T464" s="55"/>
      <c r="U464" s="55"/>
      <c r="W464" s="27"/>
      <c r="Z464" s="27"/>
      <c r="AA464" s="27"/>
      <c r="AB464" s="27"/>
      <c r="AC464" s="27"/>
      <c r="AD464" s="13"/>
      <c r="AE464" s="13"/>
      <c r="AF464" s="13"/>
      <c r="AG464" s="27"/>
      <c r="AH464" s="27"/>
      <c r="AI464" s="27"/>
      <c r="AJ464" s="27"/>
      <c r="CL464" s="27"/>
    </row>
    <row r="465" spans="2:90" s="18" customFormat="1" ht="14.1" customHeight="1" x14ac:dyDescent="0.2">
      <c r="B465" s="54"/>
      <c r="C465" s="54"/>
      <c r="D465" s="54"/>
      <c r="E465" s="50"/>
      <c r="F465" s="50"/>
      <c r="G465" s="50"/>
      <c r="H465" s="50"/>
      <c r="I465" s="50"/>
      <c r="J465" s="50"/>
      <c r="K465" s="50"/>
      <c r="L465" s="50"/>
      <c r="M465" s="50"/>
      <c r="N465" s="51"/>
      <c r="O465" s="51"/>
      <c r="P465" s="52"/>
      <c r="Q465" s="55"/>
      <c r="R465" s="55"/>
      <c r="S465" s="55"/>
      <c r="T465" s="55"/>
      <c r="U465" s="55"/>
      <c r="W465" s="27"/>
      <c r="Z465" s="27"/>
      <c r="AA465" s="27"/>
      <c r="AB465" s="27"/>
      <c r="AC465" s="27"/>
      <c r="AD465" s="13"/>
      <c r="AE465" s="13"/>
      <c r="AF465" s="13"/>
      <c r="AG465" s="27"/>
      <c r="AH465" s="27"/>
      <c r="AI465" s="27"/>
      <c r="AJ465" s="27"/>
      <c r="CL465" s="27"/>
    </row>
    <row r="466" spans="2:90" s="18" customFormat="1" ht="14.1" customHeight="1" x14ac:dyDescent="0.2">
      <c r="B466" s="54"/>
      <c r="C466" s="54"/>
      <c r="D466" s="54"/>
      <c r="E466" s="50"/>
      <c r="F466" s="50"/>
      <c r="G466" s="50"/>
      <c r="H466" s="50"/>
      <c r="I466" s="50"/>
      <c r="J466" s="50"/>
      <c r="K466" s="50"/>
      <c r="L466" s="50"/>
      <c r="M466" s="50"/>
      <c r="N466" s="51"/>
      <c r="O466" s="51"/>
      <c r="P466" s="52"/>
      <c r="Q466" s="55"/>
      <c r="R466" s="55"/>
      <c r="S466" s="55"/>
      <c r="T466" s="55"/>
      <c r="U466" s="55"/>
      <c r="W466" s="27"/>
      <c r="Z466" s="27"/>
      <c r="AA466" s="27"/>
      <c r="AB466" s="27"/>
      <c r="AC466" s="27"/>
      <c r="AD466" s="13"/>
      <c r="AE466" s="13"/>
      <c r="AF466" s="13"/>
      <c r="AG466" s="27"/>
      <c r="AH466" s="27"/>
      <c r="AI466" s="27"/>
      <c r="AJ466" s="27"/>
      <c r="CL466" s="27"/>
    </row>
    <row r="467" spans="2:90" s="18" customFormat="1" ht="14.1" customHeight="1" x14ac:dyDescent="0.2">
      <c r="B467" s="54"/>
      <c r="C467" s="54"/>
      <c r="D467" s="54"/>
      <c r="E467" s="50"/>
      <c r="F467" s="50"/>
      <c r="G467" s="50"/>
      <c r="H467" s="50"/>
      <c r="I467" s="50"/>
      <c r="J467" s="50"/>
      <c r="K467" s="50"/>
      <c r="L467" s="50"/>
      <c r="M467" s="50"/>
      <c r="N467" s="51"/>
      <c r="O467" s="51"/>
      <c r="P467" s="52"/>
      <c r="Q467" s="55"/>
      <c r="R467" s="55"/>
      <c r="S467" s="55"/>
      <c r="T467" s="55"/>
      <c r="U467" s="55"/>
      <c r="W467" s="27"/>
      <c r="Z467" s="27"/>
      <c r="AA467" s="27"/>
      <c r="AB467" s="27"/>
      <c r="AC467" s="27"/>
      <c r="AD467" s="13"/>
      <c r="AE467" s="13"/>
      <c r="AF467" s="13"/>
      <c r="AG467" s="27"/>
      <c r="AH467" s="27"/>
      <c r="AI467" s="27"/>
      <c r="AJ467" s="27"/>
      <c r="CL467" s="27"/>
    </row>
    <row r="468" spans="2:90" s="18" customFormat="1" ht="14.1" customHeight="1" x14ac:dyDescent="0.2">
      <c r="B468" s="54"/>
      <c r="C468" s="54"/>
      <c r="D468" s="54"/>
      <c r="E468" s="50"/>
      <c r="F468" s="50"/>
      <c r="G468" s="50"/>
      <c r="H468" s="50"/>
      <c r="I468" s="50"/>
      <c r="J468" s="50"/>
      <c r="K468" s="50"/>
      <c r="L468" s="50"/>
      <c r="M468" s="50"/>
      <c r="N468" s="51"/>
      <c r="O468" s="51"/>
      <c r="P468" s="52"/>
      <c r="Q468" s="55"/>
      <c r="R468" s="55"/>
      <c r="S468" s="55"/>
      <c r="T468" s="55"/>
      <c r="U468" s="55"/>
      <c r="W468" s="27"/>
      <c r="Z468" s="27"/>
      <c r="AA468" s="27"/>
      <c r="AB468" s="27"/>
      <c r="AC468" s="27"/>
      <c r="AD468" s="13"/>
      <c r="AE468" s="13"/>
      <c r="AF468" s="13"/>
      <c r="AG468" s="27"/>
      <c r="AH468" s="27"/>
      <c r="AI468" s="27"/>
      <c r="AJ468" s="27"/>
      <c r="CL468" s="27"/>
    </row>
    <row r="469" spans="2:90" s="18" customFormat="1" ht="14.1" customHeight="1" x14ac:dyDescent="0.2">
      <c r="B469" s="54"/>
      <c r="C469" s="54"/>
      <c r="D469" s="54"/>
      <c r="E469" s="50"/>
      <c r="F469" s="50"/>
      <c r="G469" s="50"/>
      <c r="H469" s="50"/>
      <c r="I469" s="50"/>
      <c r="J469" s="50"/>
      <c r="K469" s="50"/>
      <c r="L469" s="50"/>
      <c r="M469" s="50"/>
      <c r="N469" s="51"/>
      <c r="O469" s="51"/>
      <c r="P469" s="52"/>
      <c r="Q469" s="55"/>
      <c r="R469" s="55"/>
      <c r="S469" s="55"/>
      <c r="T469" s="55"/>
      <c r="U469" s="55"/>
      <c r="W469" s="27"/>
      <c r="Z469" s="27"/>
      <c r="AA469" s="27"/>
      <c r="AB469" s="27"/>
      <c r="AC469" s="27"/>
      <c r="AD469" s="13"/>
      <c r="AE469" s="13"/>
      <c r="AF469" s="13"/>
      <c r="AG469" s="27"/>
      <c r="AH469" s="27"/>
      <c r="AI469" s="27"/>
      <c r="AJ469" s="27"/>
      <c r="CL469" s="27"/>
    </row>
    <row r="470" spans="2:90" s="18" customFormat="1" ht="14.1" customHeight="1" x14ac:dyDescent="0.2">
      <c r="B470" s="54"/>
      <c r="C470" s="54"/>
      <c r="D470" s="54"/>
      <c r="E470" s="50"/>
      <c r="F470" s="50"/>
      <c r="G470" s="50"/>
      <c r="H470" s="50"/>
      <c r="I470" s="50"/>
      <c r="J470" s="50"/>
      <c r="K470" s="50"/>
      <c r="L470" s="50"/>
      <c r="M470" s="50"/>
      <c r="N470" s="51"/>
      <c r="O470" s="51"/>
      <c r="P470" s="52"/>
      <c r="Q470" s="55"/>
      <c r="R470" s="55"/>
      <c r="S470" s="55"/>
      <c r="T470" s="55"/>
      <c r="U470" s="55"/>
      <c r="W470" s="27"/>
      <c r="Z470" s="27"/>
      <c r="AA470" s="27"/>
      <c r="AB470" s="27"/>
      <c r="AC470" s="27"/>
      <c r="AD470" s="13"/>
      <c r="AE470" s="13"/>
      <c r="AF470" s="13"/>
      <c r="AG470" s="27"/>
      <c r="AH470" s="27"/>
      <c r="AI470" s="27"/>
      <c r="AJ470" s="27"/>
      <c r="CL470" s="27"/>
    </row>
    <row r="471" spans="2:90" s="18" customFormat="1" ht="14.1" customHeight="1" x14ac:dyDescent="0.2">
      <c r="B471" s="54"/>
      <c r="C471" s="54"/>
      <c r="D471" s="54"/>
      <c r="E471" s="50"/>
      <c r="F471" s="50"/>
      <c r="G471" s="50"/>
      <c r="H471" s="50"/>
      <c r="I471" s="50"/>
      <c r="J471" s="50"/>
      <c r="K471" s="50"/>
      <c r="L471" s="50"/>
      <c r="M471" s="50"/>
      <c r="N471" s="51"/>
      <c r="O471" s="51"/>
      <c r="P471" s="52"/>
      <c r="Q471" s="55"/>
      <c r="R471" s="55"/>
      <c r="S471" s="55"/>
      <c r="T471" s="55"/>
      <c r="U471" s="55"/>
      <c r="W471" s="27"/>
      <c r="Z471" s="27"/>
      <c r="AA471" s="27"/>
      <c r="AB471" s="27"/>
      <c r="AC471" s="27"/>
      <c r="AD471" s="13"/>
      <c r="AE471" s="13"/>
      <c r="AF471" s="13"/>
      <c r="AG471" s="27"/>
      <c r="AH471" s="27"/>
      <c r="AI471" s="27"/>
      <c r="AJ471" s="27"/>
      <c r="CL471" s="27"/>
    </row>
    <row r="472" spans="2:90" s="18" customFormat="1" ht="14.1" customHeight="1" x14ac:dyDescent="0.2">
      <c r="B472" s="54"/>
      <c r="C472" s="54"/>
      <c r="D472" s="54"/>
      <c r="E472" s="50"/>
      <c r="F472" s="50"/>
      <c r="G472" s="50"/>
      <c r="H472" s="50"/>
      <c r="I472" s="50"/>
      <c r="J472" s="50"/>
      <c r="K472" s="50"/>
      <c r="L472" s="50"/>
      <c r="M472" s="50"/>
      <c r="N472" s="51"/>
      <c r="O472" s="51"/>
      <c r="P472" s="52"/>
      <c r="Q472" s="55"/>
      <c r="R472" s="55"/>
      <c r="S472" s="55"/>
      <c r="T472" s="55"/>
      <c r="U472" s="55"/>
      <c r="W472" s="27"/>
      <c r="Z472" s="27"/>
      <c r="AA472" s="27"/>
      <c r="AB472" s="27"/>
      <c r="AC472" s="27"/>
      <c r="AD472" s="13"/>
      <c r="AE472" s="13"/>
      <c r="AF472" s="13"/>
      <c r="AG472" s="27"/>
      <c r="AH472" s="27"/>
      <c r="AI472" s="27"/>
      <c r="AJ472" s="27"/>
      <c r="CL472" s="27"/>
    </row>
    <row r="473" spans="2:90" s="18" customFormat="1" ht="14.1" customHeight="1" x14ac:dyDescent="0.2">
      <c r="B473" s="54"/>
      <c r="C473" s="54"/>
      <c r="D473" s="54"/>
      <c r="E473" s="50"/>
      <c r="F473" s="50"/>
      <c r="G473" s="50"/>
      <c r="H473" s="50"/>
      <c r="I473" s="50"/>
      <c r="J473" s="50"/>
      <c r="K473" s="50"/>
      <c r="L473" s="50"/>
      <c r="M473" s="50"/>
      <c r="N473" s="51"/>
      <c r="O473" s="51"/>
      <c r="P473" s="52"/>
      <c r="Q473" s="55"/>
      <c r="R473" s="55"/>
      <c r="S473" s="55"/>
      <c r="T473" s="55"/>
      <c r="U473" s="55"/>
      <c r="W473" s="27"/>
      <c r="Z473" s="27"/>
      <c r="AA473" s="27"/>
      <c r="AB473" s="27"/>
      <c r="AC473" s="27"/>
      <c r="AD473" s="13"/>
      <c r="AE473" s="13"/>
      <c r="AF473" s="13"/>
      <c r="AG473" s="27"/>
      <c r="AH473" s="27"/>
      <c r="AI473" s="27"/>
      <c r="AJ473" s="27"/>
      <c r="CL473" s="27"/>
    </row>
    <row r="474" spans="2:90" s="18" customFormat="1" ht="14.1" customHeight="1" x14ac:dyDescent="0.2">
      <c r="B474" s="54"/>
      <c r="C474" s="54"/>
      <c r="D474" s="54"/>
      <c r="E474" s="50"/>
      <c r="F474" s="50"/>
      <c r="G474" s="50"/>
      <c r="H474" s="50"/>
      <c r="I474" s="50"/>
      <c r="J474" s="50"/>
      <c r="K474" s="50"/>
      <c r="L474" s="50"/>
      <c r="M474" s="50"/>
      <c r="N474" s="51"/>
      <c r="O474" s="51"/>
      <c r="P474" s="52"/>
      <c r="Q474" s="55"/>
      <c r="R474" s="55"/>
      <c r="S474" s="55"/>
      <c r="T474" s="55"/>
      <c r="U474" s="55"/>
      <c r="W474" s="27"/>
      <c r="Z474" s="27"/>
      <c r="AA474" s="27"/>
      <c r="AB474" s="27"/>
      <c r="AC474" s="27"/>
      <c r="AD474" s="13"/>
      <c r="AE474" s="13"/>
      <c r="AF474" s="13"/>
      <c r="AG474" s="27"/>
      <c r="AH474" s="27"/>
      <c r="AI474" s="27"/>
      <c r="AJ474" s="27"/>
      <c r="CL474" s="27"/>
    </row>
    <row r="475" spans="2:90" s="18" customFormat="1" ht="14.1" customHeight="1" x14ac:dyDescent="0.2">
      <c r="B475" s="54"/>
      <c r="C475" s="54"/>
      <c r="D475" s="54"/>
      <c r="E475" s="50"/>
      <c r="F475" s="50"/>
      <c r="G475" s="50"/>
      <c r="H475" s="50"/>
      <c r="I475" s="50"/>
      <c r="J475" s="50"/>
      <c r="K475" s="50"/>
      <c r="L475" s="50"/>
      <c r="M475" s="50"/>
      <c r="N475" s="51"/>
      <c r="O475" s="51"/>
      <c r="P475" s="52"/>
      <c r="Q475" s="55"/>
      <c r="R475" s="55"/>
      <c r="S475" s="55"/>
      <c r="T475" s="55"/>
      <c r="U475" s="55"/>
      <c r="W475" s="27"/>
      <c r="Z475" s="27"/>
      <c r="AA475" s="27"/>
      <c r="AB475" s="27"/>
      <c r="AC475" s="27"/>
      <c r="AD475" s="13"/>
      <c r="AE475" s="13"/>
      <c r="AF475" s="13"/>
      <c r="AG475" s="27"/>
      <c r="AH475" s="27"/>
      <c r="AI475" s="27"/>
      <c r="AJ475" s="27"/>
      <c r="CL475" s="27"/>
    </row>
    <row r="476" spans="2:90" s="18" customFormat="1" ht="14.1" customHeight="1" x14ac:dyDescent="0.2">
      <c r="B476" s="54"/>
      <c r="C476" s="54"/>
      <c r="D476" s="54"/>
      <c r="E476" s="50"/>
      <c r="F476" s="50"/>
      <c r="G476" s="50"/>
      <c r="H476" s="50"/>
      <c r="I476" s="50"/>
      <c r="J476" s="50"/>
      <c r="K476" s="50"/>
      <c r="L476" s="50"/>
      <c r="M476" s="50"/>
      <c r="N476" s="51"/>
      <c r="O476" s="51"/>
      <c r="P476" s="52"/>
      <c r="Q476" s="55"/>
      <c r="R476" s="55"/>
      <c r="S476" s="55"/>
      <c r="T476" s="55"/>
      <c r="U476" s="55"/>
      <c r="W476" s="27"/>
      <c r="Z476" s="27"/>
      <c r="AA476" s="27"/>
      <c r="AB476" s="27"/>
      <c r="AC476" s="27"/>
      <c r="AD476" s="13"/>
      <c r="AE476" s="13"/>
      <c r="AF476" s="13"/>
      <c r="AG476" s="27"/>
      <c r="AH476" s="27"/>
      <c r="AI476" s="27"/>
      <c r="AJ476" s="27"/>
      <c r="CL476" s="27"/>
    </row>
    <row r="477" spans="2:90" s="18" customFormat="1" ht="14.1" customHeight="1" x14ac:dyDescent="0.2">
      <c r="B477" s="54"/>
      <c r="C477" s="54"/>
      <c r="D477" s="54"/>
      <c r="E477" s="50"/>
      <c r="F477" s="50"/>
      <c r="G477" s="50"/>
      <c r="H477" s="50"/>
      <c r="I477" s="50"/>
      <c r="J477" s="50"/>
      <c r="K477" s="50"/>
      <c r="L477" s="50"/>
      <c r="M477" s="50"/>
      <c r="N477" s="51"/>
      <c r="O477" s="51"/>
      <c r="P477" s="52"/>
      <c r="Q477" s="55"/>
      <c r="R477" s="55"/>
      <c r="S477" s="55"/>
      <c r="T477" s="55"/>
      <c r="U477" s="55"/>
      <c r="W477" s="27"/>
      <c r="Z477" s="27"/>
      <c r="AA477" s="27"/>
      <c r="AB477" s="27"/>
      <c r="AC477" s="27"/>
      <c r="AD477" s="13"/>
      <c r="AE477" s="13"/>
      <c r="AF477" s="13"/>
      <c r="AG477" s="27"/>
      <c r="AH477" s="27"/>
      <c r="AI477" s="27"/>
      <c r="AJ477" s="27"/>
      <c r="CL477" s="27"/>
    </row>
    <row r="478" spans="2:90" s="18" customFormat="1" ht="14.1" customHeight="1" x14ac:dyDescent="0.2">
      <c r="B478" s="54"/>
      <c r="C478" s="54"/>
      <c r="D478" s="54"/>
      <c r="E478" s="50"/>
      <c r="F478" s="50"/>
      <c r="G478" s="50"/>
      <c r="H478" s="50"/>
      <c r="I478" s="50"/>
      <c r="J478" s="50"/>
      <c r="K478" s="50"/>
      <c r="L478" s="50"/>
      <c r="M478" s="50"/>
      <c r="N478" s="51"/>
      <c r="O478" s="51"/>
      <c r="P478" s="52"/>
      <c r="Q478" s="55"/>
      <c r="R478" s="55"/>
      <c r="S478" s="55"/>
      <c r="T478" s="55"/>
      <c r="U478" s="55"/>
      <c r="W478" s="27"/>
      <c r="Z478" s="27"/>
      <c r="AA478" s="27"/>
      <c r="AB478" s="27"/>
      <c r="AC478" s="27"/>
      <c r="AD478" s="13"/>
      <c r="AE478" s="13"/>
      <c r="AF478" s="13"/>
      <c r="AG478" s="27"/>
      <c r="AH478" s="27"/>
      <c r="AI478" s="27"/>
      <c r="AJ478" s="27"/>
      <c r="CL478" s="27"/>
    </row>
    <row r="479" spans="2:90" s="18" customFormat="1" ht="14.1" customHeight="1" x14ac:dyDescent="0.2">
      <c r="B479" s="54"/>
      <c r="C479" s="54"/>
      <c r="D479" s="54"/>
      <c r="E479" s="50"/>
      <c r="F479" s="50"/>
      <c r="G479" s="50"/>
      <c r="H479" s="50"/>
      <c r="I479" s="50"/>
      <c r="J479" s="50"/>
      <c r="K479" s="50"/>
      <c r="L479" s="50"/>
      <c r="M479" s="50"/>
      <c r="N479" s="51"/>
      <c r="O479" s="51"/>
      <c r="P479" s="52"/>
      <c r="Q479" s="55"/>
      <c r="R479" s="55"/>
      <c r="S479" s="55"/>
      <c r="T479" s="55"/>
      <c r="U479" s="55"/>
      <c r="W479" s="27"/>
      <c r="Z479" s="27"/>
      <c r="AA479" s="27"/>
      <c r="AB479" s="27"/>
      <c r="AC479" s="27"/>
      <c r="AD479" s="13"/>
      <c r="AE479" s="13"/>
      <c r="AF479" s="13"/>
      <c r="AG479" s="27"/>
      <c r="AH479" s="27"/>
      <c r="AI479" s="27"/>
      <c r="AJ479" s="27"/>
      <c r="CL479" s="27"/>
    </row>
    <row r="480" spans="2:90" s="18" customFormat="1" ht="14.1" customHeight="1" x14ac:dyDescent="0.2">
      <c r="B480" s="54"/>
      <c r="C480" s="54"/>
      <c r="D480" s="54"/>
      <c r="E480" s="50"/>
      <c r="F480" s="50"/>
      <c r="G480" s="50"/>
      <c r="H480" s="50"/>
      <c r="I480" s="50"/>
      <c r="J480" s="50"/>
      <c r="K480" s="50"/>
      <c r="L480" s="50"/>
      <c r="M480" s="50"/>
      <c r="N480" s="51"/>
      <c r="O480" s="51"/>
      <c r="P480" s="52"/>
      <c r="Q480" s="55"/>
      <c r="R480" s="55"/>
      <c r="S480" s="55"/>
      <c r="T480" s="55"/>
      <c r="U480" s="55"/>
      <c r="W480" s="27"/>
      <c r="Z480" s="27"/>
      <c r="AA480" s="27"/>
      <c r="AB480" s="27"/>
      <c r="AC480" s="27"/>
      <c r="AD480" s="13"/>
      <c r="AE480" s="13"/>
      <c r="AF480" s="13"/>
      <c r="AG480" s="27"/>
      <c r="AH480" s="27"/>
      <c r="AI480" s="27"/>
      <c r="AJ480" s="27"/>
      <c r="CL480" s="27"/>
    </row>
    <row r="481" spans="2:90" s="18" customFormat="1" ht="14.1" customHeight="1" x14ac:dyDescent="0.2">
      <c r="B481" s="54"/>
      <c r="C481" s="54"/>
      <c r="D481" s="54"/>
      <c r="E481" s="50"/>
      <c r="F481" s="50"/>
      <c r="G481" s="50"/>
      <c r="H481" s="50"/>
      <c r="I481" s="50"/>
      <c r="J481" s="50"/>
      <c r="K481" s="50"/>
      <c r="L481" s="50"/>
      <c r="M481" s="50"/>
      <c r="N481" s="51"/>
      <c r="O481" s="51"/>
      <c r="P481" s="52"/>
      <c r="Q481" s="55"/>
      <c r="R481" s="55"/>
      <c r="S481" s="55"/>
      <c r="T481" s="55"/>
      <c r="U481" s="55"/>
      <c r="W481" s="27"/>
      <c r="Z481" s="27"/>
      <c r="AA481" s="27"/>
      <c r="AB481" s="27"/>
      <c r="AC481" s="27"/>
      <c r="AD481" s="13"/>
      <c r="AE481" s="13"/>
      <c r="AF481" s="13"/>
      <c r="AG481" s="27"/>
      <c r="AH481" s="27"/>
      <c r="AI481" s="27"/>
      <c r="AJ481" s="27"/>
      <c r="CL481" s="27"/>
    </row>
    <row r="482" spans="2:90" s="18" customFormat="1" ht="14.1" customHeight="1" x14ac:dyDescent="0.2">
      <c r="B482" s="54"/>
      <c r="C482" s="54"/>
      <c r="D482" s="54"/>
      <c r="E482" s="50"/>
      <c r="F482" s="50"/>
      <c r="G482" s="50"/>
      <c r="H482" s="50"/>
      <c r="I482" s="50"/>
      <c r="J482" s="50"/>
      <c r="K482" s="50"/>
      <c r="L482" s="50"/>
      <c r="M482" s="50"/>
      <c r="N482" s="51"/>
      <c r="O482" s="51"/>
      <c r="P482" s="52"/>
      <c r="Q482" s="55"/>
      <c r="R482" s="55"/>
      <c r="S482" s="55"/>
      <c r="T482" s="55"/>
      <c r="U482" s="55"/>
      <c r="W482" s="27"/>
      <c r="Z482" s="27"/>
      <c r="AA482" s="27"/>
      <c r="AB482" s="27"/>
      <c r="AC482" s="27"/>
      <c r="AD482" s="13"/>
      <c r="AE482" s="13"/>
      <c r="AF482" s="13"/>
      <c r="AG482" s="27"/>
      <c r="AH482" s="27"/>
      <c r="AI482" s="27"/>
      <c r="AJ482" s="27"/>
      <c r="CL482" s="27"/>
    </row>
    <row r="483" spans="2:90" s="18" customFormat="1" ht="14.1" customHeight="1" x14ac:dyDescent="0.2">
      <c r="B483" s="54"/>
      <c r="C483" s="54"/>
      <c r="D483" s="54"/>
      <c r="E483" s="50"/>
      <c r="F483" s="50"/>
      <c r="G483" s="50"/>
      <c r="H483" s="50"/>
      <c r="I483" s="50"/>
      <c r="J483" s="50"/>
      <c r="K483" s="50"/>
      <c r="L483" s="50"/>
      <c r="M483" s="50"/>
      <c r="N483" s="51"/>
      <c r="O483" s="51"/>
      <c r="P483" s="52"/>
      <c r="Q483" s="55"/>
      <c r="R483" s="55"/>
      <c r="S483" s="55"/>
      <c r="T483" s="55"/>
      <c r="U483" s="55"/>
      <c r="W483" s="27"/>
      <c r="Z483" s="27"/>
      <c r="AA483" s="27"/>
      <c r="AB483" s="27"/>
      <c r="AC483" s="27"/>
      <c r="AD483" s="13"/>
      <c r="AE483" s="13"/>
      <c r="AF483" s="13"/>
      <c r="AG483" s="27"/>
      <c r="AH483" s="27"/>
      <c r="AI483" s="27"/>
      <c r="AJ483" s="27"/>
      <c r="CL483" s="27"/>
    </row>
    <row r="484" spans="2:90" s="18" customFormat="1" ht="14.1" customHeight="1" x14ac:dyDescent="0.2">
      <c r="B484" s="54"/>
      <c r="C484" s="54"/>
      <c r="D484" s="54"/>
      <c r="E484" s="50"/>
      <c r="F484" s="50"/>
      <c r="G484" s="50"/>
      <c r="H484" s="50"/>
      <c r="I484" s="50"/>
      <c r="J484" s="50"/>
      <c r="K484" s="50"/>
      <c r="L484" s="50"/>
      <c r="M484" s="50"/>
      <c r="N484" s="51"/>
      <c r="O484" s="51"/>
      <c r="P484" s="52"/>
      <c r="Q484" s="55"/>
      <c r="R484" s="55"/>
      <c r="S484" s="55"/>
      <c r="T484" s="55"/>
      <c r="U484" s="55"/>
      <c r="W484" s="27"/>
      <c r="Z484" s="27"/>
      <c r="AA484" s="27"/>
      <c r="AB484" s="27"/>
      <c r="AC484" s="27"/>
      <c r="AD484" s="13"/>
      <c r="AE484" s="13"/>
      <c r="AF484" s="13"/>
      <c r="AG484" s="27"/>
      <c r="AH484" s="27"/>
      <c r="AI484" s="27"/>
      <c r="AJ484" s="27"/>
      <c r="CL484" s="27"/>
    </row>
    <row r="485" spans="2:90" s="18" customFormat="1" ht="14.1" customHeight="1" x14ac:dyDescent="0.2">
      <c r="B485" s="54"/>
      <c r="C485" s="54"/>
      <c r="D485" s="54"/>
      <c r="E485" s="50"/>
      <c r="F485" s="50"/>
      <c r="G485" s="50"/>
      <c r="H485" s="50"/>
      <c r="I485" s="50"/>
      <c r="J485" s="50"/>
      <c r="K485" s="50"/>
      <c r="L485" s="50"/>
      <c r="M485" s="50"/>
      <c r="N485" s="51"/>
      <c r="O485" s="51"/>
      <c r="P485" s="52"/>
      <c r="Q485" s="55"/>
      <c r="R485" s="55"/>
      <c r="S485" s="55"/>
      <c r="T485" s="55"/>
      <c r="U485" s="55"/>
      <c r="W485" s="27"/>
      <c r="Z485" s="27"/>
      <c r="AA485" s="27"/>
      <c r="AB485" s="27"/>
      <c r="AC485" s="27"/>
      <c r="AD485" s="13"/>
      <c r="AE485" s="13"/>
      <c r="AF485" s="13"/>
      <c r="AG485" s="27"/>
      <c r="AH485" s="27"/>
      <c r="AI485" s="27"/>
      <c r="AJ485" s="27"/>
      <c r="CL485" s="27"/>
    </row>
    <row r="486" spans="2:90" s="18" customFormat="1" ht="14.1" customHeight="1" x14ac:dyDescent="0.2">
      <c r="B486" s="54"/>
      <c r="C486" s="54"/>
      <c r="D486" s="54"/>
      <c r="E486" s="50"/>
      <c r="F486" s="50"/>
      <c r="G486" s="50"/>
      <c r="H486" s="50"/>
      <c r="I486" s="50"/>
      <c r="J486" s="50"/>
      <c r="K486" s="50"/>
      <c r="L486" s="50"/>
      <c r="M486" s="50"/>
      <c r="N486" s="51"/>
      <c r="O486" s="51"/>
      <c r="P486" s="52"/>
      <c r="Q486" s="55"/>
      <c r="R486" s="55"/>
      <c r="S486" s="55"/>
      <c r="T486" s="55"/>
      <c r="U486" s="55"/>
      <c r="W486" s="27"/>
      <c r="Z486" s="27"/>
      <c r="AA486" s="27"/>
      <c r="AB486" s="27"/>
      <c r="AC486" s="27"/>
      <c r="AD486" s="13"/>
      <c r="AE486" s="13"/>
      <c r="AF486" s="13"/>
      <c r="AG486" s="27"/>
      <c r="AH486" s="27"/>
      <c r="AI486" s="27"/>
      <c r="AJ486" s="27"/>
      <c r="CL486" s="27"/>
    </row>
    <row r="487" spans="2:90" s="18" customFormat="1" ht="14.1" customHeight="1" x14ac:dyDescent="0.2">
      <c r="B487" s="54"/>
      <c r="C487" s="54"/>
      <c r="D487" s="54"/>
      <c r="E487" s="50"/>
      <c r="F487" s="50"/>
      <c r="G487" s="50"/>
      <c r="H487" s="50"/>
      <c r="I487" s="50"/>
      <c r="J487" s="50"/>
      <c r="K487" s="50"/>
      <c r="L487" s="50"/>
      <c r="M487" s="50"/>
      <c r="N487" s="51"/>
      <c r="O487" s="51"/>
      <c r="P487" s="52"/>
      <c r="Q487" s="55"/>
      <c r="R487" s="55"/>
      <c r="S487" s="55"/>
      <c r="T487" s="55"/>
      <c r="U487" s="55"/>
      <c r="W487" s="27"/>
      <c r="Z487" s="27"/>
      <c r="AA487" s="27"/>
      <c r="AB487" s="27"/>
      <c r="AC487" s="27"/>
      <c r="AD487" s="13"/>
      <c r="AE487" s="13"/>
      <c r="AF487" s="13"/>
      <c r="AG487" s="27"/>
      <c r="AH487" s="27"/>
      <c r="AI487" s="27"/>
      <c r="AJ487" s="27"/>
      <c r="CL487" s="27"/>
    </row>
    <row r="488" spans="2:90" s="18" customFormat="1" ht="14.1" customHeight="1" x14ac:dyDescent="0.2">
      <c r="B488" s="54"/>
      <c r="C488" s="54"/>
      <c r="D488" s="54"/>
      <c r="E488" s="50"/>
      <c r="F488" s="50"/>
      <c r="G488" s="50"/>
      <c r="H488" s="50"/>
      <c r="I488" s="50"/>
      <c r="J488" s="50"/>
      <c r="K488" s="50"/>
      <c r="L488" s="50"/>
      <c r="M488" s="50"/>
      <c r="N488" s="51"/>
      <c r="O488" s="51"/>
      <c r="P488" s="52"/>
      <c r="Q488" s="55"/>
      <c r="R488" s="55"/>
      <c r="S488" s="55"/>
      <c r="T488" s="55"/>
      <c r="U488" s="55"/>
      <c r="W488" s="27"/>
      <c r="Z488" s="27"/>
      <c r="AA488" s="27"/>
      <c r="AB488" s="27"/>
      <c r="AC488" s="27"/>
      <c r="AD488" s="13"/>
      <c r="AE488" s="13"/>
      <c r="AF488" s="13"/>
      <c r="AG488" s="27"/>
      <c r="AH488" s="27"/>
      <c r="AI488" s="27"/>
      <c r="AJ488" s="27"/>
      <c r="CL488" s="27"/>
    </row>
    <row r="489" spans="2:90" s="18" customFormat="1" ht="14.1" customHeight="1" x14ac:dyDescent="0.2">
      <c r="B489" s="54"/>
      <c r="C489" s="54"/>
      <c r="D489" s="54"/>
      <c r="E489" s="50"/>
      <c r="F489" s="50"/>
      <c r="G489" s="50"/>
      <c r="H489" s="50"/>
      <c r="I489" s="50"/>
      <c r="J489" s="50"/>
      <c r="K489" s="50"/>
      <c r="L489" s="50"/>
      <c r="M489" s="50"/>
      <c r="N489" s="51"/>
      <c r="O489" s="51"/>
      <c r="P489" s="52"/>
      <c r="Q489" s="55"/>
      <c r="R489" s="55"/>
      <c r="S489" s="55"/>
      <c r="T489" s="55"/>
      <c r="U489" s="55"/>
      <c r="W489" s="27"/>
      <c r="Z489" s="27"/>
      <c r="AA489" s="27"/>
      <c r="AB489" s="27"/>
      <c r="AC489" s="27"/>
      <c r="AD489" s="13"/>
      <c r="AE489" s="13"/>
      <c r="AF489" s="13"/>
      <c r="AG489" s="27"/>
      <c r="AH489" s="27"/>
      <c r="AI489" s="27"/>
      <c r="AJ489" s="27"/>
      <c r="CL489" s="27"/>
    </row>
    <row r="490" spans="2:90" s="18" customFormat="1" ht="14.1" customHeight="1" x14ac:dyDescent="0.2">
      <c r="B490" s="54"/>
      <c r="C490" s="54"/>
      <c r="D490" s="54"/>
      <c r="E490" s="50"/>
      <c r="F490" s="50"/>
      <c r="G490" s="50"/>
      <c r="H490" s="50"/>
      <c r="I490" s="50"/>
      <c r="J490" s="50"/>
      <c r="K490" s="50"/>
      <c r="L490" s="50"/>
      <c r="M490" s="50"/>
      <c r="N490" s="51"/>
      <c r="O490" s="51"/>
      <c r="P490" s="52"/>
      <c r="Q490" s="55"/>
      <c r="R490" s="55"/>
      <c r="S490" s="55"/>
      <c r="T490" s="55"/>
      <c r="U490" s="55"/>
      <c r="W490" s="27"/>
      <c r="Z490" s="27"/>
      <c r="AA490" s="27"/>
      <c r="AB490" s="27"/>
      <c r="AC490" s="27"/>
      <c r="AD490" s="13"/>
      <c r="AE490" s="13"/>
      <c r="AF490" s="13"/>
      <c r="AG490" s="27"/>
      <c r="AH490" s="27"/>
      <c r="AI490" s="27"/>
      <c r="AJ490" s="27"/>
      <c r="CL490" s="27"/>
    </row>
    <row r="491" spans="2:90" s="18" customFormat="1" ht="14.1" customHeight="1" x14ac:dyDescent="0.2">
      <c r="B491" s="54"/>
      <c r="C491" s="54"/>
      <c r="D491" s="54"/>
      <c r="E491" s="50"/>
      <c r="F491" s="50"/>
      <c r="G491" s="50"/>
      <c r="H491" s="50"/>
      <c r="I491" s="50"/>
      <c r="J491" s="50"/>
      <c r="K491" s="50"/>
      <c r="L491" s="50"/>
      <c r="M491" s="50"/>
      <c r="N491" s="51"/>
      <c r="O491" s="51"/>
      <c r="P491" s="52"/>
      <c r="Q491" s="55"/>
      <c r="R491" s="55"/>
      <c r="S491" s="55"/>
      <c r="T491" s="55"/>
      <c r="U491" s="55"/>
      <c r="W491" s="27"/>
      <c r="Z491" s="27"/>
      <c r="AA491" s="27"/>
      <c r="AB491" s="27"/>
      <c r="AC491" s="27"/>
      <c r="AD491" s="13"/>
      <c r="AE491" s="13"/>
      <c r="AF491" s="13"/>
      <c r="AG491" s="27"/>
      <c r="AH491" s="27"/>
      <c r="AI491" s="27"/>
      <c r="AJ491" s="27"/>
      <c r="CL491" s="27"/>
    </row>
    <row r="492" spans="2:90" s="18" customFormat="1" ht="14.1" customHeight="1" x14ac:dyDescent="0.2">
      <c r="B492" s="54"/>
      <c r="C492" s="54"/>
      <c r="D492" s="54"/>
      <c r="E492" s="50"/>
      <c r="F492" s="50"/>
      <c r="G492" s="50"/>
      <c r="H492" s="50"/>
      <c r="I492" s="50"/>
      <c r="J492" s="50"/>
      <c r="K492" s="50"/>
      <c r="L492" s="50"/>
      <c r="M492" s="50"/>
      <c r="N492" s="51"/>
      <c r="O492" s="51"/>
      <c r="P492" s="52"/>
      <c r="Q492" s="55"/>
      <c r="R492" s="55"/>
      <c r="S492" s="55"/>
      <c r="T492" s="55"/>
      <c r="U492" s="55"/>
      <c r="W492" s="27"/>
      <c r="Z492" s="27"/>
      <c r="AA492" s="27"/>
      <c r="AB492" s="27"/>
      <c r="AC492" s="27"/>
      <c r="AD492" s="13"/>
      <c r="AE492" s="13"/>
      <c r="AF492" s="13"/>
      <c r="AG492" s="27"/>
      <c r="AH492" s="27"/>
      <c r="AI492" s="27"/>
      <c r="AJ492" s="27"/>
      <c r="CL492" s="27"/>
    </row>
    <row r="493" spans="2:90" s="18" customFormat="1" ht="14.1" customHeight="1" x14ac:dyDescent="0.2">
      <c r="B493" s="54"/>
      <c r="C493" s="54"/>
      <c r="D493" s="54"/>
      <c r="E493" s="50"/>
      <c r="F493" s="50"/>
      <c r="G493" s="50"/>
      <c r="H493" s="50"/>
      <c r="I493" s="50"/>
      <c r="J493" s="50"/>
      <c r="K493" s="50"/>
      <c r="L493" s="50"/>
      <c r="M493" s="50"/>
      <c r="N493" s="51"/>
      <c r="O493" s="51"/>
      <c r="P493" s="52"/>
      <c r="Q493" s="55"/>
      <c r="R493" s="55"/>
      <c r="S493" s="55"/>
      <c r="T493" s="55"/>
      <c r="U493" s="55"/>
      <c r="W493" s="27"/>
      <c r="Z493" s="27"/>
      <c r="AA493" s="27"/>
      <c r="AB493" s="27"/>
      <c r="AC493" s="27"/>
      <c r="AD493" s="13"/>
      <c r="AE493" s="13"/>
      <c r="AF493" s="13"/>
      <c r="AG493" s="27"/>
      <c r="AH493" s="27"/>
      <c r="AI493" s="27"/>
      <c r="AJ493" s="27"/>
      <c r="CL493" s="27"/>
    </row>
    <row r="494" spans="2:90" s="18" customFormat="1" ht="14.1" customHeight="1" x14ac:dyDescent="0.2">
      <c r="B494" s="54"/>
      <c r="C494" s="54"/>
      <c r="D494" s="54"/>
      <c r="E494" s="50"/>
      <c r="F494" s="50"/>
      <c r="G494" s="50"/>
      <c r="H494" s="50"/>
      <c r="I494" s="50"/>
      <c r="J494" s="50"/>
      <c r="K494" s="50"/>
      <c r="L494" s="50"/>
      <c r="M494" s="50"/>
      <c r="N494" s="51"/>
      <c r="O494" s="51"/>
      <c r="P494" s="52"/>
      <c r="Q494" s="55"/>
      <c r="R494" s="55"/>
      <c r="S494" s="55"/>
      <c r="T494" s="55"/>
      <c r="U494" s="55"/>
      <c r="W494" s="27"/>
      <c r="Z494" s="27"/>
      <c r="AA494" s="27"/>
      <c r="AB494" s="27"/>
      <c r="AC494" s="27"/>
      <c r="AD494" s="13"/>
      <c r="AE494" s="13"/>
      <c r="AF494" s="13"/>
      <c r="AG494" s="27"/>
      <c r="AH494" s="27"/>
      <c r="AI494" s="27"/>
      <c r="AJ494" s="27"/>
      <c r="CL494" s="27"/>
    </row>
    <row r="495" spans="2:90" s="18" customFormat="1" ht="14.1" customHeight="1" x14ac:dyDescent="0.2">
      <c r="B495" s="54"/>
      <c r="C495" s="54"/>
      <c r="D495" s="54"/>
      <c r="E495" s="50"/>
      <c r="F495" s="50"/>
      <c r="G495" s="50"/>
      <c r="H495" s="50"/>
      <c r="I495" s="50"/>
      <c r="J495" s="50"/>
      <c r="K495" s="50"/>
      <c r="L495" s="50"/>
      <c r="M495" s="50"/>
      <c r="N495" s="51"/>
      <c r="O495" s="51"/>
      <c r="P495" s="52"/>
      <c r="Q495" s="55"/>
      <c r="R495" s="55"/>
      <c r="S495" s="55"/>
      <c r="T495" s="55"/>
      <c r="U495" s="55"/>
      <c r="W495" s="27"/>
      <c r="Z495" s="27"/>
      <c r="AA495" s="27"/>
      <c r="AB495" s="27"/>
      <c r="AC495" s="27"/>
      <c r="AD495" s="13"/>
      <c r="AE495" s="13"/>
      <c r="AF495" s="13"/>
      <c r="AG495" s="27"/>
      <c r="AH495" s="27"/>
      <c r="AI495" s="27"/>
      <c r="AJ495" s="27"/>
      <c r="CL495" s="27"/>
    </row>
    <row r="496" spans="2:90" s="18" customFormat="1" ht="14.1" customHeight="1" x14ac:dyDescent="0.2">
      <c r="B496" s="54"/>
      <c r="C496" s="54"/>
      <c r="D496" s="54"/>
      <c r="E496" s="50"/>
      <c r="F496" s="50"/>
      <c r="G496" s="50"/>
      <c r="H496" s="50"/>
      <c r="I496" s="50"/>
      <c r="J496" s="50"/>
      <c r="K496" s="50"/>
      <c r="L496" s="50"/>
      <c r="M496" s="50"/>
      <c r="N496" s="51"/>
      <c r="O496" s="51"/>
      <c r="P496" s="52"/>
      <c r="Q496" s="55"/>
      <c r="R496" s="55"/>
      <c r="S496" s="55"/>
      <c r="T496" s="55"/>
      <c r="U496" s="55"/>
      <c r="W496" s="27"/>
      <c r="Z496" s="27"/>
      <c r="AA496" s="27"/>
      <c r="AB496" s="27"/>
      <c r="AC496" s="27"/>
      <c r="AD496" s="13"/>
      <c r="AE496" s="13"/>
      <c r="AF496" s="13"/>
      <c r="AG496" s="27"/>
      <c r="AH496" s="27"/>
      <c r="AI496" s="27"/>
      <c r="AJ496" s="27"/>
      <c r="CL496" s="27"/>
    </row>
    <row r="497" spans="2:90" s="18" customFormat="1" ht="14.1" customHeight="1" x14ac:dyDescent="0.2">
      <c r="B497" s="54"/>
      <c r="C497" s="54"/>
      <c r="D497" s="54"/>
      <c r="E497" s="50"/>
      <c r="F497" s="50"/>
      <c r="G497" s="50"/>
      <c r="H497" s="50"/>
      <c r="I497" s="50"/>
      <c r="J497" s="50"/>
      <c r="K497" s="50"/>
      <c r="L497" s="50"/>
      <c r="M497" s="50"/>
      <c r="N497" s="51"/>
      <c r="O497" s="51"/>
      <c r="P497" s="52"/>
      <c r="Q497" s="55"/>
      <c r="R497" s="55"/>
      <c r="S497" s="55"/>
      <c r="T497" s="55"/>
      <c r="U497" s="55"/>
      <c r="W497" s="27"/>
      <c r="Z497" s="27"/>
      <c r="AA497" s="27"/>
      <c r="AB497" s="27"/>
      <c r="AC497" s="27"/>
      <c r="AD497" s="13"/>
      <c r="AE497" s="13"/>
      <c r="AF497" s="13"/>
      <c r="AG497" s="27"/>
      <c r="AH497" s="27"/>
      <c r="AI497" s="27"/>
      <c r="AJ497" s="27"/>
      <c r="CL497" s="27"/>
    </row>
    <row r="498" spans="2:90" s="18" customFormat="1" ht="14.1" customHeight="1" x14ac:dyDescent="0.2">
      <c r="B498" s="54"/>
      <c r="C498" s="54"/>
      <c r="D498" s="54"/>
      <c r="E498" s="50"/>
      <c r="F498" s="50"/>
      <c r="G498" s="50"/>
      <c r="H498" s="50"/>
      <c r="I498" s="50"/>
      <c r="J498" s="50"/>
      <c r="K498" s="50"/>
      <c r="L498" s="50"/>
      <c r="M498" s="50"/>
      <c r="N498" s="51"/>
      <c r="O498" s="51"/>
      <c r="P498" s="52"/>
      <c r="Q498" s="55"/>
      <c r="R498" s="55"/>
      <c r="S498" s="55"/>
      <c r="T498" s="55"/>
      <c r="U498" s="55"/>
      <c r="W498" s="27"/>
      <c r="Z498" s="27"/>
      <c r="AA498" s="27"/>
      <c r="AB498" s="27"/>
      <c r="AC498" s="27"/>
      <c r="AD498" s="13"/>
      <c r="AE498" s="13"/>
      <c r="AF498" s="13"/>
      <c r="AG498" s="27"/>
      <c r="AH498" s="27"/>
      <c r="AI498" s="27"/>
      <c r="AJ498" s="27"/>
      <c r="CL498" s="27"/>
    </row>
    <row r="499" spans="2:90" s="18" customFormat="1" ht="14.1" customHeight="1" x14ac:dyDescent="0.2">
      <c r="B499" s="54"/>
      <c r="C499" s="54"/>
      <c r="D499" s="54"/>
      <c r="E499" s="50"/>
      <c r="F499" s="50"/>
      <c r="G499" s="50"/>
      <c r="H499" s="50"/>
      <c r="I499" s="50"/>
      <c r="J499" s="50"/>
      <c r="K499" s="50"/>
      <c r="L499" s="50"/>
      <c r="M499" s="50"/>
      <c r="N499" s="51"/>
      <c r="O499" s="51"/>
      <c r="P499" s="52"/>
      <c r="Q499" s="55"/>
      <c r="R499" s="55"/>
      <c r="S499" s="55"/>
      <c r="T499" s="55"/>
      <c r="U499" s="55"/>
      <c r="W499" s="27"/>
      <c r="Z499" s="27"/>
      <c r="AA499" s="27"/>
      <c r="AB499" s="27"/>
      <c r="AC499" s="27"/>
      <c r="AD499" s="13"/>
      <c r="AE499" s="13"/>
      <c r="AF499" s="13"/>
      <c r="AG499" s="27"/>
      <c r="AH499" s="27"/>
      <c r="AI499" s="27"/>
      <c r="AJ499" s="27"/>
      <c r="CL499" s="27"/>
    </row>
    <row r="500" spans="2:90" s="18" customFormat="1" ht="14.1" customHeight="1" x14ac:dyDescent="0.2">
      <c r="B500" s="54"/>
      <c r="C500" s="54"/>
      <c r="D500" s="54"/>
      <c r="E500" s="50"/>
      <c r="F500" s="50"/>
      <c r="G500" s="50"/>
      <c r="H500" s="50"/>
      <c r="I500" s="50"/>
      <c r="J500" s="50"/>
      <c r="K500" s="50"/>
      <c r="L500" s="50"/>
      <c r="M500" s="50"/>
      <c r="N500" s="51"/>
      <c r="O500" s="51"/>
      <c r="P500" s="52"/>
      <c r="Q500" s="55"/>
      <c r="R500" s="55"/>
      <c r="S500" s="55"/>
      <c r="T500" s="55"/>
      <c r="U500" s="55"/>
      <c r="W500" s="27"/>
      <c r="Z500" s="27"/>
      <c r="AA500" s="27"/>
      <c r="AB500" s="27"/>
      <c r="AC500" s="27"/>
      <c r="AD500" s="13"/>
      <c r="AE500" s="13"/>
      <c r="AF500" s="13"/>
      <c r="AG500" s="27"/>
      <c r="AH500" s="27"/>
      <c r="AI500" s="27"/>
      <c r="AJ500" s="27"/>
      <c r="CL500" s="27"/>
    </row>
    <row r="501" spans="2:90" s="18" customFormat="1" ht="14.1" customHeight="1" x14ac:dyDescent="0.2">
      <c r="B501" s="54"/>
      <c r="C501" s="54"/>
      <c r="D501" s="54"/>
      <c r="E501" s="50"/>
      <c r="F501" s="50"/>
      <c r="G501" s="50"/>
      <c r="H501" s="50"/>
      <c r="I501" s="50"/>
      <c r="J501" s="50"/>
      <c r="K501" s="50"/>
      <c r="L501" s="50"/>
      <c r="M501" s="50"/>
      <c r="N501" s="51"/>
      <c r="O501" s="51"/>
      <c r="P501" s="52"/>
      <c r="Q501" s="55"/>
      <c r="R501" s="55"/>
      <c r="S501" s="55"/>
      <c r="T501" s="55"/>
      <c r="U501" s="55"/>
      <c r="W501" s="27"/>
      <c r="Z501" s="27"/>
      <c r="AA501" s="27"/>
      <c r="AB501" s="27"/>
      <c r="AC501" s="27"/>
      <c r="AD501" s="13"/>
      <c r="AE501" s="13"/>
      <c r="AF501" s="13"/>
      <c r="AG501" s="27"/>
      <c r="AH501" s="27"/>
      <c r="AI501" s="27"/>
      <c r="AJ501" s="27"/>
      <c r="CL501" s="27"/>
    </row>
    <row r="502" spans="2:90" s="18" customFormat="1" ht="14.1" customHeight="1" x14ac:dyDescent="0.2">
      <c r="B502" s="54"/>
      <c r="C502" s="54"/>
      <c r="D502" s="54"/>
      <c r="E502" s="50"/>
      <c r="F502" s="50"/>
      <c r="G502" s="50"/>
      <c r="H502" s="50"/>
      <c r="I502" s="50"/>
      <c r="J502" s="50"/>
      <c r="K502" s="50"/>
      <c r="L502" s="50"/>
      <c r="M502" s="50"/>
      <c r="N502" s="51"/>
      <c r="O502" s="51"/>
      <c r="P502" s="52"/>
      <c r="Q502" s="55"/>
      <c r="R502" s="55"/>
      <c r="S502" s="55"/>
      <c r="T502" s="55"/>
      <c r="U502" s="55"/>
      <c r="W502" s="27"/>
      <c r="Z502" s="27"/>
      <c r="AA502" s="27"/>
      <c r="AB502" s="27"/>
      <c r="AC502" s="27"/>
      <c r="AD502" s="13"/>
      <c r="AE502" s="13"/>
      <c r="AF502" s="13"/>
      <c r="AG502" s="27"/>
      <c r="AH502" s="27"/>
      <c r="AI502" s="27"/>
      <c r="AJ502" s="27"/>
      <c r="CL502" s="27"/>
    </row>
    <row r="503" spans="2:90" s="18" customFormat="1" ht="14.1" customHeight="1" x14ac:dyDescent="0.2">
      <c r="B503" s="54"/>
      <c r="C503" s="54"/>
      <c r="D503" s="54"/>
      <c r="E503" s="50"/>
      <c r="F503" s="50"/>
      <c r="G503" s="50"/>
      <c r="H503" s="50"/>
      <c r="I503" s="50"/>
      <c r="J503" s="50"/>
      <c r="K503" s="50"/>
      <c r="L503" s="50"/>
      <c r="M503" s="50"/>
      <c r="N503" s="51"/>
      <c r="O503" s="51"/>
      <c r="P503" s="52"/>
      <c r="Q503" s="55"/>
      <c r="R503" s="55"/>
      <c r="S503" s="55"/>
      <c r="T503" s="55"/>
      <c r="U503" s="55"/>
      <c r="W503" s="27"/>
      <c r="Z503" s="27"/>
      <c r="AA503" s="27"/>
      <c r="AB503" s="27"/>
      <c r="AC503" s="27"/>
      <c r="AD503" s="13"/>
      <c r="AE503" s="13"/>
      <c r="AF503" s="13"/>
      <c r="AG503" s="27"/>
      <c r="AH503" s="27"/>
      <c r="AI503" s="27"/>
      <c r="AJ503" s="27"/>
      <c r="CL503" s="27"/>
    </row>
    <row r="504" spans="2:90" s="18" customFormat="1" ht="14.1" customHeight="1" x14ac:dyDescent="0.2">
      <c r="B504" s="54"/>
      <c r="C504" s="54"/>
      <c r="D504" s="54"/>
      <c r="E504" s="50"/>
      <c r="F504" s="50"/>
      <c r="G504" s="50"/>
      <c r="H504" s="50"/>
      <c r="I504" s="50"/>
      <c r="J504" s="50"/>
      <c r="K504" s="50"/>
      <c r="L504" s="50"/>
      <c r="M504" s="50"/>
      <c r="N504" s="51"/>
      <c r="O504" s="51"/>
      <c r="P504" s="52"/>
      <c r="Q504" s="55"/>
      <c r="R504" s="55"/>
      <c r="S504" s="55"/>
      <c r="T504" s="55"/>
      <c r="U504" s="55"/>
      <c r="W504" s="27"/>
      <c r="Z504" s="27"/>
      <c r="AA504" s="27"/>
      <c r="AB504" s="27"/>
      <c r="AC504" s="27"/>
      <c r="AD504" s="13"/>
      <c r="AE504" s="13"/>
      <c r="AF504" s="13"/>
      <c r="AG504" s="27"/>
      <c r="AH504" s="27"/>
      <c r="AI504" s="27"/>
      <c r="AJ504" s="27"/>
      <c r="CL504" s="27"/>
    </row>
    <row r="505" spans="2:90" s="18" customFormat="1" ht="14.1" customHeight="1" x14ac:dyDescent="0.2">
      <c r="B505" s="54"/>
      <c r="C505" s="54"/>
      <c r="D505" s="54"/>
      <c r="E505" s="50"/>
      <c r="F505" s="50"/>
      <c r="G505" s="50"/>
      <c r="H505" s="50"/>
      <c r="I505" s="50"/>
      <c r="J505" s="50"/>
      <c r="K505" s="50"/>
      <c r="L505" s="50"/>
      <c r="M505" s="50"/>
      <c r="N505" s="51"/>
      <c r="O505" s="51"/>
      <c r="P505" s="52"/>
      <c r="Q505" s="55"/>
      <c r="R505" s="55"/>
      <c r="S505" s="55"/>
      <c r="T505" s="55"/>
      <c r="U505" s="55"/>
      <c r="W505" s="27"/>
      <c r="Z505" s="27"/>
      <c r="AA505" s="27"/>
      <c r="AB505" s="27"/>
      <c r="AC505" s="27"/>
      <c r="AD505" s="13"/>
      <c r="AE505" s="13"/>
      <c r="AF505" s="13"/>
      <c r="AG505" s="27"/>
      <c r="AH505" s="27"/>
      <c r="AI505" s="27"/>
      <c r="AJ505" s="27"/>
      <c r="CL505" s="27"/>
    </row>
    <row r="506" spans="2:90" s="18" customFormat="1" ht="14.1" customHeight="1" x14ac:dyDescent="0.2">
      <c r="B506" s="54"/>
      <c r="C506" s="54"/>
      <c r="D506" s="54"/>
      <c r="E506" s="50"/>
      <c r="F506" s="50"/>
      <c r="G506" s="50"/>
      <c r="H506" s="50"/>
      <c r="I506" s="50"/>
      <c r="J506" s="50"/>
      <c r="K506" s="50"/>
      <c r="L506" s="50"/>
      <c r="M506" s="50"/>
      <c r="N506" s="51"/>
      <c r="O506" s="51"/>
      <c r="P506" s="52"/>
      <c r="Q506" s="55"/>
      <c r="R506" s="55"/>
      <c r="S506" s="55"/>
      <c r="T506" s="55"/>
      <c r="U506" s="55"/>
      <c r="W506" s="27"/>
      <c r="Z506" s="27"/>
      <c r="AA506" s="27"/>
      <c r="AB506" s="27"/>
      <c r="AC506" s="27"/>
      <c r="AD506" s="13"/>
      <c r="AE506" s="13"/>
      <c r="AF506" s="13"/>
      <c r="AG506" s="27"/>
      <c r="AH506" s="27"/>
      <c r="AI506" s="27"/>
      <c r="AJ506" s="27"/>
      <c r="CL506" s="27"/>
    </row>
    <row r="507" spans="2:90" s="18" customFormat="1" ht="14.1" customHeight="1" x14ac:dyDescent="0.2">
      <c r="B507" s="54"/>
      <c r="C507" s="54"/>
      <c r="D507" s="54"/>
      <c r="E507" s="50"/>
      <c r="F507" s="50"/>
      <c r="G507" s="50"/>
      <c r="H507" s="50"/>
      <c r="I507" s="50"/>
      <c r="J507" s="50"/>
      <c r="K507" s="50"/>
      <c r="L507" s="50"/>
      <c r="M507" s="50"/>
      <c r="N507" s="51"/>
      <c r="O507" s="51"/>
      <c r="P507" s="52"/>
      <c r="Q507" s="55"/>
      <c r="R507" s="55"/>
      <c r="S507" s="55"/>
      <c r="T507" s="55"/>
      <c r="U507" s="55"/>
      <c r="W507" s="27"/>
      <c r="Z507" s="27"/>
      <c r="AA507" s="27"/>
      <c r="AB507" s="27"/>
      <c r="AC507" s="27"/>
      <c r="AD507" s="13"/>
      <c r="AE507" s="13"/>
      <c r="AF507" s="13"/>
      <c r="AG507" s="27"/>
      <c r="AH507" s="27"/>
      <c r="AI507" s="27"/>
      <c r="AJ507" s="27"/>
      <c r="CL507" s="27"/>
    </row>
    <row r="508" spans="2:90" s="18" customFormat="1" ht="14.1" customHeight="1" x14ac:dyDescent="0.2">
      <c r="B508" s="54"/>
      <c r="C508" s="54"/>
      <c r="D508" s="54"/>
      <c r="E508" s="50"/>
      <c r="F508" s="50"/>
      <c r="G508" s="50"/>
      <c r="H508" s="50"/>
      <c r="I508" s="50"/>
      <c r="J508" s="50"/>
      <c r="K508" s="50"/>
      <c r="L508" s="50"/>
      <c r="M508" s="50"/>
      <c r="N508" s="51"/>
      <c r="O508" s="51"/>
      <c r="P508" s="52"/>
      <c r="Q508" s="55"/>
      <c r="R508" s="55"/>
      <c r="S508" s="55"/>
      <c r="T508" s="55"/>
      <c r="U508" s="55"/>
      <c r="W508" s="27"/>
      <c r="Z508" s="27"/>
      <c r="AA508" s="27"/>
      <c r="AB508" s="27"/>
      <c r="AC508" s="27"/>
      <c r="AD508" s="13"/>
      <c r="AE508" s="13"/>
      <c r="AF508" s="13"/>
      <c r="AG508" s="27"/>
      <c r="AH508" s="27"/>
      <c r="AI508" s="27"/>
      <c r="AJ508" s="27"/>
      <c r="CL508" s="27"/>
    </row>
    <row r="509" spans="2:90" s="18" customFormat="1" ht="14.1" customHeight="1" x14ac:dyDescent="0.2">
      <c r="B509" s="54"/>
      <c r="C509" s="54"/>
      <c r="D509" s="54"/>
      <c r="E509" s="50"/>
      <c r="F509" s="50"/>
      <c r="G509" s="50"/>
      <c r="H509" s="50"/>
      <c r="I509" s="50"/>
      <c r="J509" s="50"/>
      <c r="K509" s="50"/>
      <c r="L509" s="50"/>
      <c r="M509" s="50"/>
      <c r="N509" s="51"/>
      <c r="O509" s="51"/>
      <c r="P509" s="52"/>
      <c r="Q509" s="55"/>
      <c r="R509" s="55"/>
      <c r="S509" s="55"/>
      <c r="T509" s="55"/>
      <c r="U509" s="55"/>
      <c r="W509" s="27"/>
      <c r="Z509" s="27"/>
      <c r="AA509" s="27"/>
      <c r="AB509" s="27"/>
      <c r="AC509" s="27"/>
      <c r="AD509" s="13"/>
      <c r="AE509" s="13"/>
      <c r="AF509" s="13"/>
      <c r="AG509" s="27"/>
      <c r="AH509" s="27"/>
      <c r="AI509" s="27"/>
      <c r="AJ509" s="27"/>
      <c r="CL509" s="27"/>
    </row>
    <row r="510" spans="2:90" s="18" customFormat="1" ht="14.1" customHeight="1" x14ac:dyDescent="0.2">
      <c r="B510" s="54"/>
      <c r="C510" s="54"/>
      <c r="D510" s="54"/>
      <c r="E510" s="50"/>
      <c r="F510" s="50"/>
      <c r="G510" s="50"/>
      <c r="H510" s="50"/>
      <c r="I510" s="50"/>
      <c r="J510" s="50"/>
      <c r="K510" s="50"/>
      <c r="L510" s="50"/>
      <c r="M510" s="50"/>
      <c r="N510" s="51"/>
      <c r="O510" s="51"/>
      <c r="P510" s="52"/>
      <c r="Q510" s="55"/>
      <c r="R510" s="55"/>
      <c r="S510" s="55"/>
      <c r="T510" s="55"/>
      <c r="U510" s="55"/>
      <c r="W510" s="27"/>
      <c r="Z510" s="27"/>
      <c r="AA510" s="27"/>
      <c r="AB510" s="27"/>
      <c r="AC510" s="27"/>
      <c r="AD510" s="13"/>
      <c r="AE510" s="13"/>
      <c r="AF510" s="13"/>
      <c r="AG510" s="27"/>
      <c r="AH510" s="27"/>
      <c r="AI510" s="27"/>
      <c r="AJ510" s="27"/>
      <c r="CL510" s="27"/>
    </row>
    <row r="511" spans="2:90" s="18" customFormat="1" ht="14.1" customHeight="1" x14ac:dyDescent="0.2">
      <c r="B511" s="54"/>
      <c r="C511" s="54"/>
      <c r="D511" s="54"/>
      <c r="E511" s="50"/>
      <c r="F511" s="50"/>
      <c r="G511" s="50"/>
      <c r="H511" s="50"/>
      <c r="I511" s="50"/>
      <c r="J511" s="50"/>
      <c r="K511" s="50"/>
      <c r="L511" s="50"/>
      <c r="M511" s="50"/>
      <c r="N511" s="51"/>
      <c r="O511" s="51"/>
      <c r="P511" s="52"/>
      <c r="Q511" s="55"/>
      <c r="R511" s="55"/>
      <c r="S511" s="55"/>
      <c r="T511" s="55"/>
      <c r="U511" s="55"/>
      <c r="W511" s="27"/>
      <c r="Z511" s="27"/>
      <c r="AA511" s="27"/>
      <c r="AB511" s="27"/>
      <c r="AC511" s="27"/>
      <c r="AD511" s="13"/>
      <c r="AE511" s="13"/>
      <c r="AF511" s="13"/>
      <c r="AG511" s="27"/>
      <c r="AH511" s="27"/>
      <c r="AI511" s="27"/>
      <c r="AJ511" s="27"/>
      <c r="CL511" s="27"/>
    </row>
    <row r="512" spans="2:90" s="18" customFormat="1" ht="14.1" customHeight="1" x14ac:dyDescent="0.2">
      <c r="B512" s="54"/>
      <c r="C512" s="54"/>
      <c r="D512" s="54"/>
      <c r="E512" s="50"/>
      <c r="F512" s="50"/>
      <c r="G512" s="50"/>
      <c r="H512" s="50"/>
      <c r="I512" s="50"/>
      <c r="J512" s="50"/>
      <c r="K512" s="50"/>
      <c r="L512" s="50"/>
      <c r="M512" s="50"/>
      <c r="N512" s="51"/>
      <c r="O512" s="51"/>
      <c r="P512" s="52"/>
      <c r="Q512" s="55"/>
      <c r="R512" s="55"/>
      <c r="S512" s="55"/>
      <c r="T512" s="55"/>
      <c r="U512" s="55"/>
      <c r="W512" s="27"/>
      <c r="Z512" s="27"/>
      <c r="AA512" s="27"/>
      <c r="AB512" s="27"/>
      <c r="AC512" s="27"/>
      <c r="AD512" s="13"/>
      <c r="AE512" s="13"/>
      <c r="AF512" s="13"/>
      <c r="AG512" s="27"/>
      <c r="AH512" s="27"/>
      <c r="AI512" s="27"/>
      <c r="AJ512" s="27"/>
      <c r="CL512" s="27"/>
    </row>
    <row r="513" spans="2:90" s="18" customFormat="1" ht="14.1" customHeight="1" x14ac:dyDescent="0.2">
      <c r="B513" s="54"/>
      <c r="C513" s="54"/>
      <c r="D513" s="54"/>
      <c r="E513" s="50"/>
      <c r="F513" s="50"/>
      <c r="G513" s="50"/>
      <c r="H513" s="50"/>
      <c r="I513" s="50"/>
      <c r="J513" s="50"/>
      <c r="K513" s="50"/>
      <c r="L513" s="50"/>
      <c r="M513" s="50"/>
      <c r="N513" s="51"/>
      <c r="O513" s="51"/>
      <c r="P513" s="52"/>
      <c r="Q513" s="55"/>
      <c r="R513" s="55"/>
      <c r="S513" s="55"/>
      <c r="T513" s="55"/>
      <c r="U513" s="55"/>
      <c r="W513" s="27"/>
      <c r="Z513" s="27"/>
      <c r="AA513" s="27"/>
      <c r="AB513" s="27"/>
      <c r="AC513" s="27"/>
      <c r="AD513" s="13"/>
      <c r="AE513" s="13"/>
      <c r="AF513" s="13"/>
      <c r="AG513" s="27"/>
      <c r="AH513" s="27"/>
      <c r="AI513" s="27"/>
      <c r="AJ513" s="27"/>
      <c r="CL513" s="27"/>
    </row>
    <row r="514" spans="2:90" s="18" customFormat="1" ht="14.1" customHeight="1" x14ac:dyDescent="0.2">
      <c r="B514" s="54"/>
      <c r="C514" s="54"/>
      <c r="D514" s="54"/>
      <c r="E514" s="50"/>
      <c r="F514" s="50"/>
      <c r="G514" s="50"/>
      <c r="H514" s="50"/>
      <c r="I514" s="50"/>
      <c r="J514" s="50"/>
      <c r="K514" s="50"/>
      <c r="L514" s="50"/>
      <c r="M514" s="50"/>
      <c r="N514" s="51"/>
      <c r="O514" s="51"/>
      <c r="P514" s="52"/>
      <c r="Q514" s="55"/>
      <c r="R514" s="55"/>
      <c r="S514" s="55"/>
      <c r="T514" s="55"/>
      <c r="U514" s="55"/>
      <c r="W514" s="27"/>
      <c r="Z514" s="27"/>
      <c r="AA514" s="27"/>
      <c r="AB514" s="27"/>
      <c r="AC514" s="27"/>
      <c r="AD514" s="13"/>
      <c r="AE514" s="13"/>
      <c r="AF514" s="13"/>
      <c r="AG514" s="27"/>
      <c r="AH514" s="27"/>
      <c r="AI514" s="27"/>
      <c r="AJ514" s="27"/>
      <c r="CL514" s="27"/>
    </row>
    <row r="515" spans="2:90" s="18" customFormat="1" ht="14.1" customHeight="1" x14ac:dyDescent="0.2">
      <c r="B515" s="54"/>
      <c r="C515" s="54"/>
      <c r="D515" s="54"/>
      <c r="E515" s="50"/>
      <c r="F515" s="50"/>
      <c r="G515" s="50"/>
      <c r="H515" s="50"/>
      <c r="I515" s="50"/>
      <c r="J515" s="50"/>
      <c r="K515" s="50"/>
      <c r="L515" s="50"/>
      <c r="M515" s="50"/>
      <c r="N515" s="51"/>
      <c r="O515" s="51"/>
      <c r="P515" s="52"/>
      <c r="Q515" s="55"/>
      <c r="R515" s="55"/>
      <c r="S515" s="55"/>
      <c r="T515" s="55"/>
      <c r="U515" s="55"/>
      <c r="W515" s="27"/>
      <c r="Z515" s="27"/>
      <c r="AA515" s="27"/>
      <c r="AB515" s="27"/>
      <c r="AC515" s="27"/>
      <c r="AD515" s="13"/>
      <c r="AE515" s="13"/>
      <c r="AF515" s="13"/>
      <c r="AG515" s="27"/>
      <c r="AH515" s="27"/>
      <c r="AI515" s="27"/>
      <c r="AJ515" s="27"/>
      <c r="CL515" s="27"/>
    </row>
    <row r="516" spans="2:90" s="18" customFormat="1" ht="14.1" customHeight="1" x14ac:dyDescent="0.2">
      <c r="B516" s="54"/>
      <c r="C516" s="54"/>
      <c r="D516" s="54"/>
      <c r="E516" s="50"/>
      <c r="F516" s="50"/>
      <c r="G516" s="50"/>
      <c r="H516" s="50"/>
      <c r="I516" s="50"/>
      <c r="J516" s="50"/>
      <c r="K516" s="50"/>
      <c r="L516" s="50"/>
      <c r="M516" s="50"/>
      <c r="N516" s="51"/>
      <c r="O516" s="51"/>
      <c r="P516" s="52"/>
      <c r="Q516" s="55"/>
      <c r="R516" s="55"/>
      <c r="S516" s="55"/>
      <c r="T516" s="55"/>
      <c r="U516" s="55"/>
      <c r="W516" s="27"/>
      <c r="Z516" s="27"/>
      <c r="AA516" s="27"/>
      <c r="AB516" s="27"/>
      <c r="AC516" s="27"/>
      <c r="AD516" s="13"/>
      <c r="AE516" s="13"/>
      <c r="AF516" s="13"/>
      <c r="AG516" s="27"/>
      <c r="AH516" s="27"/>
      <c r="AI516" s="27"/>
      <c r="AJ516" s="27"/>
      <c r="CL516" s="27"/>
    </row>
    <row r="517" spans="2:90" s="18" customFormat="1" ht="14.1" customHeight="1" x14ac:dyDescent="0.2">
      <c r="B517" s="54"/>
      <c r="C517" s="54"/>
      <c r="D517" s="54"/>
      <c r="E517" s="50"/>
      <c r="F517" s="50"/>
      <c r="G517" s="50"/>
      <c r="H517" s="50"/>
      <c r="I517" s="50"/>
      <c r="J517" s="50"/>
      <c r="K517" s="50"/>
      <c r="L517" s="50"/>
      <c r="M517" s="50"/>
      <c r="N517" s="51"/>
      <c r="O517" s="51"/>
      <c r="P517" s="52"/>
      <c r="Q517" s="55"/>
      <c r="R517" s="55"/>
      <c r="S517" s="55"/>
      <c r="T517" s="55"/>
      <c r="U517" s="55"/>
      <c r="W517" s="27"/>
      <c r="Z517" s="27"/>
      <c r="AA517" s="27"/>
      <c r="AB517" s="27"/>
      <c r="AC517" s="27"/>
      <c r="AD517" s="13"/>
      <c r="AE517" s="13"/>
      <c r="AF517" s="13"/>
      <c r="AG517" s="27"/>
      <c r="AH517" s="27"/>
      <c r="AI517" s="27"/>
      <c r="AJ517" s="27"/>
      <c r="CL517" s="27"/>
    </row>
    <row r="518" spans="2:90" s="18" customFormat="1" ht="14.1" customHeight="1" x14ac:dyDescent="0.2">
      <c r="B518" s="54"/>
      <c r="C518" s="54"/>
      <c r="D518" s="54"/>
      <c r="E518" s="50"/>
      <c r="F518" s="50"/>
      <c r="G518" s="50"/>
      <c r="H518" s="50"/>
      <c r="I518" s="50"/>
      <c r="J518" s="50"/>
      <c r="K518" s="50"/>
      <c r="L518" s="50"/>
      <c r="M518" s="50"/>
      <c r="N518" s="51"/>
      <c r="O518" s="51"/>
      <c r="P518" s="52"/>
      <c r="Q518" s="55"/>
      <c r="R518" s="55"/>
      <c r="S518" s="55"/>
      <c r="T518" s="55"/>
      <c r="U518" s="55"/>
      <c r="W518" s="27"/>
      <c r="Z518" s="27"/>
      <c r="AA518" s="27"/>
      <c r="AB518" s="27"/>
      <c r="AC518" s="27"/>
      <c r="AD518" s="13"/>
      <c r="AE518" s="13"/>
      <c r="AF518" s="13"/>
      <c r="AG518" s="27"/>
      <c r="AH518" s="27"/>
      <c r="AI518" s="27"/>
      <c r="AJ518" s="27"/>
      <c r="CL518" s="27"/>
    </row>
    <row r="519" spans="2:90" s="18" customFormat="1" ht="14.1" customHeight="1" x14ac:dyDescent="0.2">
      <c r="B519" s="54"/>
      <c r="C519" s="54"/>
      <c r="D519" s="54"/>
      <c r="E519" s="50"/>
      <c r="F519" s="50"/>
      <c r="G519" s="50"/>
      <c r="H519" s="50"/>
      <c r="I519" s="50"/>
      <c r="J519" s="50"/>
      <c r="K519" s="50"/>
      <c r="L519" s="50"/>
      <c r="M519" s="50"/>
      <c r="N519" s="51"/>
      <c r="O519" s="51"/>
      <c r="P519" s="52"/>
      <c r="Q519" s="55"/>
      <c r="R519" s="55"/>
      <c r="S519" s="55"/>
      <c r="T519" s="55"/>
      <c r="U519" s="55"/>
      <c r="W519" s="27"/>
      <c r="Z519" s="27"/>
      <c r="AA519" s="27"/>
      <c r="AB519" s="27"/>
      <c r="AC519" s="27"/>
      <c r="AD519" s="13"/>
      <c r="AE519" s="13"/>
      <c r="AF519" s="13"/>
      <c r="AG519" s="27"/>
      <c r="AH519" s="27"/>
      <c r="AI519" s="27"/>
      <c r="AJ519" s="27"/>
      <c r="CL519" s="27"/>
    </row>
    <row r="520" spans="2:90" s="18" customFormat="1" ht="14.1" customHeight="1" x14ac:dyDescent="0.2">
      <c r="B520" s="54"/>
      <c r="C520" s="54"/>
      <c r="D520" s="54"/>
      <c r="E520" s="50"/>
      <c r="F520" s="50"/>
      <c r="G520" s="50"/>
      <c r="H520" s="50"/>
      <c r="I520" s="50"/>
      <c r="J520" s="50"/>
      <c r="K520" s="50"/>
      <c r="L520" s="50"/>
      <c r="M520" s="50"/>
      <c r="N520" s="51"/>
      <c r="O520" s="51"/>
      <c r="P520" s="52"/>
      <c r="Q520" s="55"/>
      <c r="R520" s="55"/>
      <c r="S520" s="55"/>
      <c r="T520" s="55"/>
      <c r="U520" s="55"/>
      <c r="W520" s="27"/>
      <c r="Z520" s="27"/>
      <c r="AA520" s="27"/>
      <c r="AB520" s="27"/>
      <c r="AC520" s="27"/>
      <c r="AD520" s="13"/>
      <c r="AE520" s="13"/>
      <c r="AF520" s="13"/>
      <c r="AG520" s="27"/>
      <c r="AH520" s="27"/>
      <c r="AI520" s="27"/>
      <c r="AJ520" s="27"/>
      <c r="CL520" s="27"/>
    </row>
    <row r="521" spans="2:90" s="18" customFormat="1" ht="14.1" customHeight="1" x14ac:dyDescent="0.2">
      <c r="B521" s="54"/>
      <c r="C521" s="54"/>
      <c r="D521" s="54"/>
      <c r="E521" s="50"/>
      <c r="F521" s="50"/>
      <c r="G521" s="50"/>
      <c r="H521" s="50"/>
      <c r="I521" s="50"/>
      <c r="J521" s="50"/>
      <c r="K521" s="50"/>
      <c r="L521" s="50"/>
      <c r="M521" s="50"/>
      <c r="N521" s="51"/>
      <c r="O521" s="51"/>
      <c r="P521" s="52"/>
      <c r="Q521" s="55"/>
      <c r="R521" s="55"/>
      <c r="S521" s="55"/>
      <c r="T521" s="55"/>
      <c r="U521" s="55"/>
      <c r="W521" s="27"/>
      <c r="Z521" s="27"/>
      <c r="AA521" s="27"/>
      <c r="AB521" s="27"/>
      <c r="AC521" s="27"/>
      <c r="AD521" s="13"/>
      <c r="AE521" s="13"/>
      <c r="AF521" s="13"/>
      <c r="AG521" s="27"/>
      <c r="AH521" s="27"/>
      <c r="AI521" s="27"/>
      <c r="AJ521" s="27"/>
      <c r="CL521" s="27"/>
    </row>
    <row r="522" spans="2:90" s="18" customFormat="1" ht="14.1" customHeight="1" x14ac:dyDescent="0.2">
      <c r="B522" s="54"/>
      <c r="C522" s="54"/>
      <c r="D522" s="54"/>
      <c r="E522" s="50"/>
      <c r="F522" s="50"/>
      <c r="G522" s="50"/>
      <c r="H522" s="50"/>
      <c r="I522" s="50"/>
      <c r="J522" s="50"/>
      <c r="K522" s="50"/>
      <c r="L522" s="50"/>
      <c r="M522" s="50"/>
      <c r="N522" s="51"/>
      <c r="O522" s="51"/>
      <c r="P522" s="52"/>
      <c r="Q522" s="55"/>
      <c r="R522" s="55"/>
      <c r="S522" s="55"/>
      <c r="T522" s="55"/>
      <c r="U522" s="55"/>
      <c r="W522" s="27"/>
      <c r="Z522" s="27"/>
      <c r="AA522" s="27"/>
      <c r="AB522" s="27"/>
      <c r="AC522" s="27"/>
      <c r="AD522" s="13"/>
      <c r="AE522" s="13"/>
      <c r="AF522" s="13"/>
      <c r="AG522" s="27"/>
      <c r="AH522" s="27"/>
      <c r="AI522" s="27"/>
      <c r="AJ522" s="27"/>
      <c r="CL522" s="27"/>
    </row>
    <row r="523" spans="2:90" s="18" customFormat="1" ht="14.1" customHeight="1" x14ac:dyDescent="0.2">
      <c r="B523" s="54"/>
      <c r="C523" s="54"/>
      <c r="D523" s="54"/>
      <c r="E523" s="50"/>
      <c r="F523" s="50"/>
      <c r="G523" s="50"/>
      <c r="H523" s="50"/>
      <c r="I523" s="50"/>
      <c r="J523" s="50"/>
      <c r="K523" s="50"/>
      <c r="L523" s="50"/>
      <c r="M523" s="50"/>
      <c r="N523" s="51"/>
      <c r="O523" s="51"/>
      <c r="P523" s="52"/>
      <c r="Q523" s="55"/>
      <c r="R523" s="55"/>
      <c r="S523" s="55"/>
      <c r="T523" s="55"/>
      <c r="U523" s="55"/>
      <c r="W523" s="27"/>
      <c r="Z523" s="27"/>
      <c r="AA523" s="27"/>
      <c r="AB523" s="27"/>
      <c r="AC523" s="27"/>
      <c r="AD523" s="13"/>
      <c r="AE523" s="13"/>
      <c r="AF523" s="13"/>
      <c r="AG523" s="27"/>
      <c r="AH523" s="27"/>
      <c r="AI523" s="27"/>
      <c r="AJ523" s="27"/>
      <c r="CL523" s="27"/>
    </row>
    <row r="524" spans="2:90" s="18" customFormat="1" ht="14.1" customHeight="1" x14ac:dyDescent="0.2">
      <c r="B524" s="54"/>
      <c r="C524" s="54"/>
      <c r="D524" s="54"/>
      <c r="E524" s="50"/>
      <c r="F524" s="50"/>
      <c r="G524" s="50"/>
      <c r="H524" s="50"/>
      <c r="I524" s="50"/>
      <c r="J524" s="50"/>
      <c r="K524" s="50"/>
      <c r="L524" s="50"/>
      <c r="M524" s="50"/>
      <c r="N524" s="51"/>
      <c r="O524" s="51"/>
      <c r="P524" s="52"/>
      <c r="Q524" s="55"/>
      <c r="R524" s="55"/>
      <c r="S524" s="55"/>
      <c r="T524" s="55"/>
      <c r="U524" s="55"/>
      <c r="W524" s="27"/>
      <c r="Z524" s="27"/>
      <c r="AA524" s="27"/>
      <c r="AB524" s="27"/>
      <c r="AC524" s="27"/>
      <c r="AD524" s="13"/>
      <c r="AE524" s="13"/>
      <c r="AF524" s="13"/>
      <c r="AG524" s="27"/>
      <c r="AH524" s="27"/>
      <c r="AI524" s="27"/>
      <c r="AJ524" s="27"/>
      <c r="CL524" s="27"/>
    </row>
    <row r="525" spans="2:90" s="18" customFormat="1" ht="14.1" customHeight="1" x14ac:dyDescent="0.2">
      <c r="B525" s="54"/>
      <c r="C525" s="54"/>
      <c r="D525" s="54"/>
      <c r="E525" s="50"/>
      <c r="F525" s="50"/>
      <c r="G525" s="50"/>
      <c r="H525" s="50"/>
      <c r="I525" s="50"/>
      <c r="J525" s="50"/>
      <c r="K525" s="50"/>
      <c r="L525" s="50"/>
      <c r="M525" s="50"/>
      <c r="N525" s="51"/>
      <c r="O525" s="51"/>
      <c r="P525" s="52"/>
      <c r="Q525" s="55"/>
      <c r="R525" s="55"/>
      <c r="S525" s="55"/>
      <c r="T525" s="55"/>
      <c r="U525" s="55"/>
      <c r="W525" s="27"/>
      <c r="Z525" s="27"/>
      <c r="AA525" s="27"/>
      <c r="AB525" s="27"/>
      <c r="AC525" s="27"/>
      <c r="AD525" s="13"/>
      <c r="AE525" s="13"/>
      <c r="AF525" s="13"/>
      <c r="AG525" s="27"/>
      <c r="AH525" s="27"/>
      <c r="AI525" s="27"/>
      <c r="AJ525" s="27"/>
      <c r="CL525" s="27"/>
    </row>
    <row r="526" spans="2:90" s="18" customFormat="1" ht="14.1" customHeight="1" x14ac:dyDescent="0.2">
      <c r="B526" s="54"/>
      <c r="C526" s="54"/>
      <c r="D526" s="54"/>
      <c r="E526" s="50"/>
      <c r="F526" s="50"/>
      <c r="G526" s="50"/>
      <c r="H526" s="50"/>
      <c r="I526" s="50"/>
      <c r="J526" s="50"/>
      <c r="K526" s="50"/>
      <c r="L526" s="50"/>
      <c r="M526" s="50"/>
      <c r="N526" s="51"/>
      <c r="O526" s="51"/>
      <c r="P526" s="52"/>
      <c r="Q526" s="55"/>
      <c r="R526" s="55"/>
      <c r="S526" s="55"/>
      <c r="T526" s="55"/>
      <c r="U526" s="55"/>
      <c r="W526" s="27"/>
      <c r="Z526" s="27"/>
      <c r="AA526" s="27"/>
      <c r="AB526" s="27"/>
      <c r="AC526" s="27"/>
      <c r="AD526" s="13"/>
      <c r="AE526" s="13"/>
      <c r="AF526" s="13"/>
      <c r="AG526" s="27"/>
      <c r="AH526" s="27"/>
      <c r="AI526" s="27"/>
      <c r="AJ526" s="27"/>
      <c r="CL526" s="27"/>
    </row>
    <row r="527" spans="2:90" s="18" customFormat="1" ht="14.1" customHeight="1" x14ac:dyDescent="0.2">
      <c r="B527" s="54"/>
      <c r="C527" s="54"/>
      <c r="D527" s="54"/>
      <c r="E527" s="50"/>
      <c r="F527" s="50"/>
      <c r="G527" s="50"/>
      <c r="H527" s="50"/>
      <c r="I527" s="50"/>
      <c r="J527" s="50"/>
      <c r="K527" s="50"/>
      <c r="L527" s="50"/>
      <c r="M527" s="50"/>
      <c r="N527" s="51"/>
      <c r="O527" s="51"/>
      <c r="P527" s="52"/>
      <c r="Q527" s="55"/>
      <c r="R527" s="55"/>
      <c r="S527" s="55"/>
      <c r="T527" s="55"/>
      <c r="U527" s="55"/>
      <c r="W527" s="27"/>
      <c r="Z527" s="27"/>
      <c r="AA527" s="27"/>
      <c r="AB527" s="27"/>
      <c r="AC527" s="27"/>
      <c r="AD527" s="13"/>
      <c r="AE527" s="13"/>
      <c r="AF527" s="13"/>
      <c r="AG527" s="27"/>
      <c r="AH527" s="27"/>
      <c r="AI527" s="27"/>
      <c r="AJ527" s="27"/>
      <c r="CL527" s="27"/>
    </row>
    <row r="528" spans="2:90" s="18" customFormat="1" ht="14.1" customHeight="1" x14ac:dyDescent="0.2">
      <c r="B528" s="54"/>
      <c r="C528" s="54"/>
      <c r="D528" s="54"/>
      <c r="E528" s="50"/>
      <c r="F528" s="50"/>
      <c r="G528" s="50"/>
      <c r="H528" s="50"/>
      <c r="I528" s="50"/>
      <c r="J528" s="50"/>
      <c r="K528" s="50"/>
      <c r="L528" s="50"/>
      <c r="M528" s="50"/>
      <c r="N528" s="51"/>
      <c r="O528" s="51"/>
      <c r="P528" s="52"/>
      <c r="Q528" s="55"/>
      <c r="R528" s="55"/>
      <c r="S528" s="55"/>
      <c r="T528" s="55"/>
      <c r="U528" s="55"/>
      <c r="W528" s="27"/>
      <c r="Z528" s="27"/>
      <c r="AA528" s="27"/>
      <c r="AB528" s="27"/>
      <c r="AC528" s="27"/>
      <c r="AD528" s="13"/>
      <c r="AE528" s="13"/>
      <c r="AF528" s="13"/>
      <c r="AG528" s="27"/>
      <c r="AH528" s="27"/>
      <c r="AI528" s="27"/>
      <c r="AJ528" s="27"/>
      <c r="CL528" s="27"/>
    </row>
    <row r="529" spans="2:90" s="18" customFormat="1" ht="14.1" customHeight="1" x14ac:dyDescent="0.2">
      <c r="B529" s="54"/>
      <c r="C529" s="54"/>
      <c r="D529" s="54"/>
      <c r="E529" s="50"/>
      <c r="F529" s="50"/>
      <c r="G529" s="50"/>
      <c r="H529" s="50"/>
      <c r="I529" s="50"/>
      <c r="J529" s="50"/>
      <c r="K529" s="50"/>
      <c r="L529" s="50"/>
      <c r="M529" s="50"/>
      <c r="N529" s="51"/>
      <c r="O529" s="51"/>
      <c r="P529" s="52"/>
      <c r="Q529" s="55"/>
      <c r="R529" s="55"/>
      <c r="S529" s="55"/>
      <c r="T529" s="55"/>
      <c r="U529" s="55"/>
      <c r="W529" s="27"/>
      <c r="Z529" s="27"/>
      <c r="AA529" s="27"/>
      <c r="AB529" s="27"/>
      <c r="AC529" s="27"/>
      <c r="AD529" s="13"/>
      <c r="AE529" s="13"/>
      <c r="AF529" s="13"/>
      <c r="AG529" s="27"/>
      <c r="AH529" s="27"/>
      <c r="AI529" s="27"/>
      <c r="AJ529" s="27"/>
      <c r="CL529" s="27"/>
    </row>
    <row r="530" spans="2:90" s="18" customFormat="1" ht="14.1" customHeight="1" x14ac:dyDescent="0.2">
      <c r="B530" s="54"/>
      <c r="C530" s="54"/>
      <c r="D530" s="54"/>
      <c r="E530" s="50"/>
      <c r="F530" s="50"/>
      <c r="G530" s="50"/>
      <c r="H530" s="50"/>
      <c r="I530" s="50"/>
      <c r="J530" s="50"/>
      <c r="K530" s="50"/>
      <c r="L530" s="50"/>
      <c r="M530" s="50"/>
      <c r="N530" s="51"/>
      <c r="O530" s="51"/>
      <c r="P530" s="52"/>
      <c r="Q530" s="55"/>
      <c r="R530" s="55"/>
      <c r="S530" s="55"/>
      <c r="T530" s="55"/>
      <c r="U530" s="55"/>
      <c r="W530" s="27"/>
      <c r="Z530" s="27"/>
      <c r="AA530" s="27"/>
      <c r="AB530" s="27"/>
      <c r="AC530" s="27"/>
      <c r="AD530" s="13"/>
      <c r="AE530" s="13"/>
      <c r="AF530" s="13"/>
      <c r="AG530" s="27"/>
      <c r="AH530" s="27"/>
      <c r="AI530" s="27"/>
      <c r="AJ530" s="27"/>
      <c r="CL530" s="27"/>
    </row>
    <row r="531" spans="2:90" s="18" customFormat="1" ht="14.1" customHeight="1" x14ac:dyDescent="0.2">
      <c r="B531" s="54"/>
      <c r="C531" s="54"/>
      <c r="D531" s="54"/>
      <c r="E531" s="50"/>
      <c r="F531" s="50"/>
      <c r="G531" s="50"/>
      <c r="H531" s="50"/>
      <c r="I531" s="50"/>
      <c r="J531" s="50"/>
      <c r="K531" s="50"/>
      <c r="L531" s="50"/>
      <c r="M531" s="50"/>
      <c r="N531" s="51"/>
      <c r="O531" s="51"/>
      <c r="P531" s="52"/>
      <c r="Q531" s="55"/>
      <c r="R531" s="55"/>
      <c r="S531" s="55"/>
      <c r="T531" s="55"/>
      <c r="U531" s="55"/>
      <c r="W531" s="27"/>
      <c r="Z531" s="27"/>
      <c r="AA531" s="27"/>
      <c r="AB531" s="27"/>
      <c r="AC531" s="27"/>
      <c r="AD531" s="13"/>
      <c r="AE531" s="13"/>
      <c r="AF531" s="13"/>
      <c r="AG531" s="27"/>
      <c r="AH531" s="27"/>
      <c r="AI531" s="27"/>
      <c r="AJ531" s="27"/>
      <c r="CL531" s="27"/>
    </row>
    <row r="532" spans="2:90" s="18" customFormat="1" ht="14.1" customHeight="1" x14ac:dyDescent="0.2">
      <c r="B532" s="54"/>
      <c r="C532" s="54"/>
      <c r="D532" s="54"/>
      <c r="E532" s="50"/>
      <c r="F532" s="50"/>
      <c r="G532" s="50"/>
      <c r="H532" s="50"/>
      <c r="I532" s="50"/>
      <c r="J532" s="50"/>
      <c r="K532" s="50"/>
      <c r="L532" s="50"/>
      <c r="M532" s="50"/>
      <c r="N532" s="51"/>
      <c r="O532" s="51"/>
      <c r="P532" s="52"/>
      <c r="Q532" s="55"/>
      <c r="R532" s="55"/>
      <c r="S532" s="55"/>
      <c r="T532" s="55"/>
      <c r="U532" s="55"/>
      <c r="W532" s="27"/>
      <c r="Z532" s="27"/>
      <c r="AA532" s="27"/>
      <c r="AB532" s="27"/>
      <c r="AC532" s="27"/>
      <c r="AD532" s="13"/>
      <c r="AE532" s="13"/>
      <c r="AF532" s="13"/>
      <c r="AG532" s="27"/>
      <c r="AH532" s="27"/>
      <c r="AI532" s="27"/>
      <c r="AJ532" s="27"/>
      <c r="CL532" s="27"/>
    </row>
    <row r="533" spans="2:90" s="18" customFormat="1" ht="14.1" customHeight="1" x14ac:dyDescent="0.2">
      <c r="B533" s="54"/>
      <c r="C533" s="54"/>
      <c r="D533" s="54"/>
      <c r="E533" s="50"/>
      <c r="F533" s="50"/>
      <c r="G533" s="50"/>
      <c r="H533" s="50"/>
      <c r="I533" s="50"/>
      <c r="J533" s="50"/>
      <c r="K533" s="50"/>
      <c r="L533" s="50"/>
      <c r="M533" s="50"/>
      <c r="N533" s="51"/>
      <c r="O533" s="51"/>
      <c r="P533" s="52"/>
      <c r="Q533" s="55"/>
      <c r="R533" s="55"/>
      <c r="S533" s="55"/>
      <c r="T533" s="55"/>
      <c r="U533" s="55"/>
      <c r="W533" s="27"/>
      <c r="Z533" s="27"/>
      <c r="AA533" s="27"/>
      <c r="AB533" s="27"/>
      <c r="AC533" s="27"/>
      <c r="AD533" s="13"/>
      <c r="AE533" s="13"/>
      <c r="AF533" s="13"/>
      <c r="AG533" s="27"/>
      <c r="AH533" s="27"/>
      <c r="AI533" s="27"/>
      <c r="AJ533" s="27"/>
      <c r="CL533" s="27"/>
    </row>
    <row r="534" spans="2:90" s="18" customFormat="1" ht="14.1" customHeight="1" x14ac:dyDescent="0.2">
      <c r="B534" s="54"/>
      <c r="C534" s="54"/>
      <c r="D534" s="54"/>
      <c r="E534" s="50"/>
      <c r="F534" s="50"/>
      <c r="G534" s="50"/>
      <c r="H534" s="50"/>
      <c r="I534" s="50"/>
      <c r="J534" s="50"/>
      <c r="K534" s="50"/>
      <c r="L534" s="50"/>
      <c r="M534" s="50"/>
      <c r="N534" s="51"/>
      <c r="O534" s="51"/>
      <c r="P534" s="52"/>
      <c r="Q534" s="55"/>
      <c r="R534" s="55"/>
      <c r="S534" s="55"/>
      <c r="T534" s="55"/>
      <c r="U534" s="55"/>
      <c r="W534" s="27"/>
      <c r="Z534" s="27"/>
      <c r="AA534" s="27"/>
      <c r="AB534" s="27"/>
      <c r="AC534" s="27"/>
      <c r="AD534" s="13"/>
      <c r="AE534" s="13"/>
      <c r="AF534" s="13"/>
      <c r="AG534" s="27"/>
      <c r="AH534" s="27"/>
      <c r="AI534" s="27"/>
      <c r="AJ534" s="27"/>
      <c r="CL534" s="27"/>
    </row>
    <row r="535" spans="2:90" s="18" customFormat="1" ht="14.1" customHeight="1" x14ac:dyDescent="0.2">
      <c r="B535" s="54"/>
      <c r="C535" s="54"/>
      <c r="D535" s="54"/>
      <c r="E535" s="50"/>
      <c r="F535" s="50"/>
      <c r="G535" s="50"/>
      <c r="H535" s="50"/>
      <c r="I535" s="50"/>
      <c r="J535" s="50"/>
      <c r="K535" s="50"/>
      <c r="L535" s="50"/>
      <c r="M535" s="50"/>
      <c r="N535" s="51"/>
      <c r="O535" s="51"/>
      <c r="P535" s="52"/>
      <c r="Q535" s="55"/>
      <c r="R535" s="55"/>
      <c r="S535" s="55"/>
      <c r="T535" s="55"/>
      <c r="U535" s="55"/>
      <c r="W535" s="27"/>
      <c r="Z535" s="27"/>
      <c r="AA535" s="27"/>
      <c r="AB535" s="27"/>
      <c r="AC535" s="27"/>
      <c r="AD535" s="13"/>
      <c r="AE535" s="13"/>
      <c r="AF535" s="13"/>
      <c r="AG535" s="27"/>
      <c r="AH535" s="27"/>
      <c r="AI535" s="27"/>
      <c r="AJ535" s="27"/>
      <c r="CL535" s="27"/>
    </row>
    <row r="536" spans="2:90" s="18" customFormat="1" ht="14.1" customHeight="1" x14ac:dyDescent="0.2">
      <c r="B536" s="54"/>
      <c r="C536" s="54"/>
      <c r="D536" s="54"/>
      <c r="E536" s="50"/>
      <c r="F536" s="50"/>
      <c r="G536" s="50"/>
      <c r="H536" s="50"/>
      <c r="I536" s="50"/>
      <c r="J536" s="50"/>
      <c r="K536" s="50"/>
      <c r="L536" s="50"/>
      <c r="M536" s="50"/>
      <c r="N536" s="51"/>
      <c r="O536" s="51"/>
      <c r="P536" s="52"/>
      <c r="Q536" s="55"/>
      <c r="R536" s="55"/>
      <c r="S536" s="55"/>
      <c r="T536" s="55"/>
      <c r="U536" s="55"/>
      <c r="W536" s="27"/>
      <c r="Z536" s="27"/>
      <c r="AA536" s="27"/>
      <c r="AB536" s="27"/>
      <c r="AC536" s="27"/>
      <c r="AD536" s="13"/>
      <c r="AE536" s="13"/>
      <c r="AF536" s="13"/>
      <c r="AG536" s="27"/>
      <c r="AH536" s="27"/>
      <c r="AI536" s="27"/>
      <c r="AJ536" s="27"/>
      <c r="CL536" s="27"/>
    </row>
    <row r="537" spans="2:90" s="18" customFormat="1" ht="14.1" customHeight="1" x14ac:dyDescent="0.2">
      <c r="B537" s="54"/>
      <c r="C537" s="54"/>
      <c r="D537" s="54"/>
      <c r="E537" s="50"/>
      <c r="F537" s="50"/>
      <c r="G537" s="50"/>
      <c r="H537" s="50"/>
      <c r="I537" s="50"/>
      <c r="J537" s="50"/>
      <c r="K537" s="50"/>
      <c r="L537" s="50"/>
      <c r="M537" s="50"/>
      <c r="N537" s="51"/>
      <c r="O537" s="51"/>
      <c r="P537" s="52"/>
      <c r="Q537" s="55"/>
      <c r="R537" s="55"/>
      <c r="S537" s="55"/>
      <c r="T537" s="55"/>
      <c r="U537" s="55"/>
      <c r="W537" s="27"/>
      <c r="Z537" s="27"/>
      <c r="AA537" s="27"/>
      <c r="AB537" s="27"/>
      <c r="AC537" s="27"/>
      <c r="AD537" s="13"/>
      <c r="AE537" s="13"/>
      <c r="AF537" s="13"/>
      <c r="AG537" s="27"/>
      <c r="AH537" s="27"/>
      <c r="AI537" s="27"/>
      <c r="AJ537" s="27"/>
      <c r="CL537" s="27"/>
    </row>
    <row r="538" spans="2:90" s="18" customFormat="1" ht="14.1" customHeight="1" x14ac:dyDescent="0.2">
      <c r="B538" s="54"/>
      <c r="C538" s="54"/>
      <c r="D538" s="54"/>
      <c r="E538" s="50"/>
      <c r="F538" s="50"/>
      <c r="G538" s="50"/>
      <c r="H538" s="50"/>
      <c r="I538" s="50"/>
      <c r="J538" s="50"/>
      <c r="K538" s="50"/>
      <c r="L538" s="50"/>
      <c r="M538" s="50"/>
      <c r="N538" s="51"/>
      <c r="O538" s="51"/>
      <c r="P538" s="52"/>
      <c r="Q538" s="55"/>
      <c r="R538" s="55"/>
      <c r="S538" s="55"/>
      <c r="T538" s="55"/>
      <c r="U538" s="55"/>
      <c r="W538" s="27"/>
      <c r="Z538" s="27"/>
      <c r="AA538" s="27"/>
      <c r="AB538" s="27"/>
      <c r="AC538" s="27"/>
      <c r="AD538" s="13"/>
      <c r="AE538" s="13"/>
      <c r="AF538" s="13"/>
      <c r="AG538" s="27"/>
      <c r="AH538" s="27"/>
      <c r="AI538" s="27"/>
      <c r="AJ538" s="27"/>
      <c r="CL538" s="27"/>
    </row>
    <row r="539" spans="2:90" s="18" customFormat="1" ht="14.1" customHeight="1" x14ac:dyDescent="0.2">
      <c r="B539" s="54"/>
      <c r="C539" s="54"/>
      <c r="D539" s="54"/>
      <c r="E539" s="50"/>
      <c r="F539" s="50"/>
      <c r="G539" s="50"/>
      <c r="H539" s="50"/>
      <c r="I539" s="50"/>
      <c r="J539" s="50"/>
      <c r="K539" s="50"/>
      <c r="L539" s="50"/>
      <c r="M539" s="50"/>
      <c r="N539" s="51"/>
      <c r="O539" s="51"/>
      <c r="P539" s="52"/>
      <c r="Q539" s="55"/>
      <c r="R539" s="55"/>
      <c r="S539" s="55"/>
      <c r="T539" s="55"/>
      <c r="U539" s="55"/>
      <c r="W539" s="27"/>
      <c r="Z539" s="27"/>
      <c r="AA539" s="27"/>
      <c r="AB539" s="27"/>
      <c r="AC539" s="27"/>
      <c r="AD539" s="13"/>
      <c r="AE539" s="13"/>
      <c r="AF539" s="13"/>
      <c r="AG539" s="27"/>
      <c r="AH539" s="27"/>
      <c r="AI539" s="27"/>
      <c r="AJ539" s="27"/>
      <c r="CL539" s="27"/>
    </row>
    <row r="540" spans="2:90" s="18" customFormat="1" ht="14.1" customHeight="1" x14ac:dyDescent="0.2">
      <c r="B540" s="54"/>
      <c r="C540" s="54"/>
      <c r="D540" s="54"/>
      <c r="E540" s="50"/>
      <c r="F540" s="50"/>
      <c r="G540" s="50"/>
      <c r="H540" s="50"/>
      <c r="I540" s="50"/>
      <c r="J540" s="50"/>
      <c r="K540" s="50"/>
      <c r="L540" s="50"/>
      <c r="M540" s="50"/>
      <c r="N540" s="51"/>
      <c r="O540" s="51"/>
      <c r="P540" s="52"/>
      <c r="Q540" s="55"/>
      <c r="R540" s="55"/>
      <c r="S540" s="55"/>
      <c r="T540" s="55"/>
      <c r="U540" s="55"/>
      <c r="W540" s="27"/>
      <c r="Z540" s="27"/>
      <c r="AA540" s="27"/>
      <c r="AB540" s="27"/>
      <c r="AC540" s="27"/>
      <c r="AD540" s="13"/>
      <c r="AE540" s="13"/>
      <c r="AF540" s="13"/>
      <c r="AG540" s="27"/>
      <c r="AH540" s="27"/>
      <c r="AI540" s="27"/>
      <c r="AJ540" s="27"/>
      <c r="CL540" s="27"/>
    </row>
    <row r="541" spans="2:90" s="18" customFormat="1" ht="14.1" customHeight="1" x14ac:dyDescent="0.2">
      <c r="B541" s="54"/>
      <c r="C541" s="54"/>
      <c r="D541" s="54"/>
      <c r="E541" s="50"/>
      <c r="F541" s="50"/>
      <c r="G541" s="50"/>
      <c r="H541" s="50"/>
      <c r="I541" s="50"/>
      <c r="J541" s="50"/>
      <c r="K541" s="50"/>
      <c r="L541" s="50"/>
      <c r="M541" s="50"/>
      <c r="N541" s="51"/>
      <c r="O541" s="51"/>
      <c r="P541" s="52"/>
      <c r="Q541" s="55"/>
      <c r="R541" s="55"/>
      <c r="S541" s="55"/>
      <c r="T541" s="55"/>
      <c r="U541" s="55"/>
      <c r="W541" s="27"/>
      <c r="Z541" s="27"/>
      <c r="AA541" s="27"/>
      <c r="AB541" s="27"/>
      <c r="AC541" s="27"/>
      <c r="AD541" s="13"/>
      <c r="AE541" s="13"/>
      <c r="AF541" s="13"/>
      <c r="AG541" s="27"/>
      <c r="AH541" s="27"/>
      <c r="AI541" s="27"/>
      <c r="AJ541" s="27"/>
      <c r="CL541" s="27"/>
    </row>
    <row r="542" spans="2:90" s="18" customFormat="1" ht="14.1" customHeight="1" x14ac:dyDescent="0.2">
      <c r="B542" s="54"/>
      <c r="C542" s="54"/>
      <c r="D542" s="54"/>
      <c r="E542" s="50"/>
      <c r="F542" s="50"/>
      <c r="G542" s="50"/>
      <c r="H542" s="50"/>
      <c r="I542" s="50"/>
      <c r="J542" s="50"/>
      <c r="K542" s="50"/>
      <c r="L542" s="50"/>
      <c r="M542" s="50"/>
      <c r="N542" s="51"/>
      <c r="O542" s="51"/>
      <c r="P542" s="52"/>
      <c r="Q542" s="55"/>
      <c r="R542" s="55"/>
      <c r="S542" s="55"/>
      <c r="T542" s="55"/>
      <c r="U542" s="55"/>
      <c r="W542" s="27"/>
      <c r="Z542" s="27"/>
      <c r="AA542" s="27"/>
      <c r="AB542" s="27"/>
      <c r="AC542" s="27"/>
      <c r="AD542" s="13"/>
      <c r="AE542" s="13"/>
      <c r="AF542" s="13"/>
      <c r="AG542" s="27"/>
      <c r="AH542" s="27"/>
      <c r="AI542" s="27"/>
      <c r="AJ542" s="27"/>
      <c r="CL542" s="27"/>
    </row>
    <row r="543" spans="2:90" s="18" customFormat="1" ht="14.1" customHeight="1" x14ac:dyDescent="0.2">
      <c r="B543" s="54"/>
      <c r="C543" s="54"/>
      <c r="D543" s="54"/>
      <c r="E543" s="50"/>
      <c r="F543" s="50"/>
      <c r="G543" s="50"/>
      <c r="H543" s="50"/>
      <c r="I543" s="50"/>
      <c r="J543" s="50"/>
      <c r="K543" s="50"/>
      <c r="L543" s="50"/>
      <c r="M543" s="50"/>
      <c r="N543" s="51"/>
      <c r="O543" s="51"/>
      <c r="P543" s="52"/>
      <c r="Q543" s="55"/>
      <c r="R543" s="55"/>
      <c r="S543" s="55"/>
      <c r="T543" s="55"/>
      <c r="U543" s="55"/>
      <c r="W543" s="27"/>
      <c r="Z543" s="27"/>
      <c r="AA543" s="27"/>
      <c r="AB543" s="27"/>
      <c r="AC543" s="27"/>
      <c r="AD543" s="13"/>
      <c r="AE543" s="13"/>
      <c r="AF543" s="13"/>
      <c r="AG543" s="27"/>
      <c r="AH543" s="27"/>
      <c r="AI543" s="27"/>
      <c r="AJ543" s="27"/>
      <c r="CL543" s="27"/>
    </row>
    <row r="544" spans="2:90" s="18" customFormat="1" ht="14.1" customHeight="1" x14ac:dyDescent="0.2">
      <c r="B544" s="54"/>
      <c r="C544" s="54"/>
      <c r="D544" s="54"/>
      <c r="E544" s="50"/>
      <c r="F544" s="50"/>
      <c r="G544" s="50"/>
      <c r="H544" s="50"/>
      <c r="I544" s="50"/>
      <c r="J544" s="50"/>
      <c r="K544" s="50"/>
      <c r="L544" s="50"/>
      <c r="M544" s="50"/>
      <c r="N544" s="51"/>
      <c r="O544" s="51"/>
      <c r="P544" s="52"/>
      <c r="Q544" s="55"/>
      <c r="R544" s="55"/>
      <c r="S544" s="55"/>
      <c r="T544" s="55"/>
      <c r="U544" s="55"/>
      <c r="W544" s="27"/>
      <c r="Z544" s="27"/>
      <c r="AA544" s="27"/>
      <c r="AB544" s="27"/>
      <c r="AC544" s="27"/>
      <c r="AD544" s="13"/>
      <c r="AE544" s="13"/>
      <c r="AF544" s="13"/>
      <c r="AG544" s="27"/>
      <c r="AH544" s="27"/>
      <c r="AI544" s="27"/>
      <c r="AJ544" s="27"/>
      <c r="CL544" s="27"/>
    </row>
    <row r="545" spans="2:90" s="18" customFormat="1" ht="14.1" customHeight="1" x14ac:dyDescent="0.2">
      <c r="B545" s="54"/>
      <c r="C545" s="54"/>
      <c r="D545" s="54"/>
      <c r="E545" s="50"/>
      <c r="F545" s="50"/>
      <c r="G545" s="50"/>
      <c r="H545" s="50"/>
      <c r="I545" s="50"/>
      <c r="J545" s="50"/>
      <c r="K545" s="50"/>
      <c r="L545" s="50"/>
      <c r="M545" s="50"/>
      <c r="N545" s="51"/>
      <c r="O545" s="51"/>
      <c r="P545" s="52"/>
      <c r="Q545" s="55"/>
      <c r="R545" s="55"/>
      <c r="S545" s="55"/>
      <c r="T545" s="55"/>
      <c r="U545" s="55"/>
      <c r="W545" s="27"/>
      <c r="Z545" s="27"/>
      <c r="AA545" s="27"/>
      <c r="AB545" s="27"/>
      <c r="AC545" s="27"/>
      <c r="AD545" s="13"/>
      <c r="AE545" s="13"/>
      <c r="AF545" s="13"/>
      <c r="AG545" s="27"/>
      <c r="AH545" s="27"/>
      <c r="AI545" s="27"/>
      <c r="AJ545" s="27"/>
      <c r="CL545" s="27"/>
    </row>
    <row r="546" spans="2:90" s="18" customFormat="1" ht="14.1" customHeight="1" x14ac:dyDescent="0.2">
      <c r="B546" s="54"/>
      <c r="C546" s="54"/>
      <c r="D546" s="54"/>
      <c r="E546" s="50"/>
      <c r="F546" s="50"/>
      <c r="G546" s="50"/>
      <c r="H546" s="50"/>
      <c r="I546" s="50"/>
      <c r="J546" s="50"/>
      <c r="K546" s="50"/>
      <c r="L546" s="50"/>
      <c r="M546" s="50"/>
      <c r="N546" s="51"/>
      <c r="O546" s="51"/>
      <c r="P546" s="52"/>
      <c r="Q546" s="55"/>
      <c r="R546" s="55"/>
      <c r="S546" s="55"/>
      <c r="T546" s="55"/>
      <c r="U546" s="55"/>
      <c r="W546" s="27"/>
      <c r="Z546" s="27"/>
      <c r="AA546" s="27"/>
      <c r="AB546" s="27"/>
      <c r="AC546" s="27"/>
      <c r="AD546" s="13"/>
      <c r="AE546" s="13"/>
      <c r="AF546" s="13"/>
      <c r="AG546" s="27"/>
      <c r="AH546" s="27"/>
      <c r="AI546" s="27"/>
      <c r="AJ546" s="27"/>
      <c r="CL546" s="27"/>
    </row>
    <row r="547" spans="2:90" s="18" customFormat="1" ht="14.1" customHeight="1" x14ac:dyDescent="0.2">
      <c r="B547" s="54"/>
      <c r="C547" s="54"/>
      <c r="D547" s="54"/>
      <c r="E547" s="50"/>
      <c r="F547" s="50"/>
      <c r="G547" s="50"/>
      <c r="H547" s="50"/>
      <c r="I547" s="50"/>
      <c r="J547" s="50"/>
      <c r="K547" s="50"/>
      <c r="L547" s="50"/>
      <c r="M547" s="50"/>
      <c r="N547" s="51"/>
      <c r="O547" s="51"/>
      <c r="P547" s="52"/>
      <c r="Q547" s="55"/>
      <c r="R547" s="55"/>
      <c r="S547" s="55"/>
      <c r="T547" s="55"/>
      <c r="U547" s="55"/>
      <c r="W547" s="27"/>
      <c r="Z547" s="27"/>
      <c r="AA547" s="27"/>
      <c r="AB547" s="27"/>
      <c r="AC547" s="27"/>
      <c r="AD547" s="13"/>
      <c r="AE547" s="13"/>
      <c r="AF547" s="13"/>
      <c r="AG547" s="27"/>
      <c r="AH547" s="27"/>
      <c r="AI547" s="27"/>
      <c r="AJ547" s="27"/>
      <c r="CL547" s="27"/>
    </row>
    <row r="548" spans="2:90" s="18" customFormat="1" ht="14.1" customHeight="1" x14ac:dyDescent="0.2">
      <c r="B548" s="54"/>
      <c r="C548" s="54"/>
      <c r="D548" s="54"/>
      <c r="E548" s="50"/>
      <c r="F548" s="50"/>
      <c r="G548" s="50"/>
      <c r="H548" s="50"/>
      <c r="I548" s="50"/>
      <c r="J548" s="50"/>
      <c r="K548" s="50"/>
      <c r="L548" s="50"/>
      <c r="M548" s="50"/>
      <c r="N548" s="51"/>
      <c r="O548" s="51"/>
      <c r="P548" s="52"/>
      <c r="Q548" s="55"/>
      <c r="R548" s="55"/>
      <c r="S548" s="55"/>
      <c r="T548" s="55"/>
      <c r="U548" s="55"/>
      <c r="W548" s="27"/>
      <c r="Z548" s="27"/>
      <c r="AA548" s="27"/>
      <c r="AB548" s="27"/>
      <c r="AC548" s="27"/>
      <c r="AD548" s="13"/>
      <c r="AE548" s="13"/>
      <c r="AF548" s="13"/>
      <c r="AG548" s="27"/>
      <c r="AH548" s="27"/>
      <c r="AI548" s="27"/>
      <c r="AJ548" s="27"/>
      <c r="CL548" s="27"/>
    </row>
    <row r="549" spans="2:90" s="18" customFormat="1" ht="14.1" customHeight="1" x14ac:dyDescent="0.2">
      <c r="B549" s="54"/>
      <c r="C549" s="54"/>
      <c r="D549" s="54"/>
      <c r="E549" s="50"/>
      <c r="F549" s="50"/>
      <c r="G549" s="50"/>
      <c r="H549" s="50"/>
      <c r="I549" s="50"/>
      <c r="J549" s="50"/>
      <c r="K549" s="50"/>
      <c r="L549" s="50"/>
      <c r="M549" s="50"/>
      <c r="N549" s="51"/>
      <c r="O549" s="51"/>
      <c r="P549" s="52"/>
      <c r="Q549" s="55"/>
      <c r="R549" s="55"/>
      <c r="S549" s="55"/>
      <c r="T549" s="55"/>
      <c r="U549" s="55"/>
      <c r="W549" s="27"/>
      <c r="Z549" s="27"/>
      <c r="AA549" s="27"/>
      <c r="AB549" s="27"/>
      <c r="AC549" s="27"/>
      <c r="AD549" s="13"/>
      <c r="AE549" s="13"/>
      <c r="AF549" s="13"/>
      <c r="AG549" s="27"/>
      <c r="AH549" s="27"/>
      <c r="AI549" s="27"/>
      <c r="AJ549" s="27"/>
      <c r="CL549" s="27"/>
    </row>
    <row r="550" spans="2:90" s="18" customFormat="1" ht="14.1" customHeight="1" x14ac:dyDescent="0.2">
      <c r="B550" s="54"/>
      <c r="C550" s="54"/>
      <c r="D550" s="54"/>
      <c r="E550" s="50"/>
      <c r="F550" s="50"/>
      <c r="G550" s="50"/>
      <c r="H550" s="50"/>
      <c r="I550" s="50"/>
      <c r="J550" s="50"/>
      <c r="K550" s="50"/>
      <c r="L550" s="50"/>
      <c r="M550" s="50"/>
      <c r="N550" s="51"/>
      <c r="O550" s="51"/>
      <c r="P550" s="52"/>
      <c r="Q550" s="55"/>
      <c r="R550" s="55"/>
      <c r="S550" s="55"/>
      <c r="T550" s="55"/>
      <c r="U550" s="55"/>
      <c r="W550" s="27"/>
      <c r="Z550" s="27"/>
      <c r="AA550" s="27"/>
      <c r="AB550" s="27"/>
      <c r="AC550" s="27"/>
      <c r="AD550" s="13"/>
      <c r="AE550" s="13"/>
      <c r="AF550" s="13"/>
      <c r="AG550" s="27"/>
      <c r="AH550" s="27"/>
      <c r="AI550" s="27"/>
      <c r="AJ550" s="27"/>
      <c r="CL550" s="27"/>
    </row>
    <row r="551" spans="2:90" s="18" customFormat="1" ht="14.1" customHeight="1" x14ac:dyDescent="0.2">
      <c r="B551" s="54"/>
      <c r="C551" s="54"/>
      <c r="D551" s="54"/>
      <c r="E551" s="50"/>
      <c r="F551" s="50"/>
      <c r="G551" s="50"/>
      <c r="H551" s="50"/>
      <c r="I551" s="50"/>
      <c r="J551" s="50"/>
      <c r="K551" s="50"/>
      <c r="L551" s="50"/>
      <c r="M551" s="50"/>
      <c r="N551" s="51"/>
      <c r="O551" s="51"/>
      <c r="P551" s="52"/>
      <c r="Q551" s="55"/>
      <c r="R551" s="55"/>
      <c r="S551" s="55"/>
      <c r="T551" s="55"/>
      <c r="U551" s="55"/>
      <c r="W551" s="27"/>
      <c r="Z551" s="27"/>
      <c r="AA551" s="27"/>
      <c r="AB551" s="27"/>
      <c r="AC551" s="27"/>
      <c r="AD551" s="13"/>
      <c r="AE551" s="13"/>
      <c r="AF551" s="13"/>
      <c r="AG551" s="27"/>
      <c r="AH551" s="27"/>
      <c r="AI551" s="27"/>
      <c r="AJ551" s="27"/>
      <c r="CL551" s="27"/>
    </row>
    <row r="552" spans="2:90" s="18" customFormat="1" ht="14.1" customHeight="1" x14ac:dyDescent="0.2">
      <c r="B552" s="54"/>
      <c r="C552" s="54"/>
      <c r="D552" s="54"/>
      <c r="E552" s="50"/>
      <c r="F552" s="50"/>
      <c r="G552" s="50"/>
      <c r="H552" s="50"/>
      <c r="I552" s="50"/>
      <c r="J552" s="50"/>
      <c r="K552" s="50"/>
      <c r="L552" s="50"/>
      <c r="M552" s="50"/>
      <c r="N552" s="51"/>
      <c r="O552" s="51"/>
      <c r="P552" s="52"/>
      <c r="Q552" s="55"/>
      <c r="R552" s="55"/>
      <c r="S552" s="55"/>
      <c r="T552" s="55"/>
      <c r="U552" s="55"/>
      <c r="W552" s="27"/>
      <c r="Z552" s="27"/>
      <c r="AA552" s="27"/>
      <c r="AB552" s="27"/>
      <c r="AC552" s="27"/>
      <c r="AD552" s="13"/>
      <c r="AE552" s="13"/>
      <c r="AF552" s="13"/>
      <c r="AG552" s="27"/>
      <c r="AH552" s="27"/>
      <c r="AI552" s="27"/>
      <c r="AJ552" s="27"/>
      <c r="CL552" s="27"/>
    </row>
    <row r="553" spans="2:90" s="18" customFormat="1" ht="14.1" customHeight="1" x14ac:dyDescent="0.2">
      <c r="B553" s="54"/>
      <c r="C553" s="54"/>
      <c r="D553" s="54"/>
      <c r="E553" s="50"/>
      <c r="F553" s="50"/>
      <c r="G553" s="50"/>
      <c r="H553" s="50"/>
      <c r="I553" s="50"/>
      <c r="J553" s="50"/>
      <c r="K553" s="50"/>
      <c r="L553" s="50"/>
      <c r="M553" s="50"/>
      <c r="N553" s="51"/>
      <c r="O553" s="51"/>
      <c r="P553" s="52"/>
      <c r="Q553" s="55"/>
      <c r="R553" s="55"/>
      <c r="S553" s="55"/>
      <c r="T553" s="55"/>
      <c r="U553" s="55"/>
      <c r="W553" s="27"/>
      <c r="Z553" s="27"/>
      <c r="AA553" s="27"/>
      <c r="AB553" s="27"/>
      <c r="AC553" s="27"/>
      <c r="AD553" s="13"/>
      <c r="AE553" s="13"/>
      <c r="AF553" s="13"/>
      <c r="AG553" s="27"/>
      <c r="AH553" s="27"/>
      <c r="AI553" s="27"/>
      <c r="AJ553" s="27"/>
      <c r="CL553" s="27"/>
    </row>
    <row r="554" spans="2:90" s="18" customFormat="1" ht="14.1" customHeight="1" x14ac:dyDescent="0.2">
      <c r="B554" s="54"/>
      <c r="C554" s="54"/>
      <c r="D554" s="54"/>
      <c r="E554" s="50"/>
      <c r="F554" s="50"/>
      <c r="G554" s="50"/>
      <c r="H554" s="50"/>
      <c r="I554" s="50"/>
      <c r="J554" s="50"/>
      <c r="K554" s="50"/>
      <c r="L554" s="50"/>
      <c r="M554" s="50"/>
      <c r="N554" s="51"/>
      <c r="O554" s="51"/>
      <c r="P554" s="52"/>
      <c r="Q554" s="55"/>
      <c r="R554" s="55"/>
      <c r="S554" s="55"/>
      <c r="T554" s="55"/>
      <c r="U554" s="55"/>
      <c r="W554" s="27"/>
      <c r="Z554" s="27"/>
      <c r="AA554" s="27"/>
      <c r="AB554" s="27"/>
      <c r="AC554" s="27"/>
      <c r="AD554" s="13"/>
      <c r="AE554" s="13"/>
      <c r="AF554" s="13"/>
      <c r="AG554" s="27"/>
      <c r="AH554" s="27"/>
      <c r="AI554" s="27"/>
      <c r="AJ554" s="27"/>
      <c r="CL554" s="27"/>
    </row>
    <row r="555" spans="2:90" s="18" customFormat="1" ht="14.1" customHeight="1" x14ac:dyDescent="0.2">
      <c r="B555" s="54"/>
      <c r="C555" s="54"/>
      <c r="D555" s="54"/>
      <c r="E555" s="50"/>
      <c r="F555" s="50"/>
      <c r="G555" s="50"/>
      <c r="H555" s="50"/>
      <c r="I555" s="50"/>
      <c r="J555" s="50"/>
      <c r="K555" s="50"/>
      <c r="L555" s="50"/>
      <c r="M555" s="50"/>
      <c r="N555" s="51"/>
      <c r="O555" s="51"/>
      <c r="P555" s="52"/>
      <c r="Q555" s="55"/>
      <c r="R555" s="55"/>
      <c r="S555" s="55"/>
      <c r="T555" s="55"/>
      <c r="U555" s="55"/>
      <c r="W555" s="27"/>
      <c r="Z555" s="27"/>
      <c r="AA555" s="27"/>
      <c r="AB555" s="27"/>
      <c r="AC555" s="27"/>
      <c r="AD555" s="13"/>
      <c r="AE555" s="13"/>
      <c r="AF555" s="13"/>
      <c r="AG555" s="27"/>
      <c r="AH555" s="27"/>
      <c r="AI555" s="27"/>
      <c r="AJ555" s="27"/>
      <c r="CL555" s="27"/>
    </row>
    <row r="556" spans="2:90" s="18" customFormat="1" ht="14.1" customHeight="1" x14ac:dyDescent="0.2">
      <c r="B556" s="54"/>
      <c r="C556" s="54"/>
      <c r="D556" s="54"/>
      <c r="E556" s="50"/>
      <c r="F556" s="50"/>
      <c r="G556" s="50"/>
      <c r="H556" s="50"/>
      <c r="I556" s="50"/>
      <c r="J556" s="50"/>
      <c r="K556" s="50"/>
      <c r="L556" s="50"/>
      <c r="M556" s="50"/>
      <c r="N556" s="51"/>
      <c r="O556" s="51"/>
      <c r="P556" s="52"/>
      <c r="Q556" s="55"/>
      <c r="R556" s="55"/>
      <c r="S556" s="55"/>
      <c r="T556" s="55"/>
      <c r="U556" s="55"/>
      <c r="W556" s="27"/>
      <c r="Z556" s="27"/>
      <c r="AA556" s="27"/>
      <c r="AB556" s="27"/>
      <c r="AC556" s="27"/>
      <c r="AD556" s="13"/>
      <c r="AE556" s="13"/>
      <c r="AF556" s="13"/>
      <c r="AG556" s="27"/>
      <c r="AH556" s="27"/>
      <c r="AI556" s="27"/>
      <c r="AJ556" s="27"/>
      <c r="CL556" s="27"/>
    </row>
    <row r="557" spans="2:90" s="18" customFormat="1" ht="14.1" customHeight="1" x14ac:dyDescent="0.2">
      <c r="B557" s="54"/>
      <c r="C557" s="54"/>
      <c r="D557" s="54"/>
      <c r="E557" s="50"/>
      <c r="F557" s="50"/>
      <c r="G557" s="50"/>
      <c r="H557" s="50"/>
      <c r="I557" s="50"/>
      <c r="J557" s="50"/>
      <c r="K557" s="50"/>
      <c r="L557" s="50"/>
      <c r="M557" s="50"/>
      <c r="N557" s="51"/>
      <c r="O557" s="51"/>
      <c r="P557" s="52"/>
      <c r="Q557" s="55"/>
      <c r="R557" s="55"/>
      <c r="S557" s="55"/>
      <c r="T557" s="55"/>
      <c r="U557" s="55"/>
      <c r="W557" s="27"/>
      <c r="Z557" s="27"/>
      <c r="AA557" s="27"/>
      <c r="AB557" s="27"/>
      <c r="AC557" s="27"/>
      <c r="AD557" s="13"/>
      <c r="AE557" s="13"/>
      <c r="AF557" s="13"/>
      <c r="AG557" s="27"/>
      <c r="AH557" s="27"/>
      <c r="AI557" s="27"/>
      <c r="AJ557" s="27"/>
      <c r="CL557" s="27"/>
    </row>
    <row r="558" spans="2:90" s="18" customFormat="1" ht="14.1" customHeight="1" x14ac:dyDescent="0.2">
      <c r="B558" s="54"/>
      <c r="C558" s="54"/>
      <c r="D558" s="54"/>
      <c r="E558" s="50"/>
      <c r="F558" s="50"/>
      <c r="G558" s="50"/>
      <c r="H558" s="50"/>
      <c r="I558" s="50"/>
      <c r="J558" s="50"/>
      <c r="K558" s="50"/>
      <c r="L558" s="50"/>
      <c r="M558" s="50"/>
      <c r="N558" s="51"/>
      <c r="O558" s="51"/>
      <c r="P558" s="52"/>
      <c r="Q558" s="55"/>
      <c r="R558" s="55"/>
      <c r="S558" s="55"/>
      <c r="T558" s="55"/>
      <c r="U558" s="55"/>
      <c r="W558" s="27"/>
      <c r="Z558" s="27"/>
      <c r="AA558" s="27"/>
      <c r="AB558" s="27"/>
      <c r="AC558" s="27"/>
      <c r="AD558" s="13"/>
      <c r="AE558" s="13"/>
      <c r="AF558" s="13"/>
      <c r="AG558" s="27"/>
      <c r="AH558" s="27"/>
      <c r="AI558" s="27"/>
      <c r="AJ558" s="27"/>
      <c r="CL558" s="27"/>
    </row>
    <row r="559" spans="2:90" s="18" customFormat="1" ht="14.1" customHeight="1" x14ac:dyDescent="0.2">
      <c r="B559" s="54"/>
      <c r="C559" s="54"/>
      <c r="D559" s="54"/>
      <c r="E559" s="50"/>
      <c r="F559" s="50"/>
      <c r="G559" s="50"/>
      <c r="H559" s="50"/>
      <c r="I559" s="50"/>
      <c r="J559" s="50"/>
      <c r="K559" s="50"/>
      <c r="L559" s="50"/>
      <c r="M559" s="50"/>
      <c r="N559" s="51"/>
      <c r="O559" s="51"/>
      <c r="P559" s="52"/>
      <c r="Q559" s="55"/>
      <c r="R559" s="55"/>
      <c r="S559" s="55"/>
      <c r="T559" s="55"/>
      <c r="U559" s="55"/>
      <c r="W559" s="27"/>
      <c r="Z559" s="27"/>
      <c r="AA559" s="27"/>
      <c r="AB559" s="27"/>
      <c r="AC559" s="27"/>
      <c r="AD559" s="13"/>
      <c r="AE559" s="13"/>
      <c r="AF559" s="13"/>
      <c r="AG559" s="27"/>
      <c r="AH559" s="27"/>
      <c r="AI559" s="27"/>
      <c r="AJ559" s="27"/>
      <c r="CL559" s="27"/>
    </row>
    <row r="560" spans="2:90" s="18" customFormat="1" ht="14.1" customHeight="1" x14ac:dyDescent="0.2">
      <c r="B560" s="54"/>
      <c r="C560" s="54"/>
      <c r="D560" s="54"/>
      <c r="E560" s="50"/>
      <c r="F560" s="50"/>
      <c r="G560" s="50"/>
      <c r="H560" s="50"/>
      <c r="I560" s="50"/>
      <c r="J560" s="50"/>
      <c r="K560" s="50"/>
      <c r="L560" s="50"/>
      <c r="M560" s="50"/>
      <c r="N560" s="51"/>
      <c r="O560" s="51"/>
      <c r="P560" s="52"/>
      <c r="Q560" s="55"/>
      <c r="R560" s="55"/>
      <c r="S560" s="55"/>
      <c r="T560" s="55"/>
      <c r="U560" s="55"/>
      <c r="W560" s="27"/>
      <c r="Z560" s="27"/>
      <c r="AA560" s="27"/>
      <c r="AB560" s="27"/>
      <c r="AC560" s="27"/>
      <c r="AD560" s="13"/>
      <c r="AE560" s="13"/>
      <c r="AF560" s="13"/>
      <c r="AG560" s="27"/>
      <c r="AH560" s="27"/>
      <c r="AI560" s="27"/>
      <c r="AJ560" s="27"/>
      <c r="CL560" s="27"/>
    </row>
    <row r="561" spans="2:90" s="18" customFormat="1" ht="14.1" customHeight="1" x14ac:dyDescent="0.2">
      <c r="B561" s="54"/>
      <c r="C561" s="54"/>
      <c r="D561" s="54"/>
      <c r="E561" s="50"/>
      <c r="F561" s="50"/>
      <c r="G561" s="50"/>
      <c r="H561" s="50"/>
      <c r="I561" s="50"/>
      <c r="J561" s="50"/>
      <c r="K561" s="50"/>
      <c r="L561" s="50"/>
      <c r="M561" s="50"/>
      <c r="N561" s="51"/>
      <c r="O561" s="51"/>
      <c r="P561" s="52"/>
      <c r="Q561" s="55"/>
      <c r="R561" s="55"/>
      <c r="S561" s="55"/>
      <c r="T561" s="55"/>
      <c r="U561" s="55"/>
      <c r="W561" s="27"/>
      <c r="Z561" s="27"/>
      <c r="AA561" s="27"/>
      <c r="AB561" s="27"/>
      <c r="AC561" s="27"/>
      <c r="AD561" s="13"/>
      <c r="AE561" s="13"/>
      <c r="AF561" s="13"/>
      <c r="AG561" s="27"/>
      <c r="AH561" s="27"/>
      <c r="AI561" s="27"/>
      <c r="AJ561" s="27"/>
      <c r="CL561" s="27"/>
    </row>
    <row r="562" spans="2:90" s="18" customFormat="1" ht="14.1" customHeight="1" x14ac:dyDescent="0.2">
      <c r="B562" s="54"/>
      <c r="C562" s="54"/>
      <c r="D562" s="54"/>
      <c r="E562" s="50"/>
      <c r="F562" s="50"/>
      <c r="G562" s="50"/>
      <c r="H562" s="50"/>
      <c r="I562" s="50"/>
      <c r="J562" s="50"/>
      <c r="K562" s="50"/>
      <c r="L562" s="50"/>
      <c r="M562" s="50"/>
      <c r="N562" s="51"/>
      <c r="O562" s="51"/>
      <c r="P562" s="52"/>
      <c r="Q562" s="55"/>
      <c r="R562" s="55"/>
      <c r="S562" s="55"/>
      <c r="T562" s="55"/>
      <c r="U562" s="55"/>
      <c r="W562" s="27"/>
      <c r="Z562" s="27"/>
      <c r="AA562" s="27"/>
      <c r="AB562" s="27"/>
      <c r="AC562" s="27"/>
      <c r="AD562" s="13"/>
      <c r="AE562" s="13"/>
      <c r="AF562" s="13"/>
      <c r="AG562" s="27"/>
      <c r="AH562" s="27"/>
      <c r="AI562" s="27"/>
      <c r="AJ562" s="27"/>
      <c r="CL562" s="27"/>
    </row>
    <row r="563" spans="2:90" s="18" customFormat="1" ht="14.1" customHeight="1" x14ac:dyDescent="0.2">
      <c r="B563" s="54"/>
      <c r="C563" s="54"/>
      <c r="D563" s="54"/>
      <c r="E563" s="50"/>
      <c r="F563" s="50"/>
      <c r="G563" s="50"/>
      <c r="H563" s="50"/>
      <c r="I563" s="50"/>
      <c r="J563" s="50"/>
      <c r="K563" s="50"/>
      <c r="L563" s="50"/>
      <c r="M563" s="50"/>
      <c r="N563" s="51"/>
      <c r="O563" s="51"/>
      <c r="P563" s="52"/>
      <c r="Q563" s="55"/>
      <c r="R563" s="55"/>
      <c r="S563" s="55"/>
      <c r="T563" s="55"/>
      <c r="U563" s="55"/>
      <c r="W563" s="27"/>
      <c r="Z563" s="27"/>
      <c r="AA563" s="27"/>
      <c r="AB563" s="27"/>
      <c r="AC563" s="27"/>
      <c r="AD563" s="13"/>
      <c r="AE563" s="13"/>
      <c r="AF563" s="13"/>
      <c r="AG563" s="27"/>
      <c r="AH563" s="27"/>
      <c r="AI563" s="27"/>
      <c r="AJ563" s="27"/>
      <c r="CL563" s="27"/>
    </row>
    <row r="564" spans="2:90" s="18" customFormat="1" ht="14.1" customHeight="1" x14ac:dyDescent="0.2">
      <c r="B564" s="54"/>
      <c r="C564" s="54"/>
      <c r="D564" s="54"/>
      <c r="E564" s="50"/>
      <c r="F564" s="50"/>
      <c r="G564" s="50"/>
      <c r="H564" s="50"/>
      <c r="I564" s="50"/>
      <c r="J564" s="50"/>
      <c r="K564" s="50"/>
      <c r="L564" s="50"/>
      <c r="M564" s="50"/>
      <c r="N564" s="51"/>
      <c r="O564" s="51"/>
      <c r="P564" s="52"/>
      <c r="Q564" s="55"/>
      <c r="R564" s="55"/>
      <c r="S564" s="55"/>
      <c r="T564" s="55"/>
      <c r="U564" s="55"/>
      <c r="W564" s="27"/>
      <c r="Z564" s="27"/>
      <c r="AA564" s="27"/>
      <c r="AB564" s="27"/>
      <c r="AC564" s="27"/>
      <c r="AD564" s="13"/>
      <c r="AE564" s="13"/>
      <c r="AF564" s="13"/>
      <c r="AG564" s="27"/>
      <c r="AH564" s="27"/>
      <c r="AI564" s="27"/>
      <c r="AJ564" s="27"/>
      <c r="CL564" s="27"/>
    </row>
    <row r="565" spans="2:90" s="18" customFormat="1" ht="14.1" customHeight="1" x14ac:dyDescent="0.2">
      <c r="B565" s="54"/>
      <c r="C565" s="54"/>
      <c r="D565" s="54"/>
      <c r="E565" s="50"/>
      <c r="F565" s="50"/>
      <c r="G565" s="50"/>
      <c r="H565" s="50"/>
      <c r="I565" s="50"/>
      <c r="J565" s="50"/>
      <c r="K565" s="50"/>
      <c r="L565" s="50"/>
      <c r="M565" s="50"/>
      <c r="N565" s="51"/>
      <c r="O565" s="51"/>
      <c r="P565" s="52"/>
      <c r="Q565" s="55"/>
      <c r="R565" s="55"/>
      <c r="S565" s="55"/>
      <c r="T565" s="55"/>
      <c r="U565" s="55"/>
      <c r="W565" s="27"/>
      <c r="Z565" s="27"/>
      <c r="AA565" s="27"/>
      <c r="AB565" s="27"/>
      <c r="AC565" s="27"/>
      <c r="AD565" s="13"/>
      <c r="AE565" s="13"/>
      <c r="AF565" s="13"/>
      <c r="AG565" s="27"/>
      <c r="AH565" s="27"/>
      <c r="AI565" s="27"/>
      <c r="AJ565" s="27"/>
      <c r="CL565" s="27"/>
    </row>
    <row r="566" spans="2:90" s="18" customFormat="1" ht="14.1" customHeight="1" x14ac:dyDescent="0.2">
      <c r="B566" s="54"/>
      <c r="C566" s="54"/>
      <c r="D566" s="54"/>
      <c r="E566" s="50"/>
      <c r="F566" s="50"/>
      <c r="G566" s="50"/>
      <c r="H566" s="50"/>
      <c r="I566" s="50"/>
      <c r="J566" s="50"/>
      <c r="K566" s="50"/>
      <c r="L566" s="50"/>
      <c r="M566" s="50"/>
      <c r="N566" s="51"/>
      <c r="O566" s="51"/>
      <c r="P566" s="52"/>
      <c r="Q566" s="55"/>
      <c r="R566" s="55"/>
      <c r="S566" s="55"/>
      <c r="T566" s="55"/>
      <c r="U566" s="55"/>
      <c r="W566" s="27"/>
      <c r="Z566" s="27"/>
      <c r="AA566" s="27"/>
      <c r="AB566" s="27"/>
      <c r="AC566" s="27"/>
      <c r="AD566" s="13"/>
      <c r="AE566" s="13"/>
      <c r="AF566" s="13"/>
      <c r="AG566" s="27"/>
      <c r="AH566" s="27"/>
      <c r="AI566" s="27"/>
      <c r="AJ566" s="27"/>
      <c r="CL566" s="27"/>
    </row>
    <row r="567" spans="2:90" s="18" customFormat="1" ht="14.1" customHeight="1" x14ac:dyDescent="0.2">
      <c r="B567" s="54"/>
      <c r="C567" s="54"/>
      <c r="D567" s="54"/>
      <c r="E567" s="50"/>
      <c r="F567" s="50"/>
      <c r="G567" s="50"/>
      <c r="H567" s="50"/>
      <c r="I567" s="50"/>
      <c r="J567" s="50"/>
      <c r="K567" s="50"/>
      <c r="L567" s="50"/>
      <c r="M567" s="50"/>
      <c r="N567" s="51"/>
      <c r="O567" s="51"/>
      <c r="P567" s="52"/>
      <c r="Q567" s="55"/>
      <c r="R567" s="55"/>
      <c r="S567" s="55"/>
      <c r="T567" s="55"/>
      <c r="U567" s="55"/>
      <c r="W567" s="27"/>
      <c r="Z567" s="27"/>
      <c r="AA567" s="27"/>
      <c r="AB567" s="27"/>
      <c r="AC567" s="27"/>
      <c r="AD567" s="13"/>
      <c r="AE567" s="13"/>
      <c r="AF567" s="13"/>
      <c r="AG567" s="27"/>
      <c r="AH567" s="27"/>
      <c r="AI567" s="27"/>
      <c r="AJ567" s="27"/>
      <c r="CL567" s="27"/>
    </row>
    <row r="568" spans="2:90" s="18" customFormat="1" ht="14.1" customHeight="1" x14ac:dyDescent="0.2">
      <c r="B568" s="54"/>
      <c r="C568" s="54"/>
      <c r="D568" s="54"/>
      <c r="E568" s="50"/>
      <c r="F568" s="50"/>
      <c r="G568" s="50"/>
      <c r="H568" s="50"/>
      <c r="I568" s="50"/>
      <c r="J568" s="50"/>
      <c r="K568" s="50"/>
      <c r="L568" s="50"/>
      <c r="M568" s="50"/>
      <c r="N568" s="51"/>
      <c r="O568" s="51"/>
      <c r="P568" s="52"/>
      <c r="Q568" s="55"/>
      <c r="R568" s="55"/>
      <c r="S568" s="55"/>
      <c r="T568" s="55"/>
      <c r="U568" s="55"/>
      <c r="W568" s="27"/>
      <c r="Z568" s="27"/>
      <c r="AA568" s="27"/>
      <c r="AB568" s="27"/>
      <c r="AC568" s="27"/>
      <c r="AD568" s="13"/>
      <c r="AE568" s="13"/>
      <c r="AF568" s="13"/>
      <c r="AG568" s="27"/>
      <c r="AH568" s="27"/>
      <c r="AI568" s="27"/>
      <c r="AJ568" s="27"/>
      <c r="CL568" s="27"/>
    </row>
    <row r="569" spans="2:90" s="18" customFormat="1" ht="14.1" customHeight="1" x14ac:dyDescent="0.2">
      <c r="B569" s="54"/>
      <c r="C569" s="54"/>
      <c r="D569" s="54"/>
      <c r="E569" s="50"/>
      <c r="F569" s="50"/>
      <c r="G569" s="50"/>
      <c r="H569" s="50"/>
      <c r="I569" s="50"/>
      <c r="J569" s="50"/>
      <c r="K569" s="50"/>
      <c r="L569" s="50"/>
      <c r="M569" s="50"/>
      <c r="N569" s="51"/>
      <c r="O569" s="51"/>
      <c r="P569" s="52"/>
      <c r="Q569" s="55"/>
      <c r="R569" s="55"/>
      <c r="S569" s="55"/>
      <c r="T569" s="55"/>
      <c r="U569" s="55"/>
      <c r="W569" s="27"/>
      <c r="Z569" s="27"/>
      <c r="AA569" s="27"/>
      <c r="AB569" s="27"/>
      <c r="AC569" s="27"/>
      <c r="AD569" s="13"/>
      <c r="AE569" s="13"/>
      <c r="AF569" s="13"/>
      <c r="AG569" s="27"/>
      <c r="AH569" s="27"/>
      <c r="AI569" s="27"/>
      <c r="AJ569" s="27"/>
      <c r="CL569" s="27"/>
    </row>
    <row r="570" spans="2:90" s="18" customFormat="1" ht="14.1" customHeight="1" x14ac:dyDescent="0.2">
      <c r="B570" s="54"/>
      <c r="C570" s="54"/>
      <c r="D570" s="54"/>
      <c r="E570" s="50"/>
      <c r="F570" s="50"/>
      <c r="G570" s="50"/>
      <c r="H570" s="50"/>
      <c r="I570" s="50"/>
      <c r="J570" s="50"/>
      <c r="K570" s="50"/>
      <c r="L570" s="50"/>
      <c r="M570" s="50"/>
      <c r="N570" s="51"/>
      <c r="O570" s="51"/>
      <c r="P570" s="52"/>
      <c r="Q570" s="55"/>
      <c r="R570" s="55"/>
      <c r="S570" s="55"/>
      <c r="T570" s="55"/>
      <c r="U570" s="55"/>
      <c r="W570" s="27"/>
      <c r="Z570" s="27"/>
      <c r="AA570" s="27"/>
      <c r="AB570" s="27"/>
      <c r="AC570" s="27"/>
      <c r="AD570" s="13"/>
      <c r="AE570" s="13"/>
      <c r="AF570" s="13"/>
      <c r="AG570" s="27"/>
      <c r="AH570" s="27"/>
      <c r="AI570" s="27"/>
      <c r="AJ570" s="27"/>
      <c r="CL570" s="27"/>
    </row>
    <row r="571" spans="2:90" s="18" customFormat="1" ht="14.1" customHeight="1" x14ac:dyDescent="0.2">
      <c r="B571" s="54"/>
      <c r="C571" s="54"/>
      <c r="D571" s="54"/>
      <c r="E571" s="50"/>
      <c r="F571" s="50"/>
      <c r="G571" s="50"/>
      <c r="H571" s="50"/>
      <c r="I571" s="50"/>
      <c r="J571" s="50"/>
      <c r="K571" s="50"/>
      <c r="L571" s="50"/>
      <c r="M571" s="50"/>
      <c r="N571" s="51"/>
      <c r="O571" s="51"/>
      <c r="P571" s="52"/>
      <c r="Q571" s="55"/>
      <c r="R571" s="55"/>
      <c r="S571" s="55"/>
      <c r="T571" s="55"/>
      <c r="U571" s="55"/>
      <c r="W571" s="27"/>
      <c r="Z571" s="27"/>
      <c r="AA571" s="27"/>
      <c r="AB571" s="27"/>
      <c r="AC571" s="27"/>
      <c r="AD571" s="13"/>
      <c r="AE571" s="13"/>
      <c r="AF571" s="13"/>
      <c r="AG571" s="27"/>
      <c r="AH571" s="27"/>
      <c r="AI571" s="27"/>
      <c r="AJ571" s="27"/>
      <c r="CL571" s="27"/>
    </row>
    <row r="572" spans="2:90" s="18" customFormat="1" ht="14.1" customHeight="1" x14ac:dyDescent="0.2">
      <c r="B572" s="54"/>
      <c r="C572" s="54"/>
      <c r="D572" s="54"/>
      <c r="E572" s="50"/>
      <c r="F572" s="50"/>
      <c r="G572" s="50"/>
      <c r="H572" s="50"/>
      <c r="I572" s="50"/>
      <c r="J572" s="50"/>
      <c r="K572" s="50"/>
      <c r="L572" s="50"/>
      <c r="M572" s="50"/>
      <c r="N572" s="51"/>
      <c r="O572" s="51"/>
      <c r="P572" s="52"/>
      <c r="Q572" s="55"/>
      <c r="R572" s="55"/>
      <c r="S572" s="55"/>
      <c r="T572" s="55"/>
      <c r="U572" s="55"/>
      <c r="W572" s="27"/>
      <c r="Z572" s="27"/>
      <c r="AA572" s="27"/>
      <c r="AB572" s="27"/>
      <c r="AC572" s="27"/>
      <c r="AD572" s="13"/>
      <c r="AE572" s="13"/>
      <c r="AF572" s="13"/>
      <c r="AG572" s="27"/>
      <c r="AH572" s="27"/>
      <c r="AI572" s="27"/>
      <c r="AJ572" s="27"/>
      <c r="CL572" s="27"/>
    </row>
    <row r="573" spans="2:90" s="18" customFormat="1" ht="14.1" customHeight="1" x14ac:dyDescent="0.2">
      <c r="B573" s="54"/>
      <c r="C573" s="54"/>
      <c r="D573" s="54"/>
      <c r="E573" s="50"/>
      <c r="F573" s="50"/>
      <c r="G573" s="50"/>
      <c r="H573" s="50"/>
      <c r="I573" s="50"/>
      <c r="J573" s="50"/>
      <c r="K573" s="50"/>
      <c r="L573" s="50"/>
      <c r="M573" s="50"/>
      <c r="N573" s="51"/>
      <c r="O573" s="51"/>
      <c r="P573" s="52"/>
      <c r="Q573" s="55"/>
      <c r="R573" s="55"/>
      <c r="S573" s="55"/>
      <c r="T573" s="55"/>
      <c r="U573" s="55"/>
      <c r="W573" s="27"/>
      <c r="Z573" s="27"/>
      <c r="AA573" s="27"/>
      <c r="AB573" s="27"/>
      <c r="AC573" s="27"/>
      <c r="AD573" s="13"/>
      <c r="AE573" s="13"/>
      <c r="AF573" s="13"/>
      <c r="AG573" s="27"/>
      <c r="AH573" s="27"/>
      <c r="AI573" s="27"/>
      <c r="AJ573" s="27"/>
      <c r="CL573" s="27"/>
    </row>
    <row r="574" spans="2:90" s="18" customFormat="1" ht="14.1" customHeight="1" x14ac:dyDescent="0.2">
      <c r="B574" s="54"/>
      <c r="C574" s="54"/>
      <c r="D574" s="54"/>
      <c r="E574" s="50"/>
      <c r="F574" s="50"/>
      <c r="G574" s="50"/>
      <c r="H574" s="50"/>
      <c r="I574" s="50"/>
      <c r="J574" s="50"/>
      <c r="K574" s="50"/>
      <c r="L574" s="50"/>
      <c r="M574" s="50"/>
      <c r="N574" s="51"/>
      <c r="O574" s="51"/>
      <c r="P574" s="52"/>
      <c r="Q574" s="55"/>
      <c r="R574" s="55"/>
      <c r="S574" s="55"/>
      <c r="T574" s="55"/>
      <c r="U574" s="55"/>
      <c r="W574" s="27"/>
      <c r="Z574" s="27"/>
      <c r="AA574" s="27"/>
      <c r="AB574" s="27"/>
      <c r="AC574" s="27"/>
      <c r="AD574" s="13"/>
      <c r="AE574" s="13"/>
      <c r="AF574" s="13"/>
      <c r="AG574" s="27"/>
      <c r="AH574" s="27"/>
      <c r="AI574" s="27"/>
      <c r="AJ574" s="27"/>
      <c r="CL574" s="27"/>
    </row>
    <row r="575" spans="2:90" s="18" customFormat="1" ht="14.1" customHeight="1" x14ac:dyDescent="0.2">
      <c r="B575" s="54"/>
      <c r="C575" s="54"/>
      <c r="D575" s="54"/>
      <c r="E575" s="50"/>
      <c r="F575" s="50"/>
      <c r="G575" s="50"/>
      <c r="H575" s="50"/>
      <c r="I575" s="50"/>
      <c r="J575" s="50"/>
      <c r="K575" s="50"/>
      <c r="L575" s="50"/>
      <c r="M575" s="50"/>
      <c r="N575" s="51"/>
      <c r="O575" s="51"/>
      <c r="P575" s="52"/>
      <c r="Q575" s="55"/>
      <c r="R575" s="55"/>
      <c r="S575" s="55"/>
      <c r="T575" s="55"/>
      <c r="U575" s="55"/>
      <c r="W575" s="27"/>
      <c r="Z575" s="27"/>
      <c r="AA575" s="27"/>
      <c r="AB575" s="27"/>
      <c r="AC575" s="27"/>
      <c r="AD575" s="13"/>
      <c r="AE575" s="13"/>
      <c r="AF575" s="13"/>
      <c r="AG575" s="27"/>
      <c r="AH575" s="27"/>
      <c r="AI575" s="27"/>
      <c r="AJ575" s="27"/>
      <c r="CL575" s="27"/>
    </row>
    <row r="576" spans="2:90" s="18" customFormat="1" ht="14.1" customHeight="1" x14ac:dyDescent="0.2">
      <c r="B576" s="54"/>
      <c r="C576" s="54"/>
      <c r="D576" s="54"/>
      <c r="E576" s="50"/>
      <c r="F576" s="50"/>
      <c r="G576" s="50"/>
      <c r="H576" s="50"/>
      <c r="I576" s="50"/>
      <c r="J576" s="50"/>
      <c r="K576" s="50"/>
      <c r="L576" s="50"/>
      <c r="M576" s="50"/>
      <c r="N576" s="51"/>
      <c r="O576" s="51"/>
      <c r="P576" s="52"/>
      <c r="Q576" s="55"/>
      <c r="R576" s="55"/>
      <c r="S576" s="55"/>
      <c r="T576" s="55"/>
      <c r="U576" s="55"/>
      <c r="W576" s="27"/>
      <c r="Z576" s="27"/>
      <c r="AA576" s="27"/>
      <c r="AB576" s="27"/>
      <c r="AC576" s="27"/>
      <c r="AD576" s="13"/>
      <c r="AE576" s="13"/>
      <c r="AF576" s="13"/>
      <c r="AG576" s="27"/>
      <c r="AH576" s="27"/>
      <c r="AI576" s="27"/>
      <c r="AJ576" s="27"/>
      <c r="CL576" s="27"/>
    </row>
    <row r="577" spans="2:90" s="18" customFormat="1" ht="14.1" customHeight="1" x14ac:dyDescent="0.2">
      <c r="B577" s="54"/>
      <c r="C577" s="54"/>
      <c r="D577" s="54"/>
      <c r="E577" s="50"/>
      <c r="F577" s="50"/>
      <c r="G577" s="50"/>
      <c r="H577" s="50"/>
      <c r="I577" s="50"/>
      <c r="J577" s="50"/>
      <c r="K577" s="50"/>
      <c r="L577" s="50"/>
      <c r="M577" s="50"/>
      <c r="N577" s="51"/>
      <c r="O577" s="51"/>
      <c r="P577" s="52"/>
      <c r="Q577" s="55"/>
      <c r="R577" s="55"/>
      <c r="S577" s="55"/>
      <c r="T577" s="55"/>
      <c r="U577" s="55"/>
      <c r="W577" s="27"/>
      <c r="Z577" s="27"/>
      <c r="AA577" s="27"/>
      <c r="AB577" s="27"/>
      <c r="AC577" s="27"/>
      <c r="AD577" s="13"/>
      <c r="AE577" s="13"/>
      <c r="AF577" s="13"/>
      <c r="AG577" s="27"/>
      <c r="AH577" s="27"/>
      <c r="AI577" s="27"/>
      <c r="AJ577" s="27"/>
      <c r="CL577" s="27"/>
    </row>
    <row r="578" spans="2:90" s="18" customFormat="1" ht="14.1" customHeight="1" x14ac:dyDescent="0.2">
      <c r="B578" s="54"/>
      <c r="C578" s="54"/>
      <c r="D578" s="54"/>
      <c r="E578" s="50"/>
      <c r="F578" s="50"/>
      <c r="G578" s="50"/>
      <c r="H578" s="50"/>
      <c r="I578" s="50"/>
      <c r="J578" s="50"/>
      <c r="K578" s="50"/>
      <c r="L578" s="50"/>
      <c r="M578" s="50"/>
      <c r="N578" s="51"/>
      <c r="O578" s="51"/>
      <c r="P578" s="52"/>
      <c r="Q578" s="55"/>
      <c r="R578" s="55"/>
      <c r="S578" s="55"/>
      <c r="T578" s="55"/>
      <c r="U578" s="55"/>
      <c r="W578" s="27"/>
      <c r="Z578" s="27"/>
      <c r="AA578" s="27"/>
      <c r="AB578" s="27"/>
      <c r="AC578" s="27"/>
      <c r="AD578" s="13"/>
      <c r="AE578" s="13"/>
      <c r="AF578" s="13"/>
      <c r="AG578" s="27"/>
      <c r="AH578" s="27"/>
      <c r="AI578" s="27"/>
      <c r="AJ578" s="27"/>
      <c r="CL578" s="27"/>
    </row>
    <row r="579" spans="2:90" s="18" customFormat="1" ht="14.1" customHeight="1" x14ac:dyDescent="0.2">
      <c r="B579" s="54"/>
      <c r="C579" s="54"/>
      <c r="D579" s="54"/>
      <c r="E579" s="50"/>
      <c r="F579" s="50"/>
      <c r="G579" s="50"/>
      <c r="H579" s="50"/>
      <c r="I579" s="50"/>
      <c r="J579" s="50"/>
      <c r="K579" s="50"/>
      <c r="L579" s="50"/>
      <c r="M579" s="50"/>
      <c r="N579" s="51"/>
      <c r="O579" s="51"/>
      <c r="P579" s="52"/>
      <c r="Q579" s="55"/>
      <c r="R579" s="55"/>
      <c r="S579" s="55"/>
      <c r="T579" s="55"/>
      <c r="U579" s="55"/>
      <c r="W579" s="27"/>
      <c r="Z579" s="27"/>
      <c r="AA579" s="27"/>
      <c r="AB579" s="27"/>
      <c r="AC579" s="27"/>
      <c r="AD579" s="13"/>
      <c r="AE579" s="13"/>
      <c r="AF579" s="13"/>
      <c r="AG579" s="27"/>
      <c r="AH579" s="27"/>
      <c r="AI579" s="27"/>
      <c r="AJ579" s="27"/>
      <c r="CL579" s="27"/>
    </row>
    <row r="580" spans="2:90" s="18" customFormat="1" ht="14.1" customHeight="1" x14ac:dyDescent="0.2">
      <c r="B580" s="54"/>
      <c r="C580" s="54"/>
      <c r="D580" s="54"/>
      <c r="E580" s="50"/>
      <c r="F580" s="50"/>
      <c r="G580" s="50"/>
      <c r="H580" s="50"/>
      <c r="I580" s="50"/>
      <c r="J580" s="50"/>
      <c r="K580" s="50"/>
      <c r="L580" s="50"/>
      <c r="M580" s="50"/>
      <c r="N580" s="51"/>
      <c r="O580" s="51"/>
      <c r="P580" s="52"/>
      <c r="Q580" s="55"/>
      <c r="R580" s="55"/>
      <c r="S580" s="55"/>
      <c r="T580" s="55"/>
      <c r="U580" s="55"/>
      <c r="W580" s="27"/>
      <c r="Z580" s="27"/>
      <c r="AA580" s="27"/>
      <c r="AB580" s="27"/>
      <c r="AC580" s="27"/>
      <c r="AD580" s="13"/>
      <c r="AE580" s="13"/>
      <c r="AF580" s="13"/>
      <c r="AG580" s="27"/>
      <c r="AH580" s="27"/>
      <c r="AI580" s="27"/>
      <c r="AJ580" s="27"/>
      <c r="CL580" s="27"/>
    </row>
    <row r="581" spans="2:90" s="18" customFormat="1" ht="14.1" customHeight="1" x14ac:dyDescent="0.2">
      <c r="B581" s="54"/>
      <c r="C581" s="54"/>
      <c r="D581" s="54"/>
      <c r="E581" s="50"/>
      <c r="F581" s="50"/>
      <c r="G581" s="50"/>
      <c r="H581" s="50"/>
      <c r="I581" s="50"/>
      <c r="J581" s="50"/>
      <c r="K581" s="50"/>
      <c r="L581" s="50"/>
      <c r="M581" s="50"/>
      <c r="N581" s="51"/>
      <c r="O581" s="51"/>
      <c r="P581" s="52"/>
      <c r="Q581" s="55"/>
      <c r="R581" s="55"/>
      <c r="S581" s="55"/>
      <c r="T581" s="55"/>
      <c r="U581" s="55"/>
      <c r="W581" s="27"/>
      <c r="Z581" s="27"/>
      <c r="AA581" s="27"/>
      <c r="AB581" s="27"/>
      <c r="AC581" s="27"/>
      <c r="AD581" s="13"/>
      <c r="AE581" s="13"/>
      <c r="AF581" s="13"/>
      <c r="AG581" s="27"/>
      <c r="AH581" s="27"/>
      <c r="AI581" s="27"/>
      <c r="AJ581" s="27"/>
      <c r="CL581" s="27"/>
    </row>
    <row r="582" spans="2:90" s="18" customFormat="1" ht="14.1" customHeight="1" x14ac:dyDescent="0.2">
      <c r="B582" s="54"/>
      <c r="C582" s="54"/>
      <c r="D582" s="54"/>
      <c r="E582" s="50"/>
      <c r="F582" s="50"/>
      <c r="G582" s="50"/>
      <c r="H582" s="50"/>
      <c r="I582" s="50"/>
      <c r="J582" s="50"/>
      <c r="K582" s="50"/>
      <c r="L582" s="50"/>
      <c r="M582" s="50"/>
      <c r="N582" s="51"/>
      <c r="O582" s="51"/>
      <c r="P582" s="52"/>
      <c r="Q582" s="55"/>
      <c r="R582" s="55"/>
      <c r="S582" s="55"/>
      <c r="T582" s="55"/>
      <c r="U582" s="55"/>
      <c r="W582" s="27"/>
      <c r="Z582" s="27"/>
      <c r="AA582" s="27"/>
      <c r="AB582" s="27"/>
      <c r="AC582" s="27"/>
      <c r="AD582" s="13"/>
      <c r="AE582" s="13"/>
      <c r="AF582" s="13"/>
      <c r="AG582" s="27"/>
      <c r="AH582" s="27"/>
      <c r="AI582" s="27"/>
      <c r="AJ582" s="27"/>
      <c r="CL582" s="27"/>
    </row>
    <row r="583" spans="2:90" s="18" customFormat="1" ht="14.1" customHeight="1" x14ac:dyDescent="0.2">
      <c r="B583" s="54"/>
      <c r="C583" s="54"/>
      <c r="D583" s="54"/>
      <c r="E583" s="50"/>
      <c r="F583" s="50"/>
      <c r="G583" s="50"/>
      <c r="H583" s="50"/>
      <c r="I583" s="50"/>
      <c r="J583" s="50"/>
      <c r="K583" s="50"/>
      <c r="L583" s="50"/>
      <c r="M583" s="50"/>
      <c r="N583" s="51"/>
      <c r="O583" s="51"/>
      <c r="P583" s="52"/>
      <c r="Q583" s="55"/>
      <c r="R583" s="55"/>
      <c r="S583" s="55"/>
      <c r="T583" s="55"/>
      <c r="U583" s="55"/>
      <c r="W583" s="27"/>
      <c r="Z583" s="27"/>
      <c r="AA583" s="27"/>
      <c r="AB583" s="27"/>
      <c r="AC583" s="27"/>
      <c r="AD583" s="13"/>
      <c r="AE583" s="13"/>
      <c r="AF583" s="13"/>
      <c r="AG583" s="27"/>
      <c r="AH583" s="27"/>
      <c r="AI583" s="27"/>
      <c r="AJ583" s="27"/>
      <c r="CL583" s="27"/>
    </row>
    <row r="584" spans="2:90" s="18" customFormat="1" ht="14.1" customHeight="1" x14ac:dyDescent="0.2">
      <c r="B584" s="54"/>
      <c r="C584" s="54"/>
      <c r="D584" s="54"/>
      <c r="E584" s="50"/>
      <c r="F584" s="50"/>
      <c r="G584" s="50"/>
      <c r="H584" s="50"/>
      <c r="I584" s="50"/>
      <c r="J584" s="50"/>
      <c r="K584" s="50"/>
      <c r="L584" s="50"/>
      <c r="M584" s="50"/>
      <c r="N584" s="51"/>
      <c r="O584" s="51"/>
      <c r="P584" s="52"/>
      <c r="Q584" s="55"/>
      <c r="R584" s="55"/>
      <c r="S584" s="55"/>
      <c r="T584" s="55"/>
      <c r="U584" s="55"/>
      <c r="W584" s="27"/>
      <c r="Z584" s="27"/>
      <c r="AA584" s="27"/>
      <c r="AB584" s="27"/>
      <c r="AC584" s="27"/>
      <c r="AD584" s="13"/>
      <c r="AE584" s="13"/>
      <c r="AF584" s="13"/>
      <c r="AG584" s="27"/>
      <c r="AH584" s="27"/>
      <c r="AI584" s="27"/>
      <c r="AJ584" s="27"/>
      <c r="CL584" s="27"/>
    </row>
    <row r="585" spans="2:90" s="18" customFormat="1" ht="14.1" customHeight="1" x14ac:dyDescent="0.2">
      <c r="B585" s="54"/>
      <c r="C585" s="54"/>
      <c r="D585" s="54"/>
      <c r="E585" s="50"/>
      <c r="F585" s="50"/>
      <c r="G585" s="50"/>
      <c r="H585" s="50"/>
      <c r="I585" s="50"/>
      <c r="J585" s="50"/>
      <c r="K585" s="50"/>
      <c r="L585" s="50"/>
      <c r="M585" s="50"/>
      <c r="N585" s="51"/>
      <c r="O585" s="51"/>
      <c r="P585" s="52"/>
      <c r="Q585" s="55"/>
      <c r="R585" s="55"/>
      <c r="S585" s="55"/>
      <c r="T585" s="55"/>
      <c r="U585" s="55"/>
      <c r="W585" s="27"/>
      <c r="Z585" s="27"/>
      <c r="AA585" s="27"/>
      <c r="AB585" s="27"/>
      <c r="AC585" s="27"/>
      <c r="AD585" s="13"/>
      <c r="AE585" s="13"/>
      <c r="AF585" s="13"/>
      <c r="AG585" s="27"/>
      <c r="AH585" s="27"/>
      <c r="AI585" s="27"/>
      <c r="AJ585" s="27"/>
      <c r="CL585" s="27"/>
    </row>
    <row r="586" spans="2:90" s="18" customFormat="1" ht="14.1" customHeight="1" x14ac:dyDescent="0.2">
      <c r="B586" s="54"/>
      <c r="C586" s="54"/>
      <c r="D586" s="54"/>
      <c r="E586" s="50"/>
      <c r="F586" s="50"/>
      <c r="G586" s="50"/>
      <c r="H586" s="50"/>
      <c r="I586" s="50"/>
      <c r="J586" s="50"/>
      <c r="K586" s="50"/>
      <c r="L586" s="50"/>
      <c r="M586" s="50"/>
      <c r="N586" s="51"/>
      <c r="O586" s="51"/>
      <c r="P586" s="52"/>
      <c r="Q586" s="55"/>
      <c r="R586" s="55"/>
      <c r="S586" s="55"/>
      <c r="T586" s="55"/>
      <c r="U586" s="55"/>
      <c r="W586" s="27"/>
      <c r="Z586" s="27"/>
      <c r="AA586" s="27"/>
      <c r="AB586" s="27"/>
      <c r="AC586" s="27"/>
      <c r="AD586" s="13"/>
      <c r="AE586" s="13"/>
      <c r="AF586" s="13"/>
      <c r="AG586" s="27"/>
      <c r="AH586" s="27"/>
      <c r="AI586" s="27"/>
      <c r="AJ586" s="27"/>
      <c r="CL586" s="27"/>
    </row>
    <row r="587" spans="2:90" s="18" customFormat="1" ht="14.1" customHeight="1" x14ac:dyDescent="0.2">
      <c r="B587" s="54"/>
      <c r="C587" s="54"/>
      <c r="D587" s="54"/>
      <c r="E587" s="50"/>
      <c r="F587" s="50"/>
      <c r="G587" s="50"/>
      <c r="H587" s="50"/>
      <c r="I587" s="50"/>
      <c r="J587" s="50"/>
      <c r="K587" s="50"/>
      <c r="L587" s="50"/>
      <c r="M587" s="50"/>
      <c r="N587" s="51"/>
      <c r="O587" s="51"/>
      <c r="P587" s="52"/>
      <c r="Q587" s="55"/>
      <c r="R587" s="55"/>
      <c r="S587" s="55"/>
      <c r="T587" s="55"/>
      <c r="U587" s="55"/>
      <c r="W587" s="27"/>
      <c r="Z587" s="27"/>
      <c r="AA587" s="27"/>
      <c r="AB587" s="27"/>
      <c r="AC587" s="27"/>
      <c r="AD587" s="13"/>
      <c r="AE587" s="13"/>
      <c r="AF587" s="13"/>
      <c r="AG587" s="27"/>
      <c r="AH587" s="27"/>
      <c r="AI587" s="27"/>
      <c r="AJ587" s="27"/>
      <c r="CL587" s="27"/>
    </row>
    <row r="588" spans="2:90" s="18" customFormat="1" ht="14.1" customHeight="1" x14ac:dyDescent="0.2">
      <c r="B588" s="54"/>
      <c r="C588" s="54"/>
      <c r="D588" s="54"/>
      <c r="E588" s="50"/>
      <c r="F588" s="50"/>
      <c r="G588" s="50"/>
      <c r="H588" s="50"/>
      <c r="I588" s="50"/>
      <c r="J588" s="50"/>
      <c r="K588" s="50"/>
      <c r="L588" s="50"/>
      <c r="M588" s="50"/>
      <c r="N588" s="51"/>
      <c r="O588" s="51"/>
      <c r="P588" s="52"/>
      <c r="Q588" s="55"/>
      <c r="R588" s="55"/>
      <c r="S588" s="55"/>
      <c r="T588" s="55"/>
      <c r="U588" s="55"/>
      <c r="W588" s="27"/>
      <c r="Z588" s="27"/>
      <c r="AA588" s="27"/>
      <c r="AB588" s="27"/>
      <c r="AC588" s="27"/>
      <c r="AD588" s="13"/>
      <c r="AE588" s="13"/>
      <c r="AF588" s="13"/>
      <c r="AG588" s="27"/>
      <c r="AH588" s="27"/>
      <c r="AI588" s="27"/>
      <c r="AJ588" s="27"/>
      <c r="CL588" s="27"/>
    </row>
    <row r="589" spans="2:90" s="18" customFormat="1" ht="14.1" customHeight="1" x14ac:dyDescent="0.2">
      <c r="B589" s="54"/>
      <c r="C589" s="54"/>
      <c r="D589" s="54"/>
      <c r="E589" s="50"/>
      <c r="F589" s="50"/>
      <c r="G589" s="50"/>
      <c r="H589" s="50"/>
      <c r="I589" s="50"/>
      <c r="J589" s="50"/>
      <c r="K589" s="50"/>
      <c r="L589" s="50"/>
      <c r="M589" s="50"/>
      <c r="N589" s="51"/>
      <c r="O589" s="51"/>
      <c r="P589" s="52"/>
      <c r="Q589" s="55"/>
      <c r="R589" s="55"/>
      <c r="S589" s="55"/>
      <c r="T589" s="55"/>
      <c r="U589" s="55"/>
      <c r="W589" s="27"/>
      <c r="Z589" s="27"/>
      <c r="AA589" s="27"/>
      <c r="AB589" s="27"/>
      <c r="AC589" s="27"/>
      <c r="AD589" s="13"/>
      <c r="AE589" s="13"/>
      <c r="AF589" s="13"/>
      <c r="AG589" s="27"/>
      <c r="AH589" s="27"/>
      <c r="AI589" s="27"/>
      <c r="AJ589" s="27"/>
      <c r="CL589" s="27"/>
    </row>
    <row r="590" spans="2:90" s="18" customFormat="1" ht="14.1" customHeight="1" x14ac:dyDescent="0.2">
      <c r="B590" s="54"/>
      <c r="C590" s="54"/>
      <c r="D590" s="54"/>
      <c r="E590" s="50"/>
      <c r="F590" s="50"/>
      <c r="G590" s="50"/>
      <c r="H590" s="50"/>
      <c r="I590" s="50"/>
      <c r="J590" s="50"/>
      <c r="K590" s="50"/>
      <c r="L590" s="50"/>
      <c r="M590" s="50"/>
      <c r="N590" s="51"/>
      <c r="O590" s="51"/>
      <c r="P590" s="52"/>
      <c r="Q590" s="55"/>
      <c r="R590" s="55"/>
      <c r="S590" s="55"/>
      <c r="T590" s="55"/>
      <c r="U590" s="55"/>
      <c r="W590" s="27"/>
      <c r="Z590" s="27"/>
      <c r="AA590" s="27"/>
      <c r="AB590" s="27"/>
      <c r="AC590" s="27"/>
      <c r="AD590" s="13"/>
      <c r="AE590" s="13"/>
      <c r="AF590" s="13"/>
      <c r="AG590" s="27"/>
      <c r="AH590" s="27"/>
      <c r="AI590" s="27"/>
      <c r="AJ590" s="27"/>
      <c r="CL590" s="27"/>
    </row>
    <row r="591" spans="2:90" s="18" customFormat="1" ht="14.1" customHeight="1" x14ac:dyDescent="0.2">
      <c r="B591" s="54"/>
      <c r="C591" s="54"/>
      <c r="D591" s="54"/>
      <c r="E591" s="50"/>
      <c r="F591" s="50"/>
      <c r="G591" s="50"/>
      <c r="H591" s="50"/>
      <c r="I591" s="50"/>
      <c r="J591" s="50"/>
      <c r="K591" s="50"/>
      <c r="L591" s="50"/>
      <c r="M591" s="50"/>
      <c r="N591" s="51"/>
      <c r="O591" s="51"/>
      <c r="P591" s="52"/>
      <c r="Q591" s="55"/>
      <c r="R591" s="55"/>
      <c r="S591" s="55"/>
      <c r="T591" s="55"/>
      <c r="U591" s="55"/>
      <c r="W591" s="27"/>
      <c r="Z591" s="27"/>
      <c r="AA591" s="27"/>
      <c r="AB591" s="27"/>
      <c r="AC591" s="27"/>
      <c r="AD591" s="13"/>
      <c r="AE591" s="13"/>
      <c r="AF591" s="13"/>
      <c r="AG591" s="27"/>
      <c r="AH591" s="27"/>
      <c r="AI591" s="27"/>
      <c r="AJ591" s="27"/>
      <c r="CL591" s="27"/>
    </row>
    <row r="592" spans="2:90" s="18" customFormat="1" ht="14.1" customHeight="1" x14ac:dyDescent="0.2">
      <c r="B592" s="54"/>
      <c r="C592" s="54"/>
      <c r="D592" s="54"/>
      <c r="E592" s="50"/>
      <c r="F592" s="50"/>
      <c r="G592" s="50"/>
      <c r="H592" s="50"/>
      <c r="I592" s="50"/>
      <c r="J592" s="50"/>
      <c r="K592" s="50"/>
      <c r="L592" s="50"/>
      <c r="M592" s="50"/>
      <c r="N592" s="51"/>
      <c r="O592" s="51"/>
      <c r="P592" s="52"/>
      <c r="Q592" s="55"/>
      <c r="R592" s="55"/>
      <c r="S592" s="55"/>
      <c r="T592" s="55"/>
      <c r="U592" s="55"/>
      <c r="W592" s="27"/>
      <c r="Z592" s="27"/>
      <c r="AA592" s="27"/>
      <c r="AB592" s="27"/>
      <c r="AC592" s="27"/>
      <c r="AD592" s="13"/>
      <c r="AE592" s="13"/>
      <c r="AF592" s="13"/>
      <c r="AG592" s="27"/>
      <c r="AH592" s="27"/>
      <c r="AI592" s="27"/>
      <c r="AJ592" s="27"/>
      <c r="CL592" s="27"/>
    </row>
    <row r="593" spans="2:90" s="18" customFormat="1" ht="14.1" customHeight="1" x14ac:dyDescent="0.2">
      <c r="B593" s="54"/>
      <c r="C593" s="54"/>
      <c r="D593" s="54"/>
      <c r="E593" s="50"/>
      <c r="F593" s="50"/>
      <c r="G593" s="50"/>
      <c r="H593" s="50"/>
      <c r="I593" s="50"/>
      <c r="J593" s="50"/>
      <c r="K593" s="50"/>
      <c r="L593" s="50"/>
      <c r="M593" s="50"/>
      <c r="N593" s="51"/>
      <c r="O593" s="51"/>
      <c r="P593" s="52"/>
      <c r="Q593" s="55"/>
      <c r="R593" s="55"/>
      <c r="S593" s="55"/>
      <c r="T593" s="55"/>
      <c r="U593" s="55"/>
      <c r="W593" s="27"/>
      <c r="Z593" s="27"/>
      <c r="AA593" s="27"/>
      <c r="AB593" s="27"/>
      <c r="AC593" s="27"/>
      <c r="AD593" s="13"/>
      <c r="AE593" s="13"/>
      <c r="AF593" s="13"/>
      <c r="AG593" s="27"/>
      <c r="AH593" s="27"/>
      <c r="AI593" s="27"/>
      <c r="AJ593" s="27"/>
      <c r="CL593" s="27"/>
    </row>
    <row r="594" spans="2:90" s="18" customFormat="1" ht="14.1" customHeight="1" x14ac:dyDescent="0.2">
      <c r="B594" s="54"/>
      <c r="C594" s="54"/>
      <c r="D594" s="54"/>
      <c r="E594" s="50"/>
      <c r="F594" s="50"/>
      <c r="G594" s="50"/>
      <c r="H594" s="50"/>
      <c r="I594" s="50"/>
      <c r="J594" s="50"/>
      <c r="K594" s="50"/>
      <c r="L594" s="50"/>
      <c r="M594" s="50"/>
      <c r="N594" s="51"/>
      <c r="O594" s="51"/>
      <c r="P594" s="52"/>
      <c r="Q594" s="55"/>
      <c r="R594" s="55"/>
      <c r="S594" s="55"/>
      <c r="T594" s="55"/>
      <c r="U594" s="55"/>
      <c r="W594" s="27"/>
      <c r="Z594" s="27"/>
      <c r="AA594" s="27"/>
      <c r="AB594" s="27"/>
      <c r="AC594" s="27"/>
      <c r="AD594" s="13"/>
      <c r="AE594" s="13"/>
      <c r="AF594" s="13"/>
      <c r="AG594" s="27"/>
      <c r="AH594" s="27"/>
      <c r="AI594" s="27"/>
      <c r="AJ594" s="27"/>
      <c r="CL594" s="27"/>
    </row>
    <row r="595" spans="2:90" s="18" customFormat="1" ht="14.1" customHeight="1" x14ac:dyDescent="0.2">
      <c r="B595" s="54"/>
      <c r="C595" s="54"/>
      <c r="D595" s="54"/>
      <c r="E595" s="50"/>
      <c r="F595" s="50"/>
      <c r="G595" s="50"/>
      <c r="H595" s="50"/>
      <c r="I595" s="50"/>
      <c r="J595" s="50"/>
      <c r="K595" s="50"/>
      <c r="L595" s="50"/>
      <c r="M595" s="50"/>
      <c r="N595" s="51"/>
      <c r="O595" s="51"/>
      <c r="P595" s="52"/>
      <c r="Q595" s="55"/>
      <c r="R595" s="55"/>
      <c r="S595" s="55"/>
      <c r="T595" s="55"/>
      <c r="U595" s="55"/>
      <c r="W595" s="27"/>
      <c r="Z595" s="27"/>
      <c r="AA595" s="27"/>
      <c r="AB595" s="27"/>
      <c r="AC595" s="27"/>
      <c r="AD595" s="13"/>
      <c r="AE595" s="13"/>
      <c r="AF595" s="13"/>
      <c r="AG595" s="27"/>
      <c r="AH595" s="27"/>
      <c r="AI595" s="27"/>
      <c r="AJ595" s="27"/>
      <c r="CL595" s="27"/>
    </row>
    <row r="596" spans="2:90" s="18" customFormat="1" ht="14.1" customHeight="1" x14ac:dyDescent="0.2">
      <c r="B596" s="54"/>
      <c r="C596" s="54"/>
      <c r="D596" s="54"/>
      <c r="E596" s="50"/>
      <c r="F596" s="50"/>
      <c r="G596" s="50"/>
      <c r="H596" s="50"/>
      <c r="I596" s="50"/>
      <c r="J596" s="50"/>
      <c r="K596" s="50"/>
      <c r="L596" s="50"/>
      <c r="M596" s="50"/>
      <c r="N596" s="51"/>
      <c r="O596" s="51"/>
      <c r="P596" s="52"/>
      <c r="Q596" s="55"/>
      <c r="R596" s="55"/>
      <c r="S596" s="55"/>
      <c r="T596" s="55"/>
      <c r="U596" s="55"/>
      <c r="W596" s="27"/>
      <c r="Z596" s="27"/>
      <c r="AA596" s="27"/>
      <c r="AB596" s="27"/>
      <c r="AC596" s="27"/>
      <c r="AD596" s="13"/>
      <c r="AE596" s="13"/>
      <c r="AF596" s="13"/>
      <c r="AG596" s="27"/>
      <c r="AH596" s="27"/>
      <c r="AI596" s="27"/>
      <c r="AJ596" s="27"/>
      <c r="CL596" s="27"/>
    </row>
    <row r="597" spans="2:90" s="18" customFormat="1" ht="14.1" customHeight="1" x14ac:dyDescent="0.2">
      <c r="B597" s="54"/>
      <c r="C597" s="54"/>
      <c r="D597" s="54"/>
      <c r="E597" s="50"/>
      <c r="F597" s="50"/>
      <c r="G597" s="50"/>
      <c r="H597" s="50"/>
      <c r="I597" s="50"/>
      <c r="J597" s="50"/>
      <c r="K597" s="50"/>
      <c r="L597" s="50"/>
      <c r="M597" s="50"/>
      <c r="N597" s="51"/>
      <c r="O597" s="51"/>
      <c r="P597" s="52"/>
      <c r="Q597" s="55"/>
      <c r="R597" s="55"/>
      <c r="S597" s="55"/>
      <c r="T597" s="55"/>
      <c r="U597" s="55"/>
      <c r="W597" s="27"/>
      <c r="Z597" s="27"/>
      <c r="AA597" s="27"/>
      <c r="AB597" s="27"/>
      <c r="AC597" s="27"/>
      <c r="AD597" s="13"/>
      <c r="AE597" s="13"/>
      <c r="AF597" s="13"/>
      <c r="AG597" s="27"/>
      <c r="AH597" s="27"/>
      <c r="AI597" s="27"/>
      <c r="AJ597" s="27"/>
      <c r="CL597" s="27"/>
    </row>
    <row r="598" spans="2:90" s="18" customFormat="1" ht="14.1" customHeight="1" x14ac:dyDescent="0.2">
      <c r="B598" s="54"/>
      <c r="C598" s="54"/>
      <c r="D598" s="54"/>
      <c r="E598" s="50"/>
      <c r="F598" s="50"/>
      <c r="G598" s="50"/>
      <c r="H598" s="50"/>
      <c r="I598" s="50"/>
      <c r="J598" s="50"/>
      <c r="K598" s="50"/>
      <c r="L598" s="50"/>
      <c r="M598" s="50"/>
      <c r="N598" s="51"/>
      <c r="O598" s="51"/>
      <c r="P598" s="52"/>
      <c r="Q598" s="55"/>
      <c r="R598" s="55"/>
      <c r="S598" s="55"/>
      <c r="T598" s="55"/>
      <c r="U598" s="55"/>
      <c r="W598" s="27"/>
      <c r="Z598" s="27"/>
      <c r="AA598" s="27"/>
      <c r="AB598" s="27"/>
      <c r="AC598" s="27"/>
      <c r="AD598" s="13"/>
      <c r="AE598" s="13"/>
      <c r="AF598" s="13"/>
      <c r="AG598" s="27"/>
      <c r="AH598" s="27"/>
      <c r="AI598" s="27"/>
      <c r="AJ598" s="27"/>
      <c r="CL598" s="27"/>
    </row>
    <row r="599" spans="2:90" s="18" customFormat="1" ht="14.1" customHeight="1" x14ac:dyDescent="0.2">
      <c r="B599" s="54"/>
      <c r="C599" s="54"/>
      <c r="D599" s="54"/>
      <c r="E599" s="50"/>
      <c r="F599" s="50"/>
      <c r="G599" s="50"/>
      <c r="H599" s="50"/>
      <c r="I599" s="50"/>
      <c r="J599" s="50"/>
      <c r="K599" s="50"/>
      <c r="L599" s="50"/>
      <c r="M599" s="50"/>
      <c r="N599" s="51"/>
      <c r="O599" s="51"/>
      <c r="P599" s="52"/>
      <c r="Q599" s="55"/>
      <c r="R599" s="55"/>
      <c r="S599" s="55"/>
      <c r="T599" s="55"/>
      <c r="U599" s="55"/>
      <c r="W599" s="27"/>
      <c r="Z599" s="27"/>
      <c r="AA599" s="27"/>
      <c r="AB599" s="27"/>
      <c r="AC599" s="27"/>
      <c r="AD599" s="13"/>
      <c r="AE599" s="13"/>
      <c r="AF599" s="13"/>
      <c r="AG599" s="27"/>
      <c r="AH599" s="27"/>
      <c r="AI599" s="27"/>
      <c r="AJ599" s="27"/>
      <c r="CL599" s="27"/>
    </row>
    <row r="600" spans="2:90" s="18" customFormat="1" ht="14.1" customHeight="1" x14ac:dyDescent="0.2">
      <c r="B600" s="54"/>
      <c r="C600" s="54"/>
      <c r="D600" s="54"/>
      <c r="E600" s="50"/>
      <c r="F600" s="50"/>
      <c r="G600" s="50"/>
      <c r="H600" s="50"/>
      <c r="I600" s="50"/>
      <c r="J600" s="50"/>
      <c r="K600" s="50"/>
      <c r="L600" s="50"/>
      <c r="M600" s="50"/>
      <c r="N600" s="51"/>
      <c r="O600" s="51"/>
      <c r="P600" s="52"/>
      <c r="Q600" s="55"/>
      <c r="R600" s="55"/>
      <c r="S600" s="55"/>
      <c r="T600" s="55"/>
      <c r="U600" s="55"/>
      <c r="W600" s="27"/>
      <c r="Z600" s="27"/>
      <c r="AA600" s="27"/>
      <c r="AB600" s="27"/>
      <c r="AC600" s="27"/>
      <c r="AD600" s="13"/>
      <c r="AE600" s="13"/>
      <c r="AF600" s="13"/>
      <c r="AG600" s="27"/>
      <c r="AH600" s="27"/>
      <c r="AI600" s="27"/>
      <c r="AJ600" s="27"/>
      <c r="CL600" s="27"/>
    </row>
    <row r="601" spans="2:90" s="18" customFormat="1" ht="14.1" customHeight="1" x14ac:dyDescent="0.2">
      <c r="B601" s="54"/>
      <c r="C601" s="54"/>
      <c r="D601" s="54"/>
      <c r="E601" s="50"/>
      <c r="F601" s="50"/>
      <c r="G601" s="50"/>
      <c r="H601" s="50"/>
      <c r="I601" s="50"/>
      <c r="J601" s="50"/>
      <c r="K601" s="50"/>
      <c r="L601" s="50"/>
      <c r="M601" s="50"/>
      <c r="N601" s="51"/>
      <c r="O601" s="51"/>
      <c r="P601" s="52"/>
      <c r="Q601" s="55"/>
      <c r="R601" s="55"/>
      <c r="S601" s="55"/>
      <c r="T601" s="55"/>
      <c r="U601" s="55"/>
      <c r="W601" s="27"/>
      <c r="Z601" s="27"/>
      <c r="AA601" s="27"/>
      <c r="AB601" s="27"/>
      <c r="AC601" s="27"/>
      <c r="AD601" s="13"/>
      <c r="AE601" s="13"/>
      <c r="AF601" s="13"/>
      <c r="AG601" s="27"/>
      <c r="AH601" s="27"/>
      <c r="AI601" s="27"/>
      <c r="AJ601" s="27"/>
      <c r="CL601" s="27"/>
    </row>
    <row r="602" spans="2:90" s="18" customFormat="1" ht="14.1" customHeight="1" x14ac:dyDescent="0.2">
      <c r="B602" s="54"/>
      <c r="C602" s="54"/>
      <c r="D602" s="54"/>
      <c r="E602" s="50"/>
      <c r="F602" s="50"/>
      <c r="G602" s="50"/>
      <c r="H602" s="50"/>
      <c r="I602" s="50"/>
      <c r="J602" s="50"/>
      <c r="K602" s="50"/>
      <c r="L602" s="50"/>
      <c r="M602" s="50"/>
      <c r="N602" s="51"/>
      <c r="O602" s="51"/>
      <c r="P602" s="52"/>
      <c r="Q602" s="55"/>
      <c r="R602" s="55"/>
      <c r="S602" s="55"/>
      <c r="T602" s="55"/>
      <c r="U602" s="55"/>
      <c r="W602" s="27"/>
      <c r="Z602" s="27"/>
      <c r="AA602" s="27"/>
      <c r="AB602" s="27"/>
      <c r="AC602" s="27"/>
      <c r="AD602" s="13"/>
      <c r="AE602" s="13"/>
      <c r="AF602" s="13"/>
      <c r="AG602" s="27"/>
      <c r="AH602" s="27"/>
      <c r="AI602" s="27"/>
      <c r="AJ602" s="27"/>
      <c r="CL602" s="27"/>
    </row>
    <row r="603" spans="2:90" s="18" customFormat="1" ht="14.1" customHeight="1" x14ac:dyDescent="0.2">
      <c r="B603" s="54"/>
      <c r="C603" s="54"/>
      <c r="D603" s="54"/>
      <c r="E603" s="50"/>
      <c r="F603" s="50"/>
      <c r="G603" s="50"/>
      <c r="H603" s="50"/>
      <c r="I603" s="50"/>
      <c r="J603" s="50"/>
      <c r="K603" s="50"/>
      <c r="L603" s="50"/>
      <c r="M603" s="50"/>
      <c r="N603" s="51"/>
      <c r="O603" s="51"/>
      <c r="P603" s="52"/>
      <c r="Q603" s="55"/>
      <c r="R603" s="55"/>
      <c r="S603" s="55"/>
      <c r="T603" s="55"/>
      <c r="U603" s="55"/>
      <c r="W603" s="27"/>
      <c r="Z603" s="27"/>
      <c r="AA603" s="27"/>
      <c r="AB603" s="27"/>
      <c r="AC603" s="27"/>
      <c r="AD603" s="13"/>
      <c r="AE603" s="13"/>
      <c r="AF603" s="13"/>
      <c r="AG603" s="27"/>
      <c r="AH603" s="27"/>
      <c r="AI603" s="27"/>
      <c r="AJ603" s="27"/>
      <c r="CL603" s="27"/>
    </row>
    <row r="604" spans="2:90" s="18" customFormat="1" ht="14.1" customHeight="1" x14ac:dyDescent="0.2">
      <c r="B604" s="54"/>
      <c r="C604" s="54"/>
      <c r="D604" s="54"/>
      <c r="E604" s="50"/>
      <c r="F604" s="50"/>
      <c r="G604" s="50"/>
      <c r="H604" s="50"/>
      <c r="I604" s="50"/>
      <c r="J604" s="50"/>
      <c r="K604" s="50"/>
      <c r="L604" s="50"/>
      <c r="M604" s="50"/>
      <c r="N604" s="51"/>
      <c r="O604" s="51"/>
      <c r="P604" s="52"/>
      <c r="Q604" s="55"/>
      <c r="R604" s="55"/>
      <c r="S604" s="55"/>
      <c r="T604" s="55"/>
      <c r="U604" s="55"/>
      <c r="W604" s="27"/>
      <c r="Z604" s="27"/>
      <c r="AA604" s="27"/>
      <c r="AB604" s="27"/>
      <c r="AC604" s="27"/>
      <c r="AD604" s="13"/>
      <c r="AE604" s="13"/>
      <c r="AF604" s="13"/>
      <c r="AG604" s="27"/>
      <c r="AH604" s="27"/>
      <c r="AI604" s="27"/>
      <c r="AJ604" s="27"/>
      <c r="CL604" s="27"/>
    </row>
    <row r="605" spans="2:90" s="18" customFormat="1" ht="14.1" customHeight="1" x14ac:dyDescent="0.2">
      <c r="B605" s="54"/>
      <c r="C605" s="54"/>
      <c r="D605" s="54"/>
      <c r="E605" s="50"/>
      <c r="F605" s="50"/>
      <c r="G605" s="50"/>
      <c r="H605" s="50"/>
      <c r="I605" s="50"/>
      <c r="J605" s="50"/>
      <c r="K605" s="50"/>
      <c r="L605" s="50"/>
      <c r="M605" s="50"/>
      <c r="N605" s="51"/>
      <c r="O605" s="51"/>
      <c r="P605" s="52"/>
      <c r="Q605" s="55"/>
      <c r="R605" s="55"/>
      <c r="S605" s="55"/>
      <c r="T605" s="55"/>
      <c r="U605" s="55"/>
      <c r="W605" s="27"/>
      <c r="Z605" s="27"/>
      <c r="AA605" s="27"/>
      <c r="AB605" s="27"/>
      <c r="AC605" s="27"/>
      <c r="AD605" s="13"/>
      <c r="AE605" s="13"/>
      <c r="AF605" s="13"/>
      <c r="AG605" s="27"/>
      <c r="AH605" s="27"/>
      <c r="AI605" s="27"/>
      <c r="AJ605" s="27"/>
      <c r="CL605" s="27"/>
    </row>
    <row r="606" spans="2:90" s="18" customFormat="1" ht="14.1" customHeight="1" x14ac:dyDescent="0.2">
      <c r="B606" s="54"/>
      <c r="C606" s="54"/>
      <c r="D606" s="54"/>
      <c r="E606" s="50"/>
      <c r="F606" s="50"/>
      <c r="G606" s="50"/>
      <c r="H606" s="50"/>
      <c r="I606" s="50"/>
      <c r="J606" s="50"/>
      <c r="K606" s="50"/>
      <c r="L606" s="50"/>
      <c r="M606" s="50"/>
      <c r="N606" s="51"/>
      <c r="O606" s="51"/>
      <c r="P606" s="52"/>
      <c r="Q606" s="55"/>
      <c r="R606" s="55"/>
      <c r="S606" s="55"/>
      <c r="T606" s="55"/>
      <c r="U606" s="55"/>
      <c r="W606" s="27"/>
      <c r="Z606" s="27"/>
      <c r="AA606" s="27"/>
      <c r="AB606" s="27"/>
      <c r="AC606" s="27"/>
      <c r="AD606" s="13"/>
      <c r="AE606" s="13"/>
      <c r="AF606" s="13"/>
      <c r="AG606" s="27"/>
      <c r="AH606" s="27"/>
      <c r="AI606" s="27"/>
      <c r="AJ606" s="27"/>
      <c r="CL606" s="27"/>
    </row>
    <row r="607" spans="2:90" s="18" customFormat="1" ht="14.1" customHeight="1" x14ac:dyDescent="0.2">
      <c r="B607" s="54"/>
      <c r="C607" s="54"/>
      <c r="D607" s="54"/>
      <c r="E607" s="50"/>
      <c r="F607" s="50"/>
      <c r="G607" s="50"/>
      <c r="H607" s="50"/>
      <c r="I607" s="50"/>
      <c r="J607" s="50"/>
      <c r="K607" s="50"/>
      <c r="L607" s="50"/>
      <c r="M607" s="50"/>
      <c r="N607" s="51"/>
      <c r="O607" s="51"/>
      <c r="P607" s="52"/>
      <c r="Q607" s="55"/>
      <c r="R607" s="55"/>
      <c r="S607" s="55"/>
      <c r="T607" s="55"/>
      <c r="U607" s="55"/>
      <c r="W607" s="27"/>
      <c r="Z607" s="27"/>
      <c r="AA607" s="27"/>
      <c r="AB607" s="27"/>
      <c r="AC607" s="27"/>
      <c r="AD607" s="13"/>
      <c r="AE607" s="13"/>
      <c r="AF607" s="13"/>
      <c r="AG607" s="27"/>
      <c r="AH607" s="27"/>
      <c r="AI607" s="27"/>
      <c r="AJ607" s="27"/>
      <c r="CL607" s="27"/>
    </row>
    <row r="608" spans="2:90" s="18" customFormat="1" ht="14.1" customHeight="1" x14ac:dyDescent="0.2">
      <c r="B608" s="54"/>
      <c r="C608" s="54"/>
      <c r="D608" s="54"/>
      <c r="E608" s="50"/>
      <c r="F608" s="50"/>
      <c r="G608" s="50"/>
      <c r="H608" s="50"/>
      <c r="I608" s="50"/>
      <c r="J608" s="50"/>
      <c r="K608" s="50"/>
      <c r="L608" s="50"/>
      <c r="M608" s="50"/>
      <c r="N608" s="51"/>
      <c r="O608" s="51"/>
      <c r="P608" s="52"/>
      <c r="Q608" s="55"/>
      <c r="R608" s="55"/>
      <c r="S608" s="55"/>
      <c r="T608" s="55"/>
      <c r="U608" s="55"/>
      <c r="W608" s="27"/>
      <c r="Z608" s="27"/>
      <c r="AA608" s="27"/>
      <c r="AB608" s="27"/>
      <c r="AC608" s="27"/>
      <c r="AD608" s="13"/>
      <c r="AE608" s="13"/>
      <c r="AF608" s="13"/>
      <c r="AG608" s="27"/>
      <c r="AH608" s="27"/>
      <c r="AI608" s="27"/>
      <c r="AJ608" s="27"/>
      <c r="CL608" s="27"/>
    </row>
    <row r="609" spans="1:90" s="18" customFormat="1" ht="14.1" customHeight="1" x14ac:dyDescent="0.2">
      <c r="B609" s="54"/>
      <c r="C609" s="54"/>
      <c r="D609" s="54"/>
      <c r="E609" s="50"/>
      <c r="F609" s="50"/>
      <c r="G609" s="50"/>
      <c r="H609" s="50"/>
      <c r="I609" s="50"/>
      <c r="J609" s="50"/>
      <c r="K609" s="50"/>
      <c r="L609" s="50"/>
      <c r="M609" s="50"/>
      <c r="N609" s="51"/>
      <c r="O609" s="51"/>
      <c r="P609" s="52"/>
      <c r="Q609" s="55"/>
      <c r="R609" s="55"/>
      <c r="S609" s="55"/>
      <c r="T609" s="55"/>
      <c r="U609" s="55"/>
      <c r="W609" s="27"/>
      <c r="Z609" s="27"/>
      <c r="AA609" s="27"/>
      <c r="AB609" s="27"/>
      <c r="AC609" s="27"/>
      <c r="AD609" s="13"/>
      <c r="AE609" s="13"/>
      <c r="AF609" s="13"/>
      <c r="AG609" s="27"/>
      <c r="AH609" s="27"/>
      <c r="AI609" s="27"/>
      <c r="AJ609" s="27"/>
      <c r="CL609" s="27"/>
    </row>
    <row r="610" spans="1:90" s="18" customFormat="1" ht="14.1" customHeight="1" x14ac:dyDescent="0.2">
      <c r="B610" s="54"/>
      <c r="C610" s="54"/>
      <c r="D610" s="54"/>
      <c r="E610" s="50"/>
      <c r="F610" s="50"/>
      <c r="G610" s="50"/>
      <c r="H610" s="50"/>
      <c r="I610" s="50"/>
      <c r="J610" s="50"/>
      <c r="K610" s="50"/>
      <c r="L610" s="50"/>
      <c r="M610" s="50"/>
      <c r="N610" s="51"/>
      <c r="O610" s="51"/>
      <c r="P610" s="52"/>
      <c r="Q610" s="55"/>
      <c r="R610" s="55"/>
      <c r="S610" s="55"/>
      <c r="T610" s="55"/>
      <c r="U610" s="55"/>
      <c r="W610" s="27"/>
      <c r="Z610" s="27"/>
      <c r="AA610" s="27"/>
      <c r="AB610" s="27"/>
      <c r="AC610" s="27"/>
      <c r="AD610" s="13"/>
      <c r="AE610" s="13"/>
      <c r="AF610" s="13"/>
      <c r="AG610" s="27"/>
      <c r="AH610" s="27"/>
      <c r="AI610" s="27"/>
      <c r="AJ610" s="27"/>
      <c r="CL610" s="27"/>
    </row>
    <row r="611" spans="1:90" s="18" customFormat="1" ht="14.1" customHeight="1" x14ac:dyDescent="0.2">
      <c r="B611" s="54"/>
      <c r="C611" s="54"/>
      <c r="D611" s="54"/>
      <c r="E611" s="50"/>
      <c r="F611" s="50"/>
      <c r="G611" s="50"/>
      <c r="H611" s="50"/>
      <c r="I611" s="50"/>
      <c r="J611" s="50"/>
      <c r="K611" s="50"/>
      <c r="L611" s="50"/>
      <c r="M611" s="50"/>
      <c r="N611" s="51"/>
      <c r="O611" s="51"/>
      <c r="P611" s="52"/>
      <c r="Q611" s="55"/>
      <c r="R611" s="55"/>
      <c r="S611" s="55"/>
      <c r="T611" s="55"/>
      <c r="U611" s="55"/>
      <c r="W611" s="27"/>
      <c r="Z611" s="27"/>
      <c r="AA611" s="27"/>
      <c r="AB611" s="27"/>
      <c r="AC611" s="27"/>
      <c r="AD611" s="13"/>
      <c r="AE611" s="13"/>
      <c r="AF611" s="13"/>
      <c r="AG611" s="27"/>
      <c r="AH611" s="27"/>
      <c r="AI611" s="27"/>
      <c r="AJ611" s="27"/>
      <c r="CL611" s="27"/>
    </row>
    <row r="612" spans="1:90" s="18" customFormat="1" ht="14.1" customHeight="1" x14ac:dyDescent="0.2">
      <c r="B612" s="54"/>
      <c r="C612" s="54"/>
      <c r="D612" s="54"/>
      <c r="E612" s="50"/>
      <c r="F612" s="50"/>
      <c r="G612" s="50"/>
      <c r="H612" s="50"/>
      <c r="I612" s="50"/>
      <c r="J612" s="50"/>
      <c r="K612" s="50"/>
      <c r="L612" s="50"/>
      <c r="M612" s="50"/>
      <c r="N612" s="51"/>
      <c r="O612" s="51"/>
      <c r="P612" s="52"/>
      <c r="Q612" s="55"/>
      <c r="R612" s="55"/>
      <c r="S612" s="55"/>
      <c r="T612" s="55"/>
      <c r="U612" s="55"/>
      <c r="W612" s="27"/>
      <c r="Z612" s="27"/>
      <c r="AA612" s="27"/>
      <c r="AB612" s="27"/>
      <c r="AC612" s="27"/>
      <c r="AD612" s="13"/>
      <c r="AE612" s="13"/>
      <c r="AF612" s="13"/>
      <c r="AG612" s="27"/>
      <c r="AH612" s="27"/>
      <c r="AI612" s="27"/>
      <c r="AJ612" s="27"/>
      <c r="CL612" s="27"/>
    </row>
    <row r="613" spans="1:90" s="18" customFormat="1" ht="14.1" customHeight="1" x14ac:dyDescent="0.2">
      <c r="B613" s="54"/>
      <c r="C613" s="54"/>
      <c r="D613" s="54"/>
      <c r="E613" s="50"/>
      <c r="F613" s="50"/>
      <c r="G613" s="50"/>
      <c r="H613" s="50"/>
      <c r="I613" s="50"/>
      <c r="J613" s="50"/>
      <c r="K613" s="50"/>
      <c r="L613" s="50"/>
      <c r="M613" s="50"/>
      <c r="N613" s="51"/>
      <c r="O613" s="51"/>
      <c r="P613" s="52"/>
      <c r="Q613" s="55"/>
      <c r="R613" s="55"/>
      <c r="S613" s="55"/>
      <c r="T613" s="55"/>
      <c r="U613" s="55"/>
      <c r="W613" s="27"/>
      <c r="Z613" s="27"/>
      <c r="AA613" s="27"/>
      <c r="AB613" s="27"/>
      <c r="AC613" s="27"/>
      <c r="AD613" s="13"/>
      <c r="AE613" s="13"/>
      <c r="AF613" s="13"/>
      <c r="AG613" s="27"/>
      <c r="AH613" s="27"/>
      <c r="AI613" s="27"/>
      <c r="AJ613" s="27"/>
      <c r="CL613" s="27"/>
    </row>
    <row r="614" spans="1:90" s="18" customFormat="1" ht="14.1" customHeight="1" x14ac:dyDescent="0.2">
      <c r="B614" s="54"/>
      <c r="C614" s="54"/>
      <c r="D614" s="54"/>
      <c r="E614" s="50"/>
      <c r="F614" s="50"/>
      <c r="G614" s="50"/>
      <c r="H614" s="50"/>
      <c r="I614" s="50"/>
      <c r="J614" s="50"/>
      <c r="K614" s="50"/>
      <c r="L614" s="50"/>
      <c r="M614" s="50"/>
      <c r="N614" s="51"/>
      <c r="O614" s="51"/>
      <c r="P614" s="52"/>
      <c r="Q614" s="55"/>
      <c r="R614" s="55"/>
      <c r="S614" s="55"/>
      <c r="T614" s="55"/>
      <c r="U614" s="55"/>
      <c r="W614" s="27"/>
      <c r="Z614" s="27"/>
      <c r="AA614" s="27"/>
      <c r="AB614" s="27"/>
      <c r="AC614" s="27"/>
      <c r="AD614" s="13"/>
      <c r="AE614" s="13"/>
      <c r="AF614" s="13"/>
      <c r="AG614" s="27"/>
      <c r="AH614" s="27"/>
      <c r="AI614" s="27"/>
      <c r="AJ614" s="27"/>
      <c r="CL614" s="27"/>
    </row>
    <row r="615" spans="1:90" s="18" customFormat="1" ht="14.1" customHeight="1" x14ac:dyDescent="0.2">
      <c r="B615" s="54"/>
      <c r="C615" s="54"/>
      <c r="D615" s="54"/>
      <c r="E615" s="50"/>
      <c r="F615" s="50"/>
      <c r="G615" s="50"/>
      <c r="H615" s="50"/>
      <c r="I615" s="50"/>
      <c r="J615" s="50"/>
      <c r="K615" s="50"/>
      <c r="L615" s="50"/>
      <c r="M615" s="50"/>
      <c r="N615" s="51"/>
      <c r="O615" s="51"/>
      <c r="P615" s="52"/>
      <c r="Q615" s="55"/>
      <c r="R615" s="55"/>
      <c r="S615" s="55"/>
      <c r="T615" s="55"/>
      <c r="U615" s="55"/>
      <c r="W615" s="27"/>
      <c r="Z615" s="27"/>
      <c r="AA615" s="27"/>
      <c r="AB615" s="27"/>
      <c r="AC615" s="27"/>
      <c r="AD615" s="13"/>
      <c r="AE615" s="13"/>
      <c r="AF615" s="13"/>
      <c r="AG615" s="27"/>
      <c r="AH615" s="27"/>
      <c r="AI615" s="27"/>
      <c r="AJ615" s="27"/>
      <c r="CL615" s="27"/>
    </row>
    <row r="616" spans="1:90" s="18" customFormat="1" ht="14.1" customHeight="1" x14ac:dyDescent="0.2">
      <c r="B616" s="54"/>
      <c r="C616" s="54"/>
      <c r="D616" s="54"/>
      <c r="E616" s="50"/>
      <c r="F616" s="50"/>
      <c r="G616" s="50"/>
      <c r="H616" s="50"/>
      <c r="I616" s="50"/>
      <c r="J616" s="50"/>
      <c r="K616" s="50"/>
      <c r="L616" s="50"/>
      <c r="M616" s="50"/>
      <c r="N616" s="51"/>
      <c r="O616" s="51"/>
      <c r="P616" s="52"/>
      <c r="Q616" s="55"/>
      <c r="R616" s="55"/>
      <c r="S616" s="55"/>
      <c r="T616" s="55"/>
      <c r="U616" s="55"/>
      <c r="W616" s="27"/>
      <c r="Z616" s="27"/>
      <c r="AA616" s="27"/>
      <c r="AB616" s="27"/>
      <c r="AC616" s="27"/>
      <c r="AD616" s="13"/>
      <c r="AE616" s="13"/>
      <c r="AF616" s="13"/>
      <c r="AG616" s="27"/>
      <c r="AH616" s="27"/>
      <c r="AI616" s="27"/>
      <c r="AJ616" s="27"/>
      <c r="CL616" s="27"/>
    </row>
    <row r="617" spans="1:90" s="18" customFormat="1" ht="14.1" customHeight="1" x14ac:dyDescent="0.2">
      <c r="B617" s="54"/>
      <c r="C617" s="54"/>
      <c r="D617" s="54"/>
      <c r="E617" s="50"/>
      <c r="F617" s="50"/>
      <c r="G617" s="50"/>
      <c r="H617" s="50"/>
      <c r="I617" s="50"/>
      <c r="J617" s="50"/>
      <c r="K617" s="50"/>
      <c r="L617" s="50"/>
      <c r="M617" s="50"/>
      <c r="N617" s="51"/>
      <c r="O617" s="51"/>
      <c r="P617" s="52"/>
      <c r="Q617" s="55"/>
      <c r="R617" s="55"/>
      <c r="S617" s="55"/>
      <c r="T617" s="55"/>
      <c r="U617" s="55"/>
      <c r="W617" s="27"/>
      <c r="Z617" s="27"/>
      <c r="AA617" s="27"/>
      <c r="AB617" s="27"/>
      <c r="AC617" s="27"/>
      <c r="AD617" s="13"/>
      <c r="AE617" s="13"/>
      <c r="AF617" s="13"/>
      <c r="AG617" s="27"/>
      <c r="AH617" s="27"/>
      <c r="AI617" s="27"/>
      <c r="AJ617" s="27"/>
      <c r="CL617" s="27"/>
    </row>
    <row r="618" spans="1:90" s="28" customFormat="1" ht="14.1" customHeight="1" x14ac:dyDescent="0.2">
      <c r="B618" s="29"/>
      <c r="C618" s="29"/>
      <c r="D618" s="29"/>
      <c r="E618" s="30"/>
      <c r="F618" s="31"/>
      <c r="G618" s="32"/>
      <c r="H618" s="32"/>
      <c r="I618" s="32"/>
      <c r="J618" s="18"/>
      <c r="K618" s="33"/>
      <c r="L618" s="33"/>
      <c r="M618" s="32"/>
      <c r="N618" s="13"/>
      <c r="O618" s="13"/>
      <c r="P618" s="13"/>
      <c r="Q618" s="13"/>
      <c r="R618" s="13"/>
      <c r="S618" s="13"/>
      <c r="T618" s="13"/>
      <c r="U618" s="34"/>
      <c r="CL618" s="13"/>
    </row>
    <row r="619" spans="1:90" s="28" customFormat="1" ht="14.1" customHeight="1" x14ac:dyDescent="0.2">
      <c r="B619" s="29"/>
      <c r="C619" s="29"/>
      <c r="D619" s="29"/>
      <c r="E619" s="30"/>
      <c r="F619" s="31"/>
      <c r="G619" s="32"/>
      <c r="H619" s="32"/>
      <c r="I619" s="32"/>
      <c r="J619" s="18"/>
      <c r="K619" s="33"/>
      <c r="L619" s="33"/>
      <c r="M619" s="32"/>
      <c r="N619" s="13"/>
      <c r="O619" s="13"/>
      <c r="P619" s="13"/>
      <c r="Q619" s="13"/>
      <c r="R619" s="13"/>
      <c r="S619" s="13"/>
      <c r="T619" s="13"/>
      <c r="U619" s="34"/>
    </row>
    <row r="620" spans="1:90" s="28" customFormat="1" ht="14.1" customHeight="1" x14ac:dyDescent="0.2">
      <c r="A620" s="13"/>
      <c r="B620" s="29"/>
      <c r="C620" s="29"/>
      <c r="D620" s="29"/>
      <c r="E620" s="30"/>
      <c r="F620" s="31"/>
      <c r="G620" s="32"/>
      <c r="H620" s="32"/>
      <c r="I620" s="32"/>
      <c r="J620" s="18"/>
      <c r="K620" s="33"/>
      <c r="L620" s="33"/>
      <c r="M620" s="32"/>
      <c r="N620" s="13"/>
      <c r="O620" s="13"/>
      <c r="P620" s="13"/>
      <c r="Q620" s="13"/>
      <c r="R620" s="13"/>
      <c r="S620" s="13"/>
      <c r="T620" s="13"/>
      <c r="U620" s="34"/>
    </row>
    <row r="621" spans="1:90" s="13" customFormat="1" ht="14.1" customHeight="1" x14ac:dyDescent="0.2">
      <c r="B621" s="29"/>
      <c r="C621" s="29"/>
      <c r="D621" s="29"/>
      <c r="E621" s="30"/>
      <c r="F621" s="31"/>
      <c r="G621" s="32"/>
      <c r="H621" s="32"/>
      <c r="I621" s="32"/>
      <c r="J621" s="18"/>
      <c r="K621" s="33"/>
      <c r="L621" s="33"/>
      <c r="M621" s="32"/>
      <c r="U621" s="35"/>
      <c r="CL621" s="28"/>
    </row>
    <row r="622" spans="1:90" s="13" customFormat="1" ht="14.1" customHeight="1" x14ac:dyDescent="0.2">
      <c r="B622" s="29"/>
      <c r="C622" s="29"/>
      <c r="D622" s="29"/>
      <c r="E622" s="30"/>
      <c r="F622" s="31"/>
      <c r="G622" s="32"/>
      <c r="H622" s="32"/>
      <c r="I622" s="32"/>
      <c r="J622" s="18"/>
      <c r="K622" s="33"/>
      <c r="L622" s="33"/>
      <c r="M622" s="32"/>
      <c r="U622" s="35"/>
    </row>
    <row r="623" spans="1:90" s="13" customFormat="1" ht="14.1" customHeight="1" x14ac:dyDescent="0.2">
      <c r="B623" s="29"/>
      <c r="C623" s="29"/>
      <c r="D623" s="29"/>
      <c r="E623" s="30"/>
      <c r="F623" s="31"/>
      <c r="G623" s="32"/>
      <c r="H623" s="32"/>
      <c r="I623" s="32"/>
      <c r="J623" s="18"/>
      <c r="K623" s="33"/>
      <c r="L623" s="33"/>
      <c r="M623" s="32"/>
      <c r="U623" s="35"/>
    </row>
    <row r="624" spans="1:90" s="13" customFormat="1" ht="14.1" customHeight="1" x14ac:dyDescent="0.2">
      <c r="B624" s="29"/>
      <c r="C624" s="29"/>
      <c r="D624" s="29"/>
      <c r="E624" s="30"/>
      <c r="F624" s="31"/>
      <c r="G624" s="32"/>
      <c r="H624" s="32"/>
      <c r="I624" s="32"/>
      <c r="J624" s="18"/>
      <c r="K624" s="33"/>
      <c r="L624" s="33"/>
      <c r="M624" s="32"/>
      <c r="U624" s="35"/>
    </row>
    <row r="625" spans="2:21" s="13" customFormat="1" ht="14.1" customHeight="1" x14ac:dyDescent="0.2">
      <c r="B625" s="29"/>
      <c r="C625" s="29"/>
      <c r="D625" s="29"/>
      <c r="E625" s="30"/>
      <c r="F625" s="31"/>
      <c r="G625" s="32"/>
      <c r="H625" s="32"/>
      <c r="I625" s="32"/>
      <c r="J625" s="18"/>
      <c r="K625" s="33"/>
      <c r="L625" s="33"/>
      <c r="M625" s="32"/>
      <c r="U625" s="35"/>
    </row>
    <row r="626" spans="2:21" s="13" customFormat="1" ht="14.1" customHeight="1" x14ac:dyDescent="0.2">
      <c r="B626" s="29"/>
      <c r="C626" s="29"/>
      <c r="D626" s="29"/>
      <c r="E626" s="30"/>
      <c r="F626" s="31"/>
      <c r="G626" s="32"/>
      <c r="H626" s="32"/>
      <c r="I626" s="32"/>
      <c r="J626" s="18"/>
      <c r="K626" s="33"/>
      <c r="L626" s="33"/>
      <c r="M626" s="32"/>
      <c r="U626" s="35"/>
    </row>
    <row r="627" spans="2:21" s="13" customFormat="1" ht="14.1" customHeight="1" x14ac:dyDescent="0.2">
      <c r="B627" s="29"/>
      <c r="C627" s="29"/>
      <c r="D627" s="29"/>
      <c r="E627" s="30"/>
      <c r="F627" s="31"/>
      <c r="G627" s="32"/>
      <c r="H627" s="32"/>
      <c r="I627" s="32"/>
      <c r="J627" s="18"/>
      <c r="K627" s="33"/>
      <c r="L627" s="33"/>
      <c r="M627" s="32"/>
      <c r="U627" s="35"/>
    </row>
    <row r="628" spans="2:21" s="13" customFormat="1" ht="14.1" customHeight="1" x14ac:dyDescent="0.2">
      <c r="B628" s="29"/>
      <c r="C628" s="29"/>
      <c r="D628" s="29"/>
      <c r="E628" s="30"/>
      <c r="F628" s="31"/>
      <c r="G628" s="32"/>
      <c r="H628" s="32"/>
      <c r="I628" s="32"/>
      <c r="J628" s="18"/>
      <c r="K628" s="33"/>
      <c r="L628" s="33"/>
      <c r="M628" s="32"/>
      <c r="U628" s="35"/>
    </row>
    <row r="629" spans="2:21" s="13" customFormat="1" ht="14.1" customHeight="1" x14ac:dyDescent="0.2">
      <c r="B629" s="29"/>
      <c r="C629" s="29"/>
      <c r="D629" s="29"/>
      <c r="E629" s="30"/>
      <c r="F629" s="31"/>
      <c r="G629" s="32"/>
      <c r="H629" s="32"/>
      <c r="I629" s="32"/>
      <c r="J629" s="18"/>
      <c r="K629" s="33"/>
      <c r="L629" s="33"/>
      <c r="M629" s="32"/>
      <c r="U629" s="35"/>
    </row>
    <row r="630" spans="2:21" s="13" customFormat="1" ht="14.1" customHeight="1" x14ac:dyDescent="0.2">
      <c r="B630" s="29"/>
      <c r="C630" s="29"/>
      <c r="D630" s="29"/>
      <c r="E630" s="30"/>
      <c r="F630" s="31"/>
      <c r="G630" s="32"/>
      <c r="H630" s="32"/>
      <c r="I630" s="32"/>
      <c r="J630" s="18"/>
      <c r="K630" s="33"/>
      <c r="L630" s="33"/>
      <c r="M630" s="32"/>
      <c r="U630" s="35"/>
    </row>
    <row r="631" spans="2:21" s="13" customFormat="1" ht="14.1" customHeight="1" x14ac:dyDescent="0.2">
      <c r="B631" s="29"/>
      <c r="C631" s="29"/>
      <c r="D631" s="29"/>
      <c r="E631" s="30"/>
      <c r="F631" s="31"/>
      <c r="G631" s="32"/>
      <c r="H631" s="32"/>
      <c r="I631" s="32"/>
      <c r="J631" s="18"/>
      <c r="K631" s="33"/>
      <c r="L631" s="33"/>
      <c r="M631" s="32"/>
      <c r="U631" s="35"/>
    </row>
    <row r="632" spans="2:21" s="13" customFormat="1" ht="14.1" customHeight="1" x14ac:dyDescent="0.2">
      <c r="B632" s="29"/>
      <c r="C632" s="29"/>
      <c r="D632" s="29"/>
      <c r="E632" s="30"/>
      <c r="F632" s="31"/>
      <c r="G632" s="32"/>
      <c r="H632" s="32"/>
      <c r="I632" s="32"/>
      <c r="J632" s="18"/>
      <c r="K632" s="33"/>
      <c r="L632" s="33"/>
      <c r="M632" s="32"/>
      <c r="U632" s="35"/>
    </row>
    <row r="633" spans="2:21" s="13" customFormat="1" ht="14.1" customHeight="1" x14ac:dyDescent="0.2">
      <c r="B633" s="29"/>
      <c r="C633" s="29"/>
      <c r="D633" s="29"/>
      <c r="E633" s="30"/>
      <c r="F633" s="31"/>
      <c r="G633" s="32"/>
      <c r="H633" s="32"/>
      <c r="I633" s="32"/>
      <c r="J633" s="18"/>
      <c r="K633" s="33"/>
      <c r="L633" s="33"/>
      <c r="M633" s="32"/>
      <c r="U633" s="35"/>
    </row>
    <row r="634" spans="2:21" s="13" customFormat="1" ht="14.1" customHeight="1" x14ac:dyDescent="0.2">
      <c r="B634" s="29"/>
      <c r="C634" s="29"/>
      <c r="D634" s="29"/>
      <c r="E634" s="30"/>
      <c r="F634" s="31"/>
      <c r="G634" s="32"/>
      <c r="H634" s="32"/>
      <c r="I634" s="32"/>
      <c r="J634" s="18"/>
      <c r="K634" s="33"/>
      <c r="L634" s="33"/>
      <c r="M634" s="32"/>
      <c r="U634" s="35"/>
    </row>
    <row r="635" spans="2:21" s="13" customFormat="1" ht="14.1" customHeight="1" x14ac:dyDescent="0.2">
      <c r="B635" s="29"/>
      <c r="C635" s="29"/>
      <c r="D635" s="29"/>
      <c r="E635" s="30"/>
      <c r="F635" s="31"/>
      <c r="G635" s="32"/>
      <c r="H635" s="32"/>
      <c r="I635" s="32"/>
      <c r="J635" s="18"/>
      <c r="K635" s="33"/>
      <c r="L635" s="33"/>
      <c r="M635" s="32"/>
      <c r="U635" s="35"/>
    </row>
    <row r="636" spans="2:21" s="13" customFormat="1" ht="14.1" customHeight="1" x14ac:dyDescent="0.2">
      <c r="B636" s="29"/>
      <c r="C636" s="29"/>
      <c r="D636" s="29"/>
      <c r="E636" s="30"/>
      <c r="F636" s="31"/>
      <c r="G636" s="32"/>
      <c r="H636" s="32"/>
      <c r="I636" s="32"/>
      <c r="J636" s="18"/>
      <c r="K636" s="33"/>
      <c r="L636" s="33"/>
      <c r="M636" s="32"/>
      <c r="U636" s="35"/>
    </row>
    <row r="637" spans="2:21" s="13" customFormat="1" ht="14.1" customHeight="1" x14ac:dyDescent="0.2">
      <c r="B637" s="29"/>
      <c r="C637" s="29"/>
      <c r="D637" s="29"/>
      <c r="E637" s="30"/>
      <c r="F637" s="31"/>
      <c r="G637" s="32"/>
      <c r="H637" s="32"/>
      <c r="I637" s="32"/>
      <c r="J637" s="18"/>
      <c r="K637" s="33"/>
      <c r="L637" s="33"/>
      <c r="M637" s="32"/>
      <c r="U637" s="35"/>
    </row>
    <row r="638" spans="2:21" s="13" customFormat="1" ht="14.1" customHeight="1" x14ac:dyDescent="0.2">
      <c r="B638" s="29"/>
      <c r="C638" s="29"/>
      <c r="D638" s="29"/>
      <c r="E638" s="30"/>
      <c r="F638" s="31"/>
      <c r="G638" s="32"/>
      <c r="H638" s="32"/>
      <c r="I638" s="32"/>
      <c r="J638" s="18"/>
      <c r="K638" s="33"/>
      <c r="L638" s="33"/>
      <c r="M638" s="32"/>
      <c r="U638" s="35"/>
    </row>
    <row r="639" spans="2:21" s="13" customFormat="1" ht="14.1" customHeight="1" x14ac:dyDescent="0.2">
      <c r="B639" s="29"/>
      <c r="C639" s="29"/>
      <c r="D639" s="29"/>
      <c r="E639" s="30"/>
      <c r="F639" s="31"/>
      <c r="G639" s="32"/>
      <c r="H639" s="32"/>
      <c r="I639" s="32"/>
      <c r="J639" s="18"/>
      <c r="K639" s="33"/>
      <c r="L639" s="33"/>
      <c r="M639" s="32"/>
      <c r="U639" s="35"/>
    </row>
    <row r="640" spans="2:21" s="13" customFormat="1" ht="14.1" customHeight="1" x14ac:dyDescent="0.2">
      <c r="B640" s="29"/>
      <c r="C640" s="29"/>
      <c r="D640" s="29"/>
      <c r="E640" s="30"/>
      <c r="F640" s="31"/>
      <c r="G640" s="32"/>
      <c r="H640" s="32"/>
      <c r="I640" s="32"/>
      <c r="J640" s="18"/>
      <c r="K640" s="33"/>
      <c r="L640" s="33"/>
      <c r="M640" s="32"/>
      <c r="U640" s="35"/>
    </row>
    <row r="641" spans="2:21" s="13" customFormat="1" ht="14.1" customHeight="1" x14ac:dyDescent="0.2">
      <c r="B641" s="29"/>
      <c r="C641" s="29"/>
      <c r="D641" s="29"/>
      <c r="E641" s="30"/>
      <c r="F641" s="31"/>
      <c r="G641" s="32"/>
      <c r="H641" s="32"/>
      <c r="I641" s="32"/>
      <c r="J641" s="18"/>
      <c r="K641" s="33"/>
      <c r="L641" s="33"/>
      <c r="M641" s="32"/>
      <c r="U641" s="35"/>
    </row>
    <row r="642" spans="2:21" s="13" customFormat="1" ht="14.1" customHeight="1" x14ac:dyDescent="0.2">
      <c r="B642" s="29"/>
      <c r="C642" s="29"/>
      <c r="D642" s="29"/>
      <c r="E642" s="30"/>
      <c r="F642" s="31"/>
      <c r="G642" s="32"/>
      <c r="H642" s="32"/>
      <c r="I642" s="32"/>
      <c r="J642" s="18"/>
      <c r="K642" s="33"/>
      <c r="L642" s="33"/>
      <c r="M642" s="32"/>
      <c r="U642" s="35"/>
    </row>
    <row r="643" spans="2:21" s="13" customFormat="1" ht="14.1" customHeight="1" x14ac:dyDescent="0.2">
      <c r="B643" s="29"/>
      <c r="C643" s="29"/>
      <c r="D643" s="29"/>
      <c r="E643" s="30"/>
      <c r="F643" s="31"/>
      <c r="G643" s="32"/>
      <c r="H643" s="32"/>
      <c r="I643" s="32"/>
      <c r="J643" s="18"/>
      <c r="K643" s="33"/>
      <c r="L643" s="33"/>
      <c r="M643" s="32"/>
      <c r="U643" s="35"/>
    </row>
    <row r="644" spans="2:21" s="13" customFormat="1" ht="14.1" customHeight="1" x14ac:dyDescent="0.2">
      <c r="B644" s="29"/>
      <c r="C644" s="29"/>
      <c r="D644" s="29"/>
      <c r="E644" s="30"/>
      <c r="F644" s="31"/>
      <c r="G644" s="32"/>
      <c r="H644" s="32"/>
      <c r="I644" s="32"/>
      <c r="J644" s="18"/>
      <c r="K644" s="33"/>
      <c r="L644" s="33"/>
      <c r="M644" s="32"/>
      <c r="U644" s="35"/>
    </row>
    <row r="645" spans="2:21" s="13" customFormat="1" ht="14.1" customHeight="1" x14ac:dyDescent="0.2">
      <c r="B645" s="29"/>
      <c r="C645" s="29"/>
      <c r="D645" s="29"/>
      <c r="E645" s="30"/>
      <c r="F645" s="31"/>
      <c r="G645" s="32"/>
      <c r="H645" s="32"/>
      <c r="I645" s="32"/>
      <c r="J645" s="18"/>
      <c r="K645" s="33"/>
      <c r="L645" s="33"/>
      <c r="M645" s="32"/>
      <c r="U645" s="35"/>
    </row>
    <row r="646" spans="2:21" s="13" customFormat="1" ht="14.1" customHeight="1" x14ac:dyDescent="0.2">
      <c r="B646" s="29"/>
      <c r="C646" s="29"/>
      <c r="D646" s="29"/>
      <c r="E646" s="30"/>
      <c r="F646" s="31"/>
      <c r="G646" s="32"/>
      <c r="H646" s="32"/>
      <c r="I646" s="32"/>
      <c r="J646" s="18"/>
      <c r="K646" s="33"/>
      <c r="L646" s="33"/>
      <c r="M646" s="32"/>
      <c r="U646" s="35"/>
    </row>
    <row r="647" spans="2:21" s="13" customFormat="1" ht="14.1" customHeight="1" x14ac:dyDescent="0.2">
      <c r="B647" s="29"/>
      <c r="C647" s="29"/>
      <c r="D647" s="29"/>
      <c r="E647" s="30"/>
      <c r="F647" s="31"/>
      <c r="G647" s="32"/>
      <c r="H647" s="32"/>
      <c r="I647" s="32"/>
      <c r="J647" s="18"/>
      <c r="K647" s="33"/>
      <c r="L647" s="33"/>
      <c r="M647" s="32"/>
      <c r="U647" s="35"/>
    </row>
    <row r="648" spans="2:21" s="13" customFormat="1" ht="14.1" customHeight="1" x14ac:dyDescent="0.2">
      <c r="B648" s="29"/>
      <c r="C648" s="29"/>
      <c r="D648" s="29"/>
      <c r="E648" s="30"/>
      <c r="F648" s="31"/>
      <c r="G648" s="32"/>
      <c r="H648" s="32"/>
      <c r="I648" s="32"/>
      <c r="J648" s="18"/>
      <c r="K648" s="33"/>
      <c r="L648" s="33"/>
      <c r="M648" s="32"/>
      <c r="U648" s="35"/>
    </row>
    <row r="649" spans="2:21" s="13" customFormat="1" ht="14.1" customHeight="1" x14ac:dyDescent="0.2">
      <c r="B649" s="29"/>
      <c r="C649" s="29"/>
      <c r="D649" s="29"/>
      <c r="E649" s="30"/>
      <c r="F649" s="31"/>
      <c r="G649" s="32"/>
      <c r="H649" s="32"/>
      <c r="I649" s="32"/>
      <c r="J649" s="18"/>
      <c r="K649" s="33"/>
      <c r="L649" s="33"/>
      <c r="M649" s="32"/>
      <c r="U649" s="35"/>
    </row>
    <row r="650" spans="2:21" s="13" customFormat="1" ht="14.1" customHeight="1" x14ac:dyDescent="0.2">
      <c r="B650" s="29"/>
      <c r="C650" s="29"/>
      <c r="D650" s="29"/>
      <c r="E650" s="30"/>
      <c r="F650" s="31"/>
      <c r="G650" s="32"/>
      <c r="H650" s="32"/>
      <c r="I650" s="32"/>
      <c r="J650" s="18"/>
      <c r="K650" s="33"/>
      <c r="L650" s="33"/>
      <c r="M650" s="32"/>
      <c r="U650" s="35"/>
    </row>
    <row r="651" spans="2:21" s="13" customFormat="1" ht="14.1" customHeight="1" x14ac:dyDescent="0.2">
      <c r="B651" s="29"/>
      <c r="C651" s="29"/>
      <c r="D651" s="29"/>
      <c r="E651" s="30"/>
      <c r="F651" s="31"/>
      <c r="G651" s="32"/>
      <c r="H651" s="32"/>
      <c r="I651" s="32"/>
      <c r="J651" s="18"/>
      <c r="K651" s="33"/>
      <c r="L651" s="33"/>
      <c r="M651" s="32"/>
      <c r="U651" s="35"/>
    </row>
    <row r="652" spans="2:21" s="13" customFormat="1" ht="14.1" customHeight="1" x14ac:dyDescent="0.2">
      <c r="B652" s="29"/>
      <c r="C652" s="29"/>
      <c r="D652" s="29"/>
      <c r="E652" s="30"/>
      <c r="F652" s="31"/>
      <c r="G652" s="32"/>
      <c r="H652" s="32"/>
      <c r="I652" s="32"/>
      <c r="J652" s="18"/>
      <c r="K652" s="33"/>
      <c r="L652" s="33"/>
      <c r="M652" s="32"/>
      <c r="U652" s="35"/>
    </row>
    <row r="653" spans="2:21" s="13" customFormat="1" ht="14.1" customHeight="1" x14ac:dyDescent="0.2">
      <c r="B653" s="29"/>
      <c r="C653" s="29"/>
      <c r="D653" s="29"/>
      <c r="E653" s="30"/>
      <c r="F653" s="31"/>
      <c r="G653" s="32"/>
      <c r="H653" s="32"/>
      <c r="I653" s="32"/>
      <c r="J653" s="18"/>
      <c r="K653" s="33"/>
      <c r="L653" s="33"/>
      <c r="M653" s="32"/>
      <c r="U653" s="35"/>
    </row>
    <row r="654" spans="2:21" s="13" customFormat="1" ht="14.1" customHeight="1" x14ac:dyDescent="0.2">
      <c r="B654" s="29"/>
      <c r="C654" s="29"/>
      <c r="D654" s="29"/>
      <c r="E654" s="30"/>
      <c r="F654" s="31"/>
      <c r="G654" s="32"/>
      <c r="H654" s="32"/>
      <c r="I654" s="32"/>
      <c r="J654" s="18"/>
      <c r="K654" s="33"/>
      <c r="L654" s="33"/>
      <c r="M654" s="32"/>
      <c r="U654" s="35"/>
    </row>
    <row r="655" spans="2:21" s="13" customFormat="1" ht="14.1" customHeight="1" x14ac:dyDescent="0.2">
      <c r="B655" s="29"/>
      <c r="C655" s="29"/>
      <c r="D655" s="29"/>
      <c r="E655" s="30"/>
      <c r="F655" s="31"/>
      <c r="G655" s="32"/>
      <c r="H655" s="32"/>
      <c r="I655" s="32"/>
      <c r="J655" s="18"/>
      <c r="K655" s="33"/>
      <c r="L655" s="33"/>
      <c r="M655" s="32"/>
      <c r="U655" s="35"/>
    </row>
    <row r="656" spans="2:21" s="13" customFormat="1" ht="14.1" customHeight="1" x14ac:dyDescent="0.2">
      <c r="B656" s="29"/>
      <c r="C656" s="29"/>
      <c r="D656" s="29"/>
      <c r="E656" s="30"/>
      <c r="F656" s="31"/>
      <c r="G656" s="32"/>
      <c r="H656" s="32"/>
      <c r="I656" s="32"/>
      <c r="J656" s="18"/>
      <c r="K656" s="33"/>
      <c r="L656" s="33"/>
      <c r="M656" s="32"/>
      <c r="U656" s="35"/>
    </row>
    <row r="657" spans="2:21" s="13" customFormat="1" ht="14.1" customHeight="1" x14ac:dyDescent="0.2">
      <c r="B657" s="29"/>
      <c r="C657" s="29"/>
      <c r="D657" s="29"/>
      <c r="E657" s="30"/>
      <c r="F657" s="31"/>
      <c r="G657" s="32"/>
      <c r="H657" s="32"/>
      <c r="I657" s="32"/>
      <c r="J657" s="18"/>
      <c r="K657" s="33"/>
      <c r="L657" s="33"/>
      <c r="M657" s="32"/>
      <c r="U657" s="35"/>
    </row>
    <row r="658" spans="2:21" s="13" customFormat="1" ht="14.1" customHeight="1" x14ac:dyDescent="0.2">
      <c r="B658" s="29"/>
      <c r="C658" s="29"/>
      <c r="D658" s="29"/>
      <c r="E658" s="30"/>
      <c r="F658" s="31"/>
      <c r="G658" s="32"/>
      <c r="H658" s="32"/>
      <c r="I658" s="32"/>
      <c r="J658" s="18"/>
      <c r="K658" s="33"/>
      <c r="L658" s="33"/>
      <c r="M658" s="32"/>
      <c r="U658" s="35"/>
    </row>
    <row r="659" spans="2:21" s="13" customFormat="1" ht="14.1" customHeight="1" x14ac:dyDescent="0.2">
      <c r="B659" s="29"/>
      <c r="C659" s="29"/>
      <c r="D659" s="29"/>
      <c r="E659" s="30"/>
      <c r="F659" s="31"/>
      <c r="G659" s="32"/>
      <c r="H659" s="32"/>
      <c r="I659" s="32"/>
      <c r="J659" s="18"/>
      <c r="K659" s="33"/>
      <c r="L659" s="33"/>
      <c r="M659" s="32"/>
      <c r="U659" s="35"/>
    </row>
    <row r="660" spans="2:21" s="13" customFormat="1" ht="14.1" customHeight="1" x14ac:dyDescent="0.2">
      <c r="B660" s="29"/>
      <c r="C660" s="29"/>
      <c r="D660" s="29"/>
      <c r="E660" s="30"/>
      <c r="F660" s="31"/>
      <c r="G660" s="32"/>
      <c r="H660" s="32"/>
      <c r="I660" s="32"/>
      <c r="J660" s="18"/>
      <c r="K660" s="33"/>
      <c r="L660" s="33"/>
      <c r="M660" s="32"/>
      <c r="U660" s="35"/>
    </row>
    <row r="661" spans="2:21" s="13" customFormat="1" ht="14.1" customHeight="1" x14ac:dyDescent="0.2">
      <c r="B661" s="29"/>
      <c r="C661" s="29"/>
      <c r="D661" s="29"/>
      <c r="E661" s="30"/>
      <c r="F661" s="31"/>
      <c r="G661" s="32"/>
      <c r="H661" s="32"/>
      <c r="I661" s="32"/>
      <c r="J661" s="18"/>
      <c r="K661" s="33"/>
      <c r="L661" s="33"/>
      <c r="M661" s="32"/>
      <c r="U661" s="35"/>
    </row>
    <row r="662" spans="2:21" s="13" customFormat="1" ht="14.1" customHeight="1" x14ac:dyDescent="0.2">
      <c r="B662" s="29"/>
      <c r="C662" s="29"/>
      <c r="D662" s="29"/>
      <c r="E662" s="30"/>
      <c r="F662" s="31"/>
      <c r="G662" s="32"/>
      <c r="H662" s="32"/>
      <c r="I662" s="32"/>
      <c r="J662" s="18"/>
      <c r="K662" s="33"/>
      <c r="L662" s="33"/>
      <c r="M662" s="32"/>
      <c r="U662" s="35"/>
    </row>
    <row r="663" spans="2:21" s="13" customFormat="1" ht="14.1" customHeight="1" x14ac:dyDescent="0.2">
      <c r="B663" s="29"/>
      <c r="C663" s="29"/>
      <c r="D663" s="29"/>
      <c r="E663" s="30"/>
      <c r="F663" s="31"/>
      <c r="G663" s="32"/>
      <c r="H663" s="32"/>
      <c r="I663" s="32"/>
      <c r="J663" s="18"/>
      <c r="K663" s="33"/>
      <c r="L663" s="33"/>
      <c r="M663" s="32"/>
      <c r="U663" s="35"/>
    </row>
    <row r="664" spans="2:21" s="13" customFormat="1" ht="14.1" customHeight="1" x14ac:dyDescent="0.2">
      <c r="B664" s="29"/>
      <c r="C664" s="29"/>
      <c r="D664" s="29"/>
      <c r="E664" s="30"/>
      <c r="F664" s="31"/>
      <c r="G664" s="32"/>
      <c r="H664" s="32"/>
      <c r="I664" s="32"/>
      <c r="J664" s="18"/>
      <c r="K664" s="33"/>
      <c r="L664" s="33"/>
      <c r="M664" s="32"/>
      <c r="U664" s="35"/>
    </row>
    <row r="665" spans="2:21" s="13" customFormat="1" ht="14.1" customHeight="1" x14ac:dyDescent="0.2">
      <c r="B665" s="29"/>
      <c r="C665" s="29"/>
      <c r="D665" s="29"/>
      <c r="E665" s="30"/>
      <c r="F665" s="31"/>
      <c r="G665" s="32"/>
      <c r="H665" s="32"/>
      <c r="I665" s="32"/>
      <c r="J665" s="18"/>
      <c r="K665" s="33"/>
      <c r="L665" s="33"/>
      <c r="M665" s="32"/>
      <c r="U665" s="35"/>
    </row>
    <row r="666" spans="2:21" s="13" customFormat="1" ht="14.1" customHeight="1" x14ac:dyDescent="0.2">
      <c r="B666" s="29"/>
      <c r="C666" s="29"/>
      <c r="D666" s="29"/>
      <c r="E666" s="30"/>
      <c r="F666" s="31"/>
      <c r="G666" s="32"/>
      <c r="H666" s="32"/>
      <c r="I666" s="32"/>
      <c r="J666" s="18"/>
      <c r="K666" s="33"/>
      <c r="L666" s="33"/>
      <c r="M666" s="32"/>
      <c r="U666" s="35"/>
    </row>
    <row r="667" spans="2:21" s="13" customFormat="1" ht="14.1" customHeight="1" x14ac:dyDescent="0.2">
      <c r="B667" s="29"/>
      <c r="C667" s="29"/>
      <c r="D667" s="29"/>
      <c r="E667" s="30"/>
      <c r="F667" s="31"/>
      <c r="G667" s="32"/>
      <c r="H667" s="32"/>
      <c r="I667" s="32"/>
      <c r="J667" s="18"/>
      <c r="K667" s="33"/>
      <c r="L667" s="33"/>
      <c r="M667" s="32"/>
      <c r="U667" s="35"/>
    </row>
    <row r="668" spans="2:21" s="13" customFormat="1" ht="14.1" customHeight="1" x14ac:dyDescent="0.2">
      <c r="B668" s="29"/>
      <c r="C668" s="29"/>
      <c r="D668" s="29"/>
      <c r="E668" s="30"/>
      <c r="F668" s="31"/>
      <c r="G668" s="32"/>
      <c r="H668" s="32"/>
      <c r="I668" s="32"/>
      <c r="J668" s="18"/>
      <c r="K668" s="33"/>
      <c r="L668" s="33"/>
      <c r="M668" s="32"/>
      <c r="U668" s="35"/>
    </row>
    <row r="669" spans="2:21" s="13" customFormat="1" ht="14.1" customHeight="1" x14ac:dyDescent="0.2">
      <c r="B669" s="29"/>
      <c r="C669" s="29"/>
      <c r="D669" s="29"/>
      <c r="E669" s="30"/>
      <c r="F669" s="31"/>
      <c r="G669" s="32"/>
      <c r="H669" s="32"/>
      <c r="I669" s="32"/>
      <c r="J669" s="18"/>
      <c r="K669" s="33"/>
      <c r="L669" s="33"/>
      <c r="M669" s="32"/>
      <c r="U669" s="35"/>
    </row>
    <row r="670" spans="2:21" s="13" customFormat="1" ht="14.1" customHeight="1" x14ac:dyDescent="0.2">
      <c r="B670" s="29"/>
      <c r="C670" s="29"/>
      <c r="D670" s="29"/>
      <c r="E670" s="30"/>
      <c r="F670" s="31"/>
      <c r="G670" s="32"/>
      <c r="H670" s="32"/>
      <c r="I670" s="32"/>
      <c r="J670" s="18"/>
      <c r="K670" s="33"/>
      <c r="L670" s="33"/>
      <c r="M670" s="32"/>
      <c r="U670" s="35"/>
    </row>
    <row r="671" spans="2:21" s="13" customFormat="1" ht="14.1" customHeight="1" x14ac:dyDescent="0.2">
      <c r="B671" s="29"/>
      <c r="C671" s="29"/>
      <c r="D671" s="29"/>
      <c r="E671" s="30"/>
      <c r="F671" s="31"/>
      <c r="G671" s="32"/>
      <c r="H671" s="32"/>
      <c r="I671" s="32"/>
      <c r="J671" s="18"/>
      <c r="K671" s="33"/>
      <c r="L671" s="33"/>
      <c r="M671" s="32"/>
      <c r="U671" s="35"/>
    </row>
    <row r="672" spans="2:21" s="13" customFormat="1" ht="14.1" customHeight="1" x14ac:dyDescent="0.2">
      <c r="B672" s="29"/>
      <c r="C672" s="29"/>
      <c r="D672" s="29"/>
      <c r="E672" s="30"/>
      <c r="F672" s="31"/>
      <c r="G672" s="32"/>
      <c r="H672" s="32"/>
      <c r="I672" s="32"/>
      <c r="J672" s="18"/>
      <c r="K672" s="33"/>
      <c r="L672" s="33"/>
      <c r="M672" s="32"/>
      <c r="U672" s="35"/>
    </row>
    <row r="673" spans="2:21" s="13" customFormat="1" ht="14.1" customHeight="1" x14ac:dyDescent="0.2">
      <c r="B673" s="29"/>
      <c r="C673" s="29"/>
      <c r="D673" s="29"/>
      <c r="E673" s="30"/>
      <c r="F673" s="31"/>
      <c r="G673" s="32"/>
      <c r="H673" s="32"/>
      <c r="I673" s="32"/>
      <c r="J673" s="18"/>
      <c r="K673" s="33"/>
      <c r="L673" s="33"/>
      <c r="M673" s="32"/>
      <c r="U673" s="35"/>
    </row>
    <row r="674" spans="2:21" s="13" customFormat="1" ht="14.1" customHeight="1" x14ac:dyDescent="0.2">
      <c r="B674" s="29"/>
      <c r="C674" s="29"/>
      <c r="D674" s="29"/>
      <c r="E674" s="30"/>
      <c r="F674" s="31"/>
      <c r="G674" s="32"/>
      <c r="H674" s="32"/>
      <c r="I674" s="32"/>
      <c r="J674" s="18"/>
      <c r="K674" s="33"/>
      <c r="L674" s="33"/>
      <c r="M674" s="32"/>
      <c r="U674" s="35"/>
    </row>
    <row r="675" spans="2:21" s="13" customFormat="1" ht="14.1" customHeight="1" x14ac:dyDescent="0.2">
      <c r="B675" s="29"/>
      <c r="C675" s="29"/>
      <c r="D675" s="29"/>
      <c r="E675" s="30"/>
      <c r="F675" s="31"/>
      <c r="G675" s="32"/>
      <c r="H675" s="32"/>
      <c r="I675" s="32"/>
      <c r="J675" s="18"/>
      <c r="K675" s="33"/>
      <c r="L675" s="33"/>
      <c r="M675" s="32"/>
      <c r="U675" s="35"/>
    </row>
    <row r="676" spans="2:21" s="13" customFormat="1" ht="14.1" customHeight="1" x14ac:dyDescent="0.2">
      <c r="B676" s="29"/>
      <c r="C676" s="29"/>
      <c r="D676" s="29"/>
      <c r="E676" s="30"/>
      <c r="F676" s="31"/>
      <c r="G676" s="32"/>
      <c r="H676" s="32"/>
      <c r="I676" s="32"/>
      <c r="J676" s="18"/>
      <c r="K676" s="33"/>
      <c r="L676" s="33"/>
      <c r="M676" s="32"/>
      <c r="U676" s="35"/>
    </row>
    <row r="677" spans="2:21" s="13" customFormat="1" ht="14.1" customHeight="1" x14ac:dyDescent="0.2">
      <c r="B677" s="29"/>
      <c r="C677" s="29"/>
      <c r="D677" s="29"/>
      <c r="E677" s="30"/>
      <c r="F677" s="31"/>
      <c r="G677" s="32"/>
      <c r="H677" s="32"/>
      <c r="I677" s="32"/>
      <c r="J677" s="18"/>
      <c r="K677" s="33"/>
      <c r="L677" s="33"/>
      <c r="M677" s="32"/>
      <c r="U677" s="35"/>
    </row>
    <row r="678" spans="2:21" s="13" customFormat="1" ht="14.1" customHeight="1" x14ac:dyDescent="0.2">
      <c r="B678" s="29"/>
      <c r="C678" s="29"/>
      <c r="D678" s="29"/>
      <c r="E678" s="30"/>
      <c r="F678" s="31"/>
      <c r="G678" s="32"/>
      <c r="H678" s="32"/>
      <c r="I678" s="32"/>
      <c r="J678" s="18"/>
      <c r="K678" s="33"/>
      <c r="L678" s="33"/>
      <c r="M678" s="32"/>
      <c r="U678" s="35"/>
    </row>
    <row r="679" spans="2:21" s="13" customFormat="1" ht="14.1" customHeight="1" x14ac:dyDescent="0.2">
      <c r="B679" s="29"/>
      <c r="C679" s="29"/>
      <c r="D679" s="29"/>
      <c r="E679" s="30"/>
      <c r="F679" s="31"/>
      <c r="G679" s="32"/>
      <c r="H679" s="32"/>
      <c r="I679" s="32"/>
      <c r="J679" s="18"/>
      <c r="K679" s="33"/>
      <c r="L679" s="33"/>
      <c r="M679" s="32"/>
      <c r="U679" s="35"/>
    </row>
    <row r="680" spans="2:21" s="13" customFormat="1" ht="14.1" customHeight="1" x14ac:dyDescent="0.2">
      <c r="B680" s="29"/>
      <c r="C680" s="29"/>
      <c r="D680" s="29"/>
      <c r="E680" s="30"/>
      <c r="F680" s="31"/>
      <c r="G680" s="32"/>
      <c r="H680" s="32"/>
      <c r="I680" s="32"/>
      <c r="J680" s="18"/>
      <c r="K680" s="33"/>
      <c r="L680" s="33"/>
      <c r="M680" s="32"/>
      <c r="U680" s="35"/>
    </row>
    <row r="681" spans="2:21" s="13" customFormat="1" ht="14.1" customHeight="1" x14ac:dyDescent="0.2">
      <c r="B681" s="29"/>
      <c r="C681" s="29"/>
      <c r="D681" s="29"/>
      <c r="E681" s="30"/>
      <c r="F681" s="31"/>
      <c r="G681" s="32"/>
      <c r="H681" s="32"/>
      <c r="I681" s="32"/>
      <c r="J681" s="18"/>
      <c r="K681" s="33"/>
      <c r="L681" s="33"/>
      <c r="M681" s="32"/>
      <c r="U681" s="35"/>
    </row>
    <row r="682" spans="2:21" s="13" customFormat="1" ht="14.1" customHeight="1" x14ac:dyDescent="0.2">
      <c r="B682" s="29"/>
      <c r="C682" s="29"/>
      <c r="D682" s="29"/>
      <c r="E682" s="30"/>
      <c r="F682" s="31"/>
      <c r="G682" s="32"/>
      <c r="H682" s="32"/>
      <c r="I682" s="32"/>
      <c r="J682" s="18"/>
      <c r="K682" s="33"/>
      <c r="L682" s="33"/>
      <c r="M682" s="32"/>
      <c r="U682" s="35"/>
    </row>
    <row r="683" spans="2:21" s="13" customFormat="1" ht="14.1" customHeight="1" x14ac:dyDescent="0.2">
      <c r="B683" s="29"/>
      <c r="C683" s="29"/>
      <c r="D683" s="29"/>
      <c r="E683" s="30"/>
      <c r="F683" s="31"/>
      <c r="G683" s="32"/>
      <c r="H683" s="32"/>
      <c r="I683" s="32"/>
      <c r="J683" s="18"/>
      <c r="K683" s="33"/>
      <c r="L683" s="33"/>
      <c r="M683" s="32"/>
      <c r="U683" s="35"/>
    </row>
    <row r="684" spans="2:21" s="13" customFormat="1" ht="14.1" customHeight="1" x14ac:dyDescent="0.2">
      <c r="B684" s="29"/>
      <c r="C684" s="29"/>
      <c r="D684" s="29"/>
      <c r="E684" s="30"/>
      <c r="F684" s="31"/>
      <c r="G684" s="32"/>
      <c r="H684" s="32"/>
      <c r="I684" s="32"/>
      <c r="J684" s="18"/>
      <c r="K684" s="33"/>
      <c r="L684" s="33"/>
      <c r="M684" s="32"/>
      <c r="U684" s="35"/>
    </row>
    <row r="685" spans="2:21" s="13" customFormat="1" ht="14.1" customHeight="1" x14ac:dyDescent="0.2">
      <c r="B685" s="29"/>
      <c r="C685" s="29"/>
      <c r="D685" s="29"/>
      <c r="E685" s="30"/>
      <c r="F685" s="31"/>
      <c r="G685" s="32"/>
      <c r="H685" s="32"/>
      <c r="I685" s="32"/>
      <c r="J685" s="18"/>
      <c r="K685" s="33"/>
      <c r="L685" s="33"/>
      <c r="M685" s="32"/>
      <c r="U685" s="35"/>
    </row>
    <row r="686" spans="2:21" s="13" customFormat="1" ht="14.1" customHeight="1" x14ac:dyDescent="0.2">
      <c r="B686" s="29"/>
      <c r="C686" s="29"/>
      <c r="D686" s="29"/>
      <c r="E686" s="30"/>
      <c r="F686" s="31"/>
      <c r="G686" s="32"/>
      <c r="H686" s="32"/>
      <c r="I686" s="32"/>
      <c r="J686" s="18"/>
      <c r="K686" s="33"/>
      <c r="L686" s="33"/>
      <c r="M686" s="32"/>
      <c r="U686" s="35"/>
    </row>
    <row r="687" spans="2:21" s="13" customFormat="1" ht="14.1" customHeight="1" x14ac:dyDescent="0.2">
      <c r="B687" s="29"/>
      <c r="C687" s="29"/>
      <c r="D687" s="29"/>
      <c r="E687" s="30"/>
      <c r="F687" s="31"/>
      <c r="G687" s="32"/>
      <c r="H687" s="32"/>
      <c r="I687" s="32"/>
      <c r="J687" s="18"/>
      <c r="K687" s="33"/>
      <c r="L687" s="33"/>
      <c r="M687" s="32"/>
      <c r="U687" s="35"/>
    </row>
    <row r="688" spans="2:21" s="13" customFormat="1" ht="14.1" customHeight="1" x14ac:dyDescent="0.2">
      <c r="B688" s="29"/>
      <c r="C688" s="29"/>
      <c r="D688" s="29"/>
      <c r="E688" s="30"/>
      <c r="F688" s="31"/>
      <c r="G688" s="32"/>
      <c r="H688" s="32"/>
      <c r="I688" s="32"/>
      <c r="J688" s="18"/>
      <c r="K688" s="33"/>
      <c r="L688" s="33"/>
      <c r="M688" s="32"/>
      <c r="U688" s="35"/>
    </row>
    <row r="689" spans="2:21" s="13" customFormat="1" ht="14.1" customHeight="1" x14ac:dyDescent="0.2">
      <c r="B689" s="29"/>
      <c r="C689" s="29"/>
      <c r="D689" s="29"/>
      <c r="E689" s="30"/>
      <c r="F689" s="31"/>
      <c r="G689" s="32"/>
      <c r="H689" s="32"/>
      <c r="I689" s="32"/>
      <c r="J689" s="18"/>
      <c r="K689" s="33"/>
      <c r="L689" s="33"/>
      <c r="M689" s="32"/>
      <c r="U689" s="35"/>
    </row>
    <row r="690" spans="2:21" s="13" customFormat="1" ht="14.1" customHeight="1" x14ac:dyDescent="0.2">
      <c r="B690" s="29"/>
      <c r="C690" s="29"/>
      <c r="D690" s="29"/>
      <c r="E690" s="30"/>
      <c r="F690" s="31"/>
      <c r="G690" s="32"/>
      <c r="H690" s="32"/>
      <c r="I690" s="32"/>
      <c r="J690" s="18"/>
      <c r="K690" s="33"/>
      <c r="L690" s="33"/>
      <c r="M690" s="32"/>
      <c r="U690" s="35"/>
    </row>
    <row r="691" spans="2:21" s="13" customFormat="1" ht="14.1" customHeight="1" x14ac:dyDescent="0.2">
      <c r="B691" s="29"/>
      <c r="C691" s="29"/>
      <c r="D691" s="29"/>
      <c r="E691" s="30"/>
      <c r="F691" s="31"/>
      <c r="G691" s="32"/>
      <c r="H691" s="32"/>
      <c r="I691" s="32"/>
      <c r="J691" s="18"/>
      <c r="K691" s="33"/>
      <c r="L691" s="33"/>
      <c r="M691" s="32"/>
      <c r="U691" s="35"/>
    </row>
    <row r="692" spans="2:21" s="13" customFormat="1" ht="14.1" customHeight="1" x14ac:dyDescent="0.2">
      <c r="B692" s="29"/>
      <c r="C692" s="29"/>
      <c r="D692" s="29"/>
      <c r="E692" s="30"/>
      <c r="F692" s="31"/>
      <c r="G692" s="32"/>
      <c r="H692" s="32"/>
      <c r="I692" s="32"/>
      <c r="J692" s="18"/>
      <c r="K692" s="33"/>
      <c r="L692" s="33"/>
      <c r="M692" s="32"/>
      <c r="U692" s="35"/>
    </row>
    <row r="693" spans="2:21" s="13" customFormat="1" ht="14.1" customHeight="1" x14ac:dyDescent="0.2">
      <c r="B693" s="29"/>
      <c r="C693" s="29"/>
      <c r="D693" s="29"/>
      <c r="E693" s="30"/>
      <c r="F693" s="31"/>
      <c r="G693" s="32"/>
      <c r="H693" s="32"/>
      <c r="I693" s="32"/>
      <c r="J693" s="18"/>
      <c r="K693" s="33"/>
      <c r="L693" s="33"/>
      <c r="M693" s="32"/>
      <c r="U693" s="35"/>
    </row>
    <row r="694" spans="2:21" s="13" customFormat="1" ht="14.1" customHeight="1" x14ac:dyDescent="0.2">
      <c r="B694" s="29"/>
      <c r="C694" s="29"/>
      <c r="D694" s="29"/>
      <c r="E694" s="30"/>
      <c r="F694" s="31"/>
      <c r="G694" s="32"/>
      <c r="H694" s="32"/>
      <c r="I694" s="32"/>
      <c r="J694" s="18"/>
      <c r="K694" s="33"/>
      <c r="L694" s="33"/>
      <c r="M694" s="32"/>
      <c r="U694" s="35"/>
    </row>
    <row r="695" spans="2:21" s="13" customFormat="1" ht="14.1" customHeight="1" x14ac:dyDescent="0.2">
      <c r="B695" s="29"/>
      <c r="C695" s="29"/>
      <c r="D695" s="29"/>
      <c r="E695" s="30"/>
      <c r="F695" s="31"/>
      <c r="G695" s="32"/>
      <c r="H695" s="32"/>
      <c r="I695" s="32"/>
      <c r="J695" s="18"/>
      <c r="K695" s="33"/>
      <c r="L695" s="33"/>
      <c r="M695" s="32"/>
      <c r="U695" s="35"/>
    </row>
    <row r="696" spans="2:21" s="13" customFormat="1" ht="14.1" customHeight="1" x14ac:dyDescent="0.2">
      <c r="B696" s="29"/>
      <c r="C696" s="29"/>
      <c r="D696" s="29"/>
      <c r="E696" s="30"/>
      <c r="F696" s="31"/>
      <c r="G696" s="32"/>
      <c r="H696" s="32"/>
      <c r="I696" s="32"/>
      <c r="J696" s="18"/>
      <c r="K696" s="33"/>
      <c r="L696" s="33"/>
      <c r="M696" s="32"/>
      <c r="U696" s="35"/>
    </row>
    <row r="697" spans="2:21" s="13" customFormat="1" ht="14.1" customHeight="1" x14ac:dyDescent="0.2">
      <c r="B697" s="29"/>
      <c r="C697" s="29"/>
      <c r="D697" s="29"/>
      <c r="E697" s="30"/>
      <c r="F697" s="31"/>
      <c r="G697" s="32"/>
      <c r="H697" s="32"/>
      <c r="I697" s="32"/>
      <c r="J697" s="18"/>
      <c r="K697" s="33"/>
      <c r="L697" s="33"/>
      <c r="M697" s="32"/>
      <c r="U697" s="35"/>
    </row>
    <row r="698" spans="2:21" s="13" customFormat="1" ht="14.1" customHeight="1" x14ac:dyDescent="0.2">
      <c r="B698" s="29"/>
      <c r="C698" s="29"/>
      <c r="D698" s="29"/>
      <c r="E698" s="30"/>
      <c r="F698" s="31"/>
      <c r="G698" s="32"/>
      <c r="H698" s="32"/>
      <c r="I698" s="32"/>
      <c r="J698" s="18"/>
      <c r="K698" s="33"/>
      <c r="L698" s="33"/>
      <c r="M698" s="32"/>
      <c r="U698" s="35"/>
    </row>
    <row r="699" spans="2:21" s="13" customFormat="1" ht="14.1" customHeight="1" x14ac:dyDescent="0.2">
      <c r="B699" s="29"/>
      <c r="C699" s="29"/>
      <c r="D699" s="29"/>
      <c r="E699" s="30"/>
      <c r="F699" s="31"/>
      <c r="G699" s="32"/>
      <c r="H699" s="32"/>
      <c r="I699" s="32"/>
      <c r="J699" s="18"/>
      <c r="K699" s="33"/>
      <c r="L699" s="33"/>
      <c r="M699" s="32"/>
      <c r="U699" s="35"/>
    </row>
    <row r="700" spans="2:21" s="13" customFormat="1" ht="14.1" customHeight="1" x14ac:dyDescent="0.2">
      <c r="B700" s="29"/>
      <c r="C700" s="29"/>
      <c r="D700" s="29"/>
      <c r="E700" s="30"/>
      <c r="F700" s="31"/>
      <c r="G700" s="32"/>
      <c r="H700" s="32"/>
      <c r="I700" s="32"/>
      <c r="J700" s="18"/>
      <c r="K700" s="33"/>
      <c r="L700" s="33"/>
      <c r="M700" s="32"/>
      <c r="U700" s="35"/>
    </row>
    <row r="701" spans="2:21" s="13" customFormat="1" ht="14.1" customHeight="1" x14ac:dyDescent="0.2">
      <c r="B701" s="29"/>
      <c r="C701" s="29"/>
      <c r="D701" s="29"/>
      <c r="E701" s="30"/>
      <c r="F701" s="31"/>
      <c r="G701" s="32"/>
      <c r="H701" s="32"/>
      <c r="I701" s="32"/>
      <c r="J701" s="18"/>
      <c r="K701" s="33"/>
      <c r="L701" s="33"/>
      <c r="M701" s="32"/>
      <c r="U701" s="35"/>
    </row>
    <row r="702" spans="2:21" s="13" customFormat="1" ht="14.1" customHeight="1" x14ac:dyDescent="0.2">
      <c r="B702" s="29"/>
      <c r="C702" s="29"/>
      <c r="D702" s="29"/>
      <c r="E702" s="30"/>
      <c r="F702" s="31"/>
      <c r="G702" s="32"/>
      <c r="H702" s="32"/>
      <c r="I702" s="32"/>
      <c r="J702" s="18"/>
      <c r="K702" s="33"/>
      <c r="L702" s="33"/>
      <c r="M702" s="32"/>
      <c r="U702" s="35"/>
    </row>
    <row r="703" spans="2:21" s="13" customFormat="1" ht="14.1" customHeight="1" x14ac:dyDescent="0.2">
      <c r="B703" s="29"/>
      <c r="C703" s="29"/>
      <c r="D703" s="29"/>
      <c r="E703" s="30"/>
      <c r="F703" s="31"/>
      <c r="G703" s="32"/>
      <c r="H703" s="32"/>
      <c r="I703" s="32"/>
      <c r="J703" s="18"/>
      <c r="K703" s="33"/>
      <c r="L703" s="33"/>
      <c r="M703" s="32"/>
      <c r="U703" s="35"/>
    </row>
    <row r="704" spans="2:21" s="13" customFormat="1" ht="14.1" customHeight="1" x14ac:dyDescent="0.2">
      <c r="B704" s="29"/>
      <c r="C704" s="29"/>
      <c r="D704" s="29"/>
      <c r="E704" s="30"/>
      <c r="F704" s="31"/>
      <c r="G704" s="32"/>
      <c r="H704" s="32"/>
      <c r="I704" s="32"/>
      <c r="J704" s="18"/>
      <c r="K704" s="33"/>
      <c r="L704" s="33"/>
      <c r="M704" s="32"/>
      <c r="U704" s="35"/>
    </row>
    <row r="705" spans="2:21" s="13" customFormat="1" ht="14.1" customHeight="1" x14ac:dyDescent="0.2">
      <c r="B705" s="29"/>
      <c r="C705" s="29"/>
      <c r="D705" s="29"/>
      <c r="E705" s="30"/>
      <c r="F705" s="31"/>
      <c r="G705" s="32"/>
      <c r="H705" s="32"/>
      <c r="I705" s="32"/>
      <c r="J705" s="18"/>
      <c r="K705" s="33"/>
      <c r="L705" s="33"/>
      <c r="M705" s="32"/>
      <c r="U705" s="35"/>
    </row>
    <row r="706" spans="2:21" s="13" customFormat="1" ht="14.1" customHeight="1" x14ac:dyDescent="0.2">
      <c r="B706" s="29"/>
      <c r="C706" s="29"/>
      <c r="D706" s="29"/>
      <c r="E706" s="30"/>
      <c r="F706" s="31"/>
      <c r="G706" s="32"/>
      <c r="H706" s="32"/>
      <c r="I706" s="32"/>
      <c r="J706" s="18"/>
      <c r="K706" s="33"/>
      <c r="L706" s="33"/>
      <c r="M706" s="32"/>
      <c r="U706" s="35"/>
    </row>
    <row r="707" spans="2:21" s="13" customFormat="1" ht="14.1" customHeight="1" x14ac:dyDescent="0.2">
      <c r="B707" s="29"/>
      <c r="C707" s="29"/>
      <c r="D707" s="29"/>
      <c r="E707" s="30"/>
      <c r="F707" s="31"/>
      <c r="G707" s="32"/>
      <c r="H707" s="32"/>
      <c r="I707" s="32"/>
      <c r="J707" s="18"/>
      <c r="K707" s="33"/>
      <c r="L707" s="33"/>
      <c r="M707" s="32"/>
      <c r="U707" s="35"/>
    </row>
    <row r="708" spans="2:21" s="13" customFormat="1" ht="14.1" customHeight="1" x14ac:dyDescent="0.2">
      <c r="B708" s="29"/>
      <c r="C708" s="29"/>
      <c r="D708" s="29"/>
      <c r="E708" s="30"/>
      <c r="F708" s="31"/>
      <c r="G708" s="32"/>
      <c r="H708" s="32"/>
      <c r="I708" s="32"/>
      <c r="J708" s="18"/>
      <c r="K708" s="33"/>
      <c r="L708" s="33"/>
      <c r="M708" s="32"/>
      <c r="U708" s="35"/>
    </row>
    <row r="709" spans="2:21" s="13" customFormat="1" ht="14.1" customHeight="1" x14ac:dyDescent="0.2">
      <c r="B709" s="29"/>
      <c r="C709" s="29"/>
      <c r="D709" s="29"/>
      <c r="E709" s="30"/>
      <c r="F709" s="31"/>
      <c r="G709" s="32"/>
      <c r="H709" s="32"/>
      <c r="I709" s="32"/>
      <c r="J709" s="18"/>
      <c r="K709" s="33"/>
      <c r="L709" s="33"/>
      <c r="M709" s="32"/>
      <c r="U709" s="35"/>
    </row>
    <row r="710" spans="2:21" s="13" customFormat="1" ht="14.1" customHeight="1" x14ac:dyDescent="0.2">
      <c r="B710" s="29"/>
      <c r="C710" s="29"/>
      <c r="D710" s="29"/>
      <c r="E710" s="30"/>
      <c r="F710" s="31"/>
      <c r="G710" s="32"/>
      <c r="H710" s="32"/>
      <c r="I710" s="32"/>
      <c r="J710" s="18"/>
      <c r="K710" s="33"/>
      <c r="L710" s="33"/>
      <c r="M710" s="32"/>
      <c r="U710" s="35"/>
    </row>
    <row r="711" spans="2:21" s="13" customFormat="1" ht="14.1" customHeight="1" x14ac:dyDescent="0.2">
      <c r="B711" s="29"/>
      <c r="C711" s="29"/>
      <c r="D711" s="29"/>
      <c r="E711" s="30"/>
      <c r="F711" s="31"/>
      <c r="G711" s="32"/>
      <c r="H711" s="32"/>
      <c r="I711" s="32"/>
      <c r="J711" s="18"/>
      <c r="K711" s="33"/>
      <c r="L711" s="33"/>
      <c r="M711" s="32"/>
      <c r="U711" s="35"/>
    </row>
    <row r="712" spans="2:21" s="13" customFormat="1" ht="14.1" customHeight="1" x14ac:dyDescent="0.2">
      <c r="B712" s="29"/>
      <c r="C712" s="29"/>
      <c r="D712" s="29"/>
      <c r="E712" s="30"/>
      <c r="F712" s="31"/>
      <c r="G712" s="32"/>
      <c r="H712" s="32"/>
      <c r="I712" s="32"/>
      <c r="J712" s="18"/>
      <c r="K712" s="33"/>
      <c r="L712" s="33"/>
      <c r="M712" s="32"/>
      <c r="U712" s="35"/>
    </row>
    <row r="713" spans="2:21" s="13" customFormat="1" ht="14.1" customHeight="1" x14ac:dyDescent="0.2">
      <c r="B713" s="29"/>
      <c r="C713" s="29"/>
      <c r="D713" s="29"/>
      <c r="E713" s="30"/>
      <c r="F713" s="31"/>
      <c r="G713" s="32"/>
      <c r="H713" s="32"/>
      <c r="I713" s="32"/>
      <c r="J713" s="18"/>
      <c r="K713" s="33"/>
      <c r="L713" s="33"/>
      <c r="M713" s="32"/>
      <c r="U713" s="35"/>
    </row>
    <row r="714" spans="2:21" s="13" customFormat="1" ht="14.1" customHeight="1" x14ac:dyDescent="0.2">
      <c r="B714" s="29"/>
      <c r="C714" s="29"/>
      <c r="D714" s="29"/>
      <c r="E714" s="30"/>
      <c r="F714" s="31"/>
      <c r="G714" s="32"/>
      <c r="H714" s="32"/>
      <c r="I714" s="32"/>
      <c r="J714" s="18"/>
      <c r="K714" s="33"/>
      <c r="L714" s="33"/>
      <c r="M714" s="32"/>
      <c r="U714" s="35"/>
    </row>
    <row r="715" spans="2:21" s="13" customFormat="1" ht="14.1" customHeight="1" x14ac:dyDescent="0.2">
      <c r="B715" s="29"/>
      <c r="C715" s="29"/>
      <c r="D715" s="29"/>
      <c r="E715" s="30"/>
      <c r="F715" s="31"/>
      <c r="G715" s="32"/>
      <c r="H715" s="32"/>
      <c r="I715" s="32"/>
      <c r="J715" s="18"/>
      <c r="K715" s="33"/>
      <c r="L715" s="33"/>
      <c r="M715" s="32"/>
      <c r="U715" s="35"/>
    </row>
    <row r="716" spans="2:21" s="13" customFormat="1" ht="14.1" customHeight="1" x14ac:dyDescent="0.2">
      <c r="B716" s="29"/>
      <c r="C716" s="29"/>
      <c r="D716" s="29"/>
      <c r="E716" s="30"/>
      <c r="F716" s="31"/>
      <c r="G716" s="32"/>
      <c r="H716" s="32"/>
      <c r="I716" s="32"/>
      <c r="J716" s="18"/>
      <c r="K716" s="33"/>
      <c r="L716" s="33"/>
      <c r="M716" s="32"/>
      <c r="U716" s="35"/>
    </row>
    <row r="717" spans="2:21" s="13" customFormat="1" ht="14.1" customHeight="1" x14ac:dyDescent="0.2">
      <c r="B717" s="29"/>
      <c r="C717" s="29"/>
      <c r="D717" s="29"/>
      <c r="E717" s="30"/>
      <c r="F717" s="31"/>
      <c r="G717" s="32"/>
      <c r="H717" s="32"/>
      <c r="I717" s="32"/>
      <c r="J717" s="18"/>
      <c r="K717" s="33"/>
      <c r="L717" s="33"/>
      <c r="M717" s="32"/>
      <c r="U717" s="35"/>
    </row>
    <row r="718" spans="2:21" s="13" customFormat="1" ht="14.1" customHeight="1" x14ac:dyDescent="0.2">
      <c r="B718" s="29"/>
      <c r="C718" s="29"/>
      <c r="D718" s="29"/>
      <c r="E718" s="30"/>
      <c r="F718" s="31"/>
      <c r="G718" s="32"/>
      <c r="H718" s="32"/>
      <c r="I718" s="32"/>
      <c r="J718" s="18"/>
      <c r="K718" s="33"/>
      <c r="L718" s="33"/>
      <c r="M718" s="32"/>
      <c r="U718" s="35"/>
    </row>
    <row r="719" spans="2:21" s="13" customFormat="1" ht="14.1" customHeight="1" x14ac:dyDescent="0.2">
      <c r="B719" s="29"/>
      <c r="C719" s="29"/>
      <c r="D719" s="29"/>
      <c r="E719" s="30"/>
      <c r="F719" s="31"/>
      <c r="G719" s="32"/>
      <c r="H719" s="32"/>
      <c r="I719" s="32"/>
      <c r="J719" s="18"/>
      <c r="K719" s="33"/>
      <c r="L719" s="33"/>
      <c r="M719" s="32"/>
      <c r="U719" s="35"/>
    </row>
    <row r="720" spans="2:21" s="13" customFormat="1" ht="14.1" customHeight="1" x14ac:dyDescent="0.2">
      <c r="B720" s="29"/>
      <c r="C720" s="29"/>
      <c r="D720" s="29"/>
      <c r="E720" s="30"/>
      <c r="F720" s="31"/>
      <c r="G720" s="32"/>
      <c r="H720" s="32"/>
      <c r="I720" s="32"/>
      <c r="J720" s="18"/>
      <c r="K720" s="33"/>
      <c r="L720" s="33"/>
      <c r="M720" s="32"/>
      <c r="U720" s="35"/>
    </row>
    <row r="721" spans="2:21" s="13" customFormat="1" ht="14.1" customHeight="1" x14ac:dyDescent="0.2">
      <c r="B721" s="29"/>
      <c r="C721" s="29"/>
      <c r="D721" s="29"/>
      <c r="E721" s="30"/>
      <c r="F721" s="31"/>
      <c r="G721" s="32"/>
      <c r="H721" s="32"/>
      <c r="I721" s="32"/>
      <c r="J721" s="18"/>
      <c r="K721" s="33"/>
      <c r="L721" s="33"/>
      <c r="M721" s="32"/>
      <c r="U721" s="35"/>
    </row>
    <row r="722" spans="2:21" s="13" customFormat="1" ht="14.1" customHeight="1" x14ac:dyDescent="0.2">
      <c r="B722" s="29"/>
      <c r="C722" s="29"/>
      <c r="D722" s="29"/>
      <c r="E722" s="30"/>
      <c r="F722" s="31"/>
      <c r="G722" s="32"/>
      <c r="H722" s="32"/>
      <c r="I722" s="32"/>
      <c r="J722" s="18"/>
      <c r="K722" s="33"/>
      <c r="L722" s="33"/>
      <c r="M722" s="32"/>
      <c r="U722" s="35"/>
    </row>
    <row r="723" spans="2:21" s="13" customFormat="1" ht="14.1" customHeight="1" x14ac:dyDescent="0.2">
      <c r="B723" s="29"/>
      <c r="C723" s="29"/>
      <c r="D723" s="29"/>
      <c r="E723" s="30"/>
      <c r="F723" s="31"/>
      <c r="G723" s="32"/>
      <c r="H723" s="32"/>
      <c r="I723" s="32"/>
      <c r="J723" s="18"/>
      <c r="K723" s="33"/>
      <c r="L723" s="33"/>
      <c r="M723" s="32"/>
      <c r="U723" s="35"/>
    </row>
    <row r="724" spans="2:21" s="13" customFormat="1" ht="14.1" customHeight="1" x14ac:dyDescent="0.2">
      <c r="B724" s="29"/>
      <c r="C724" s="29"/>
      <c r="D724" s="29"/>
      <c r="E724" s="30"/>
      <c r="F724" s="31"/>
      <c r="G724" s="32"/>
      <c r="H724" s="32"/>
      <c r="I724" s="32"/>
      <c r="J724" s="18"/>
      <c r="K724" s="33"/>
      <c r="L724" s="33"/>
      <c r="M724" s="32"/>
      <c r="U724" s="35"/>
    </row>
    <row r="725" spans="2:21" s="13" customFormat="1" ht="14.1" customHeight="1" x14ac:dyDescent="0.2">
      <c r="B725" s="29"/>
      <c r="C725" s="29"/>
      <c r="D725" s="29"/>
      <c r="E725" s="30"/>
      <c r="F725" s="31"/>
      <c r="G725" s="32"/>
      <c r="H725" s="32"/>
      <c r="I725" s="32"/>
      <c r="J725" s="18"/>
      <c r="K725" s="33"/>
      <c r="L725" s="33"/>
      <c r="M725" s="32"/>
      <c r="U725" s="35"/>
    </row>
    <row r="726" spans="2:21" s="13" customFormat="1" ht="14.1" customHeight="1" x14ac:dyDescent="0.2">
      <c r="B726" s="29"/>
      <c r="C726" s="29"/>
      <c r="D726" s="29"/>
      <c r="E726" s="30"/>
      <c r="F726" s="31"/>
      <c r="G726" s="32"/>
      <c r="H726" s="32"/>
      <c r="I726" s="32"/>
      <c r="J726" s="18"/>
      <c r="K726" s="33"/>
      <c r="L726" s="33"/>
      <c r="M726" s="32"/>
      <c r="U726" s="35"/>
    </row>
    <row r="727" spans="2:21" s="13" customFormat="1" ht="14.1" customHeight="1" x14ac:dyDescent="0.2">
      <c r="B727" s="29"/>
      <c r="C727" s="29"/>
      <c r="D727" s="29"/>
      <c r="E727" s="30"/>
      <c r="F727" s="31"/>
      <c r="G727" s="32"/>
      <c r="H727" s="32"/>
      <c r="I727" s="32"/>
      <c r="J727" s="18"/>
      <c r="K727" s="33"/>
      <c r="L727" s="33"/>
      <c r="M727" s="32"/>
      <c r="U727" s="35"/>
    </row>
    <row r="728" spans="2:21" s="13" customFormat="1" ht="14.1" customHeight="1" x14ac:dyDescent="0.2">
      <c r="B728" s="29"/>
      <c r="C728" s="29"/>
      <c r="D728" s="29"/>
      <c r="E728" s="30"/>
      <c r="F728" s="31"/>
      <c r="G728" s="32"/>
      <c r="H728" s="32"/>
      <c r="I728" s="32"/>
      <c r="J728" s="18"/>
      <c r="K728" s="33"/>
      <c r="L728" s="33"/>
      <c r="M728" s="32"/>
      <c r="U728" s="35"/>
    </row>
    <row r="729" spans="2:21" s="13" customFormat="1" ht="14.1" customHeight="1" x14ac:dyDescent="0.2">
      <c r="B729" s="29"/>
      <c r="C729" s="29"/>
      <c r="D729" s="29"/>
      <c r="E729" s="30"/>
      <c r="F729" s="31"/>
      <c r="G729" s="32"/>
      <c r="H729" s="32"/>
      <c r="I729" s="32"/>
      <c r="J729" s="18"/>
      <c r="K729" s="33"/>
      <c r="L729" s="33"/>
      <c r="M729" s="32"/>
      <c r="U729" s="35"/>
    </row>
    <row r="730" spans="2:21" s="13" customFormat="1" ht="14.1" customHeight="1" x14ac:dyDescent="0.2">
      <c r="B730" s="29"/>
      <c r="C730" s="29"/>
      <c r="D730" s="29"/>
      <c r="E730" s="30"/>
      <c r="F730" s="31"/>
      <c r="G730" s="32"/>
      <c r="H730" s="32"/>
      <c r="I730" s="32"/>
      <c r="J730" s="18"/>
      <c r="K730" s="33"/>
      <c r="L730" s="33"/>
      <c r="M730" s="32"/>
      <c r="U730" s="35"/>
    </row>
    <row r="731" spans="2:21" s="13" customFormat="1" ht="14.1" customHeight="1" x14ac:dyDescent="0.2">
      <c r="B731" s="29"/>
      <c r="C731" s="29"/>
      <c r="D731" s="29"/>
      <c r="E731" s="30"/>
      <c r="F731" s="31"/>
      <c r="G731" s="32"/>
      <c r="H731" s="32"/>
      <c r="I731" s="32"/>
      <c r="J731" s="18"/>
      <c r="K731" s="33"/>
      <c r="L731" s="33"/>
      <c r="M731" s="32"/>
      <c r="U731" s="35"/>
    </row>
    <row r="732" spans="2:21" s="13" customFormat="1" ht="14.1" customHeight="1" x14ac:dyDescent="0.2">
      <c r="B732" s="29"/>
      <c r="C732" s="29"/>
      <c r="D732" s="29"/>
      <c r="E732" s="30"/>
      <c r="F732" s="31"/>
      <c r="G732" s="32"/>
      <c r="H732" s="32"/>
      <c r="I732" s="32"/>
      <c r="J732" s="18"/>
      <c r="K732" s="33"/>
      <c r="L732" s="33"/>
      <c r="M732" s="32"/>
      <c r="U732" s="35"/>
    </row>
    <row r="733" spans="2:21" s="13" customFormat="1" ht="14.1" customHeight="1" x14ac:dyDescent="0.2">
      <c r="B733" s="29"/>
      <c r="C733" s="29"/>
      <c r="D733" s="29"/>
      <c r="E733" s="30"/>
      <c r="F733" s="31"/>
      <c r="G733" s="32"/>
      <c r="H733" s="32"/>
      <c r="I733" s="32"/>
      <c r="J733" s="18"/>
      <c r="K733" s="33"/>
      <c r="L733" s="33"/>
      <c r="M733" s="32"/>
      <c r="U733" s="35"/>
    </row>
    <row r="734" spans="2:21" s="13" customFormat="1" ht="14.1" customHeight="1" x14ac:dyDescent="0.2">
      <c r="B734" s="29"/>
      <c r="C734" s="29"/>
      <c r="D734" s="29"/>
      <c r="E734" s="30"/>
      <c r="F734" s="31"/>
      <c r="G734" s="32"/>
      <c r="H734" s="32"/>
      <c r="I734" s="32"/>
      <c r="J734" s="18"/>
      <c r="K734" s="33"/>
      <c r="L734" s="33"/>
      <c r="M734" s="32"/>
      <c r="U734" s="35"/>
    </row>
    <row r="735" spans="2:21" s="13" customFormat="1" ht="14.1" customHeight="1" x14ac:dyDescent="0.2">
      <c r="B735" s="29"/>
      <c r="C735" s="29"/>
      <c r="D735" s="29"/>
      <c r="E735" s="30"/>
      <c r="F735" s="31"/>
      <c r="G735" s="32"/>
      <c r="H735" s="32"/>
      <c r="I735" s="32"/>
      <c r="J735" s="18"/>
      <c r="K735" s="33"/>
      <c r="L735" s="33"/>
      <c r="M735" s="32"/>
      <c r="U735" s="35"/>
    </row>
    <row r="736" spans="2:21" s="13" customFormat="1" ht="14.1" customHeight="1" x14ac:dyDescent="0.2">
      <c r="B736" s="29"/>
      <c r="C736" s="29"/>
      <c r="D736" s="29"/>
      <c r="E736" s="30"/>
      <c r="F736" s="31"/>
      <c r="G736" s="32"/>
      <c r="H736" s="32"/>
      <c r="I736" s="32"/>
      <c r="J736" s="18"/>
      <c r="K736" s="33"/>
      <c r="L736" s="33"/>
      <c r="M736" s="32"/>
      <c r="U736" s="35"/>
    </row>
    <row r="737" spans="2:21" s="13" customFormat="1" ht="14.1" customHeight="1" x14ac:dyDescent="0.2">
      <c r="B737" s="29"/>
      <c r="C737" s="29"/>
      <c r="D737" s="29"/>
      <c r="E737" s="30"/>
      <c r="F737" s="31"/>
      <c r="G737" s="32"/>
      <c r="H737" s="32"/>
      <c r="I737" s="32"/>
      <c r="J737" s="18"/>
      <c r="K737" s="33"/>
      <c r="L737" s="33"/>
      <c r="M737" s="32"/>
      <c r="U737" s="35"/>
    </row>
    <row r="738" spans="2:21" s="13" customFormat="1" ht="14.1" customHeight="1" x14ac:dyDescent="0.2">
      <c r="B738" s="29"/>
      <c r="C738" s="29"/>
      <c r="D738" s="29"/>
      <c r="E738" s="30"/>
      <c r="F738" s="31"/>
      <c r="G738" s="32"/>
      <c r="H738" s="32"/>
      <c r="I738" s="32"/>
      <c r="J738" s="18"/>
      <c r="K738" s="33"/>
      <c r="L738" s="33"/>
      <c r="M738" s="32"/>
      <c r="U738" s="35"/>
    </row>
    <row r="739" spans="2:21" s="13" customFormat="1" ht="14.1" customHeight="1" x14ac:dyDescent="0.2">
      <c r="B739" s="29"/>
      <c r="C739" s="29"/>
      <c r="D739" s="29"/>
      <c r="E739" s="30"/>
      <c r="F739" s="31"/>
      <c r="G739" s="32"/>
      <c r="H739" s="32"/>
      <c r="I739" s="32"/>
      <c r="J739" s="18"/>
      <c r="K739" s="33"/>
      <c r="L739" s="33"/>
      <c r="M739" s="32"/>
      <c r="U739" s="35"/>
    </row>
    <row r="740" spans="2:21" s="13" customFormat="1" ht="14.1" customHeight="1" x14ac:dyDescent="0.2">
      <c r="B740" s="29"/>
      <c r="C740" s="29"/>
      <c r="D740" s="29"/>
      <c r="E740" s="30"/>
      <c r="F740" s="31"/>
      <c r="G740" s="32"/>
      <c r="H740" s="32"/>
      <c r="I740" s="32"/>
      <c r="J740" s="18"/>
      <c r="K740" s="33"/>
      <c r="L740" s="33"/>
      <c r="M740" s="32"/>
      <c r="U740" s="35"/>
    </row>
    <row r="741" spans="2:21" s="13" customFormat="1" ht="14.1" customHeight="1" x14ac:dyDescent="0.2">
      <c r="B741" s="29"/>
      <c r="C741" s="29"/>
      <c r="D741" s="29"/>
      <c r="E741" s="30"/>
      <c r="F741" s="31"/>
      <c r="G741" s="32"/>
      <c r="H741" s="32"/>
      <c r="I741" s="32"/>
      <c r="J741" s="18"/>
      <c r="K741" s="33"/>
      <c r="L741" s="33"/>
      <c r="M741" s="32"/>
      <c r="U741" s="35"/>
    </row>
    <row r="742" spans="2:21" s="13" customFormat="1" ht="14.1" customHeight="1" x14ac:dyDescent="0.2">
      <c r="B742" s="29"/>
      <c r="C742" s="29"/>
      <c r="D742" s="29"/>
      <c r="E742" s="30"/>
      <c r="F742" s="31"/>
      <c r="G742" s="32"/>
      <c r="H742" s="32"/>
      <c r="I742" s="32"/>
      <c r="J742" s="18"/>
      <c r="K742" s="33"/>
      <c r="L742" s="33"/>
      <c r="M742" s="32"/>
      <c r="U742" s="35"/>
    </row>
    <row r="743" spans="2:21" s="13" customFormat="1" ht="14.1" customHeight="1" x14ac:dyDescent="0.2">
      <c r="B743" s="29"/>
      <c r="C743" s="29"/>
      <c r="D743" s="29"/>
      <c r="E743" s="30"/>
      <c r="F743" s="31"/>
      <c r="G743" s="32"/>
      <c r="H743" s="32"/>
      <c r="I743" s="32"/>
      <c r="J743" s="18"/>
      <c r="K743" s="33"/>
      <c r="L743" s="33"/>
      <c r="M743" s="32"/>
      <c r="U743" s="35"/>
    </row>
    <row r="744" spans="2:21" s="13" customFormat="1" ht="14.1" customHeight="1" x14ac:dyDescent="0.2">
      <c r="B744" s="29"/>
      <c r="C744" s="29"/>
      <c r="D744" s="29"/>
      <c r="E744" s="30"/>
      <c r="F744" s="31"/>
      <c r="G744" s="32"/>
      <c r="H744" s="32"/>
      <c r="I744" s="32"/>
      <c r="J744" s="18"/>
      <c r="K744" s="33"/>
      <c r="L744" s="33"/>
      <c r="M744" s="32"/>
      <c r="U744" s="35"/>
    </row>
    <row r="745" spans="2:21" s="13" customFormat="1" ht="14.1" customHeight="1" x14ac:dyDescent="0.2">
      <c r="B745" s="29"/>
      <c r="C745" s="29"/>
      <c r="D745" s="29"/>
      <c r="E745" s="30"/>
      <c r="F745" s="31"/>
      <c r="G745" s="32"/>
      <c r="H745" s="32"/>
      <c r="I745" s="32"/>
      <c r="J745" s="18"/>
      <c r="K745" s="33"/>
      <c r="L745" s="33"/>
      <c r="M745" s="32"/>
      <c r="U745" s="35"/>
    </row>
    <row r="746" spans="2:21" s="13" customFormat="1" ht="14.1" customHeight="1" x14ac:dyDescent="0.2">
      <c r="B746" s="29"/>
      <c r="C746" s="29"/>
      <c r="D746" s="29"/>
      <c r="E746" s="30"/>
      <c r="F746" s="31"/>
      <c r="G746" s="32"/>
      <c r="H746" s="32"/>
      <c r="I746" s="32"/>
      <c r="J746" s="18"/>
      <c r="K746" s="33"/>
      <c r="L746" s="33"/>
      <c r="M746" s="32"/>
      <c r="U746" s="35"/>
    </row>
    <row r="747" spans="2:21" s="13" customFormat="1" ht="14.1" customHeight="1" x14ac:dyDescent="0.2">
      <c r="B747" s="29"/>
      <c r="C747" s="29"/>
      <c r="D747" s="29"/>
      <c r="E747" s="30"/>
      <c r="F747" s="31"/>
      <c r="G747" s="32"/>
      <c r="H747" s="32"/>
      <c r="I747" s="32"/>
      <c r="J747" s="18"/>
      <c r="K747" s="33"/>
      <c r="L747" s="33"/>
      <c r="M747" s="32"/>
      <c r="U747" s="35"/>
    </row>
    <row r="748" spans="2:21" s="13" customFormat="1" ht="14.1" customHeight="1" x14ac:dyDescent="0.2">
      <c r="B748" s="29"/>
      <c r="C748" s="29"/>
      <c r="D748" s="29"/>
      <c r="E748" s="30"/>
      <c r="F748" s="31"/>
      <c r="G748" s="32"/>
      <c r="H748" s="32"/>
      <c r="I748" s="32"/>
      <c r="J748" s="18"/>
      <c r="K748" s="33"/>
      <c r="L748" s="33"/>
      <c r="M748" s="32"/>
      <c r="U748" s="35"/>
    </row>
    <row r="749" spans="2:21" s="13" customFormat="1" ht="14.1" customHeight="1" x14ac:dyDescent="0.2">
      <c r="B749" s="29"/>
      <c r="C749" s="29"/>
      <c r="D749" s="29"/>
      <c r="E749" s="30"/>
      <c r="F749" s="31"/>
      <c r="G749" s="32"/>
      <c r="H749" s="32"/>
      <c r="I749" s="32"/>
      <c r="J749" s="18"/>
      <c r="K749" s="33"/>
      <c r="L749" s="33"/>
      <c r="M749" s="32"/>
      <c r="U749" s="35"/>
    </row>
    <row r="750" spans="2:21" s="13" customFormat="1" ht="14.1" customHeight="1" x14ac:dyDescent="0.2">
      <c r="B750" s="29"/>
      <c r="C750" s="29"/>
      <c r="D750" s="29"/>
      <c r="E750" s="30"/>
      <c r="F750" s="31"/>
      <c r="G750" s="32"/>
      <c r="H750" s="32"/>
      <c r="I750" s="32"/>
      <c r="J750" s="18"/>
      <c r="K750" s="33"/>
      <c r="L750" s="33"/>
      <c r="M750" s="32"/>
      <c r="U750" s="35"/>
    </row>
    <row r="751" spans="2:21" s="13" customFormat="1" ht="14.1" customHeight="1" x14ac:dyDescent="0.2">
      <c r="B751" s="29"/>
      <c r="C751" s="29"/>
      <c r="D751" s="29"/>
      <c r="E751" s="30"/>
      <c r="F751" s="31"/>
      <c r="G751" s="32"/>
      <c r="H751" s="32"/>
      <c r="I751" s="32"/>
      <c r="J751" s="18"/>
      <c r="K751" s="33"/>
      <c r="L751" s="33"/>
      <c r="M751" s="32"/>
      <c r="U751" s="35"/>
    </row>
    <row r="752" spans="2:21" s="13" customFormat="1" ht="14.1" customHeight="1" x14ac:dyDescent="0.2">
      <c r="B752" s="29"/>
      <c r="C752" s="29"/>
      <c r="D752" s="29"/>
      <c r="E752" s="30"/>
      <c r="F752" s="31"/>
      <c r="G752" s="32"/>
      <c r="H752" s="32"/>
      <c r="I752" s="32"/>
      <c r="J752" s="18"/>
      <c r="K752" s="33"/>
      <c r="L752" s="33"/>
      <c r="M752" s="32"/>
      <c r="U752" s="35"/>
    </row>
    <row r="753" spans="2:21" s="13" customFormat="1" ht="14.1" customHeight="1" x14ac:dyDescent="0.2">
      <c r="B753" s="29"/>
      <c r="C753" s="29"/>
      <c r="D753" s="29"/>
      <c r="E753" s="30"/>
      <c r="F753" s="31"/>
      <c r="G753" s="32"/>
      <c r="H753" s="32"/>
      <c r="I753" s="32"/>
      <c r="J753" s="18"/>
      <c r="K753" s="33"/>
      <c r="L753" s="33"/>
      <c r="M753" s="32"/>
      <c r="U753" s="35"/>
    </row>
    <row r="754" spans="2:21" s="13" customFormat="1" ht="14.1" customHeight="1" x14ac:dyDescent="0.2">
      <c r="B754" s="29"/>
      <c r="C754" s="29"/>
      <c r="D754" s="29"/>
      <c r="E754" s="30"/>
      <c r="F754" s="31"/>
      <c r="G754" s="32"/>
      <c r="H754" s="32"/>
      <c r="I754" s="32"/>
      <c r="J754" s="18"/>
      <c r="K754" s="33"/>
      <c r="L754" s="33"/>
      <c r="M754" s="32"/>
      <c r="U754" s="35"/>
    </row>
    <row r="755" spans="2:21" s="13" customFormat="1" ht="14.1" customHeight="1" x14ac:dyDescent="0.2">
      <c r="B755" s="29"/>
      <c r="C755" s="29"/>
      <c r="D755" s="29"/>
      <c r="E755" s="30"/>
      <c r="F755" s="31"/>
      <c r="G755" s="32"/>
      <c r="H755" s="32"/>
      <c r="I755" s="32"/>
      <c r="J755" s="18"/>
      <c r="K755" s="33"/>
      <c r="L755" s="33"/>
      <c r="M755" s="32"/>
      <c r="U755" s="35"/>
    </row>
    <row r="756" spans="2:21" s="13" customFormat="1" ht="14.1" customHeight="1" x14ac:dyDescent="0.2">
      <c r="B756" s="29"/>
      <c r="C756" s="29"/>
      <c r="D756" s="29"/>
      <c r="E756" s="30"/>
      <c r="F756" s="31"/>
      <c r="G756" s="32"/>
      <c r="H756" s="32"/>
      <c r="I756" s="32"/>
      <c r="J756" s="18"/>
      <c r="K756" s="33"/>
      <c r="L756" s="33"/>
      <c r="M756" s="32"/>
      <c r="U756" s="35"/>
    </row>
    <row r="757" spans="2:21" s="13" customFormat="1" ht="14.1" customHeight="1" x14ac:dyDescent="0.2">
      <c r="B757" s="29"/>
      <c r="C757" s="29"/>
      <c r="D757" s="29"/>
      <c r="E757" s="30"/>
      <c r="F757" s="31"/>
      <c r="G757" s="32"/>
      <c r="H757" s="32"/>
      <c r="I757" s="32"/>
      <c r="J757" s="18"/>
      <c r="K757" s="33"/>
      <c r="L757" s="33"/>
      <c r="M757" s="32"/>
      <c r="U757" s="35"/>
    </row>
    <row r="758" spans="2:21" s="13" customFormat="1" ht="14.1" customHeight="1" x14ac:dyDescent="0.2">
      <c r="B758" s="29"/>
      <c r="C758" s="29"/>
      <c r="D758" s="29"/>
      <c r="E758" s="30"/>
      <c r="F758" s="31"/>
      <c r="G758" s="32"/>
      <c r="H758" s="32"/>
      <c r="I758" s="32"/>
      <c r="J758" s="18"/>
      <c r="K758" s="33"/>
      <c r="L758" s="33"/>
      <c r="M758" s="32"/>
      <c r="U758" s="35"/>
    </row>
    <row r="759" spans="2:21" s="13" customFormat="1" ht="14.1" customHeight="1" x14ac:dyDescent="0.2">
      <c r="B759" s="29"/>
      <c r="C759" s="29"/>
      <c r="D759" s="29"/>
      <c r="E759" s="30"/>
      <c r="F759" s="31"/>
      <c r="G759" s="32"/>
      <c r="H759" s="32"/>
      <c r="I759" s="32"/>
      <c r="J759" s="18"/>
      <c r="K759" s="33"/>
      <c r="L759" s="33"/>
      <c r="M759" s="32"/>
      <c r="U759" s="35"/>
    </row>
    <row r="760" spans="2:21" s="13" customFormat="1" ht="14.1" customHeight="1" x14ac:dyDescent="0.2">
      <c r="B760" s="29"/>
      <c r="C760" s="29"/>
      <c r="D760" s="29"/>
      <c r="E760" s="30"/>
      <c r="F760" s="31"/>
      <c r="G760" s="32"/>
      <c r="H760" s="32"/>
      <c r="I760" s="32"/>
      <c r="J760" s="18"/>
      <c r="K760" s="33"/>
      <c r="L760" s="33"/>
      <c r="M760" s="32"/>
      <c r="U760" s="35"/>
    </row>
    <row r="761" spans="2:21" s="13" customFormat="1" ht="14.1" customHeight="1" x14ac:dyDescent="0.2">
      <c r="B761" s="29"/>
      <c r="C761" s="29"/>
      <c r="D761" s="29"/>
      <c r="E761" s="30"/>
      <c r="F761" s="31"/>
      <c r="G761" s="32"/>
      <c r="H761" s="32"/>
      <c r="I761" s="32"/>
      <c r="J761" s="18"/>
      <c r="K761" s="33"/>
      <c r="L761" s="33"/>
      <c r="M761" s="32"/>
      <c r="U761" s="35"/>
    </row>
    <row r="762" spans="2:21" s="13" customFormat="1" ht="14.1" customHeight="1" x14ac:dyDescent="0.2">
      <c r="B762" s="29"/>
      <c r="C762" s="29"/>
      <c r="D762" s="29"/>
      <c r="E762" s="30"/>
      <c r="F762" s="31"/>
      <c r="G762" s="32"/>
      <c r="H762" s="32"/>
      <c r="I762" s="32"/>
      <c r="J762" s="18"/>
      <c r="K762" s="33"/>
      <c r="L762" s="33"/>
      <c r="M762" s="32"/>
      <c r="U762" s="35"/>
    </row>
    <row r="763" spans="2:21" s="13" customFormat="1" ht="14.1" customHeight="1" x14ac:dyDescent="0.2">
      <c r="B763" s="29"/>
      <c r="C763" s="29"/>
      <c r="D763" s="29"/>
      <c r="E763" s="30"/>
      <c r="F763" s="31"/>
      <c r="G763" s="32"/>
      <c r="H763" s="32"/>
      <c r="I763" s="32"/>
      <c r="J763" s="18"/>
      <c r="K763" s="33"/>
      <c r="L763" s="33"/>
      <c r="M763" s="32"/>
      <c r="U763" s="35"/>
    </row>
    <row r="764" spans="2:21" s="13" customFormat="1" ht="14.1" customHeight="1" x14ac:dyDescent="0.2">
      <c r="B764" s="29"/>
      <c r="C764" s="29"/>
      <c r="D764" s="29"/>
      <c r="E764" s="30"/>
      <c r="F764" s="31"/>
      <c r="G764" s="32"/>
      <c r="H764" s="32"/>
      <c r="I764" s="32"/>
      <c r="J764" s="18"/>
      <c r="K764" s="33"/>
      <c r="L764" s="33"/>
      <c r="M764" s="32"/>
      <c r="U764" s="35"/>
    </row>
    <row r="765" spans="2:21" s="13" customFormat="1" ht="14.1" customHeight="1" x14ac:dyDescent="0.2">
      <c r="B765" s="29"/>
      <c r="C765" s="29"/>
      <c r="D765" s="29"/>
      <c r="E765" s="30"/>
      <c r="F765" s="31"/>
      <c r="G765" s="32"/>
      <c r="H765" s="32"/>
      <c r="I765" s="32"/>
      <c r="J765" s="18"/>
      <c r="K765" s="33"/>
      <c r="L765" s="33"/>
      <c r="M765" s="32"/>
      <c r="U765" s="35"/>
    </row>
    <row r="766" spans="2:21" s="13" customFormat="1" ht="14.1" customHeight="1" x14ac:dyDescent="0.2">
      <c r="B766" s="29"/>
      <c r="C766" s="29"/>
      <c r="D766" s="29"/>
      <c r="E766" s="30"/>
      <c r="F766" s="31"/>
      <c r="G766" s="32"/>
      <c r="H766" s="32"/>
      <c r="I766" s="32"/>
      <c r="J766" s="18"/>
      <c r="K766" s="33"/>
      <c r="L766" s="33"/>
      <c r="M766" s="32"/>
      <c r="U766" s="35"/>
    </row>
    <row r="767" spans="2:21" s="13" customFormat="1" ht="14.1" customHeight="1" x14ac:dyDescent="0.2">
      <c r="B767" s="29"/>
      <c r="C767" s="29"/>
      <c r="D767" s="29"/>
      <c r="E767" s="30"/>
      <c r="F767" s="31"/>
      <c r="G767" s="32"/>
      <c r="H767" s="32"/>
      <c r="I767" s="32"/>
      <c r="J767" s="18"/>
      <c r="K767" s="33"/>
      <c r="L767" s="33"/>
      <c r="M767" s="32"/>
      <c r="U767" s="35"/>
    </row>
    <row r="768" spans="2:21" s="13" customFormat="1" ht="14.1" customHeight="1" x14ac:dyDescent="0.2">
      <c r="B768" s="29"/>
      <c r="C768" s="29"/>
      <c r="D768" s="29"/>
      <c r="E768" s="30"/>
      <c r="F768" s="31"/>
      <c r="G768" s="32"/>
      <c r="H768" s="32"/>
      <c r="I768" s="32"/>
      <c r="J768" s="18"/>
      <c r="K768" s="33"/>
      <c r="L768" s="33"/>
      <c r="M768" s="32"/>
      <c r="U768" s="35"/>
    </row>
    <row r="769" spans="2:21" s="13" customFormat="1" ht="14.1" customHeight="1" x14ac:dyDescent="0.2">
      <c r="B769" s="29"/>
      <c r="C769" s="29"/>
      <c r="D769" s="29"/>
      <c r="E769" s="30"/>
      <c r="F769" s="31"/>
      <c r="G769" s="32"/>
      <c r="H769" s="32"/>
      <c r="I769" s="32"/>
      <c r="J769" s="18"/>
      <c r="K769" s="33"/>
      <c r="L769" s="33"/>
      <c r="M769" s="32"/>
      <c r="U769" s="35"/>
    </row>
    <row r="770" spans="2:21" s="13" customFormat="1" ht="14.1" customHeight="1" x14ac:dyDescent="0.2">
      <c r="B770" s="29"/>
      <c r="C770" s="29"/>
      <c r="D770" s="29"/>
      <c r="E770" s="30"/>
      <c r="F770" s="31"/>
      <c r="G770" s="32"/>
      <c r="H770" s="32"/>
      <c r="I770" s="32"/>
      <c r="J770" s="18"/>
      <c r="K770" s="33"/>
      <c r="L770" s="33"/>
      <c r="M770" s="32"/>
      <c r="U770" s="35"/>
    </row>
    <row r="771" spans="2:21" s="13" customFormat="1" ht="14.1" customHeight="1" x14ac:dyDescent="0.2">
      <c r="B771" s="29"/>
      <c r="C771" s="29"/>
      <c r="D771" s="29"/>
      <c r="E771" s="30"/>
      <c r="F771" s="31"/>
      <c r="G771" s="32"/>
      <c r="H771" s="32"/>
      <c r="I771" s="32"/>
      <c r="J771" s="18"/>
      <c r="K771" s="33"/>
      <c r="L771" s="33"/>
      <c r="M771" s="32"/>
      <c r="U771" s="35"/>
    </row>
    <row r="772" spans="2:21" s="13" customFormat="1" ht="14.1" customHeight="1" x14ac:dyDescent="0.2">
      <c r="B772" s="29"/>
      <c r="C772" s="29"/>
      <c r="D772" s="29"/>
      <c r="E772" s="30"/>
      <c r="F772" s="31"/>
      <c r="G772" s="32"/>
      <c r="H772" s="32"/>
      <c r="I772" s="32"/>
      <c r="J772" s="18"/>
      <c r="K772" s="33"/>
      <c r="L772" s="36"/>
      <c r="M772" s="32"/>
      <c r="U772" s="35"/>
    </row>
    <row r="773" spans="2:21" s="13" customFormat="1" ht="14.1" customHeight="1" x14ac:dyDescent="0.2">
      <c r="B773" s="37"/>
      <c r="C773" s="37"/>
      <c r="D773" s="37"/>
      <c r="E773" s="38"/>
      <c r="F773" s="39"/>
      <c r="G773" s="40"/>
      <c r="H773" s="40"/>
      <c r="I773" s="40"/>
      <c r="K773" s="36"/>
      <c r="L773" s="36"/>
      <c r="M773" s="40"/>
      <c r="U773" s="35"/>
    </row>
    <row r="774" spans="2:21" s="13" customFormat="1" ht="14.1" customHeight="1" x14ac:dyDescent="0.2">
      <c r="B774" s="37"/>
      <c r="C774" s="37"/>
      <c r="D774" s="37"/>
      <c r="E774" s="38"/>
      <c r="F774" s="39"/>
      <c r="G774" s="40"/>
      <c r="H774" s="40"/>
      <c r="I774" s="40"/>
      <c r="K774" s="36"/>
      <c r="L774" s="36"/>
      <c r="M774" s="40"/>
      <c r="U774" s="35"/>
    </row>
    <row r="775" spans="2:21" s="13" customFormat="1" ht="14.1" customHeight="1" x14ac:dyDescent="0.2">
      <c r="B775" s="37"/>
      <c r="C775" s="37"/>
      <c r="D775" s="37"/>
      <c r="E775" s="38"/>
      <c r="F775" s="39"/>
      <c r="G775" s="40"/>
      <c r="H775" s="40"/>
      <c r="I775" s="40"/>
      <c r="K775" s="36"/>
      <c r="L775" s="36"/>
      <c r="M775" s="40"/>
      <c r="U775" s="35"/>
    </row>
    <row r="776" spans="2:21" s="13" customFormat="1" ht="14.1" customHeight="1" x14ac:dyDescent="0.2">
      <c r="B776" s="37"/>
      <c r="C776" s="37"/>
      <c r="D776" s="37"/>
      <c r="E776" s="38"/>
      <c r="F776" s="39"/>
      <c r="G776" s="40"/>
      <c r="H776" s="40"/>
      <c r="I776" s="40"/>
      <c r="K776" s="36"/>
      <c r="L776" s="36"/>
      <c r="M776" s="40"/>
      <c r="U776" s="35"/>
    </row>
    <row r="777" spans="2:21" s="13" customFormat="1" ht="14.1" customHeight="1" x14ac:dyDescent="0.2">
      <c r="B777" s="37"/>
      <c r="C777" s="37"/>
      <c r="D777" s="37"/>
      <c r="E777" s="38"/>
      <c r="F777" s="39"/>
      <c r="G777" s="40"/>
      <c r="H777" s="40"/>
      <c r="I777" s="40"/>
      <c r="K777" s="36"/>
      <c r="L777" s="36"/>
      <c r="M777" s="40"/>
      <c r="U777" s="35"/>
    </row>
    <row r="778" spans="2:21" s="13" customFormat="1" ht="14.1" customHeight="1" x14ac:dyDescent="0.2">
      <c r="B778" s="37"/>
      <c r="C778" s="37"/>
      <c r="D778" s="37"/>
      <c r="E778" s="38"/>
      <c r="F778" s="39"/>
      <c r="G778" s="40"/>
      <c r="H778" s="40"/>
      <c r="I778" s="40"/>
      <c r="K778" s="36"/>
      <c r="L778" s="36"/>
      <c r="M778" s="40"/>
      <c r="U778" s="35"/>
    </row>
    <row r="779" spans="2:21" s="13" customFormat="1" ht="14.1" customHeight="1" x14ac:dyDescent="0.2">
      <c r="B779" s="37"/>
      <c r="C779" s="37"/>
      <c r="D779" s="37"/>
      <c r="E779" s="38"/>
      <c r="F779" s="39"/>
      <c r="G779" s="40"/>
      <c r="H779" s="40"/>
      <c r="I779" s="40"/>
      <c r="K779" s="36"/>
      <c r="L779" s="36"/>
      <c r="M779" s="40"/>
      <c r="U779" s="35"/>
    </row>
    <row r="780" spans="2:21" s="13" customFormat="1" ht="14.1" customHeight="1" x14ac:dyDescent="0.2">
      <c r="B780" s="37"/>
      <c r="C780" s="37"/>
      <c r="D780" s="37"/>
      <c r="E780" s="38"/>
      <c r="F780" s="39"/>
      <c r="G780" s="40"/>
      <c r="H780" s="40"/>
      <c r="I780" s="40"/>
      <c r="K780" s="36"/>
      <c r="L780" s="36"/>
      <c r="M780" s="40"/>
      <c r="U780" s="35"/>
    </row>
    <row r="781" spans="2:21" s="13" customFormat="1" ht="14.1" customHeight="1" x14ac:dyDescent="0.2">
      <c r="B781" s="37"/>
      <c r="C781" s="37"/>
      <c r="D781" s="37"/>
      <c r="E781" s="38"/>
      <c r="F781" s="39"/>
      <c r="G781" s="40"/>
      <c r="H781" s="40"/>
      <c r="I781" s="40"/>
      <c r="K781" s="36"/>
      <c r="L781" s="36"/>
      <c r="M781" s="40"/>
      <c r="U781" s="35"/>
    </row>
    <row r="782" spans="2:21" s="13" customFormat="1" ht="14.1" customHeight="1" x14ac:dyDescent="0.2">
      <c r="B782" s="37"/>
      <c r="C782" s="37"/>
      <c r="D782" s="37"/>
      <c r="E782" s="38"/>
      <c r="F782" s="39"/>
      <c r="G782" s="40"/>
      <c r="H782" s="40"/>
      <c r="I782" s="40"/>
      <c r="K782" s="36"/>
      <c r="L782" s="36"/>
      <c r="M782" s="40"/>
      <c r="U782" s="35"/>
    </row>
    <row r="783" spans="2:21" s="13" customFormat="1" ht="14.1" customHeight="1" x14ac:dyDescent="0.2">
      <c r="B783" s="37"/>
      <c r="C783" s="37"/>
      <c r="D783" s="37"/>
      <c r="E783" s="38"/>
      <c r="F783" s="39"/>
      <c r="G783" s="40"/>
      <c r="H783" s="40"/>
      <c r="I783" s="40"/>
      <c r="K783" s="36"/>
      <c r="L783" s="36"/>
      <c r="M783" s="40"/>
      <c r="U783" s="35"/>
    </row>
    <row r="784" spans="2:21" s="13" customFormat="1" ht="14.1" customHeight="1" x14ac:dyDescent="0.2">
      <c r="B784" s="37"/>
      <c r="C784" s="37"/>
      <c r="D784" s="37"/>
      <c r="E784" s="38"/>
      <c r="F784" s="39"/>
      <c r="G784" s="40"/>
      <c r="H784" s="40"/>
      <c r="I784" s="40"/>
      <c r="K784" s="36"/>
      <c r="L784" s="36"/>
      <c r="M784" s="40"/>
      <c r="U784" s="35"/>
    </row>
    <row r="785" spans="2:21" s="13" customFormat="1" ht="14.1" customHeight="1" x14ac:dyDescent="0.2">
      <c r="B785" s="37"/>
      <c r="C785" s="37"/>
      <c r="D785" s="37"/>
      <c r="E785" s="38"/>
      <c r="F785" s="39"/>
      <c r="G785" s="40"/>
      <c r="H785" s="40"/>
      <c r="I785" s="40"/>
      <c r="K785" s="36"/>
      <c r="L785" s="36"/>
      <c r="M785" s="40"/>
      <c r="U785" s="35"/>
    </row>
    <row r="786" spans="2:21" s="13" customFormat="1" ht="14.1" customHeight="1" x14ac:dyDescent="0.2">
      <c r="B786" s="37"/>
      <c r="C786" s="37"/>
      <c r="D786" s="37"/>
      <c r="E786" s="38"/>
      <c r="F786" s="39"/>
      <c r="G786" s="40"/>
      <c r="H786" s="40"/>
      <c r="I786" s="40"/>
      <c r="K786" s="36"/>
      <c r="L786" s="36"/>
      <c r="M786" s="40"/>
      <c r="U786" s="35"/>
    </row>
    <row r="787" spans="2:21" s="13" customFormat="1" ht="14.1" customHeight="1" x14ac:dyDescent="0.2">
      <c r="B787" s="37"/>
      <c r="C787" s="37"/>
      <c r="D787" s="37"/>
      <c r="E787" s="38"/>
      <c r="F787" s="39"/>
      <c r="G787" s="40"/>
      <c r="H787" s="40"/>
      <c r="I787" s="40"/>
      <c r="K787" s="36"/>
      <c r="L787" s="36"/>
      <c r="M787" s="40"/>
      <c r="U787" s="35"/>
    </row>
    <row r="788" spans="2:21" s="13" customFormat="1" ht="14.1" customHeight="1" x14ac:dyDescent="0.2">
      <c r="B788" s="37"/>
      <c r="C788" s="37"/>
      <c r="D788" s="37"/>
      <c r="E788" s="38"/>
      <c r="F788" s="39"/>
      <c r="G788" s="40"/>
      <c r="H788" s="40"/>
      <c r="I788" s="40"/>
      <c r="K788" s="36"/>
      <c r="L788" s="36"/>
      <c r="M788" s="40"/>
      <c r="U788" s="35"/>
    </row>
    <row r="789" spans="2:21" s="13" customFormat="1" ht="14.1" customHeight="1" x14ac:dyDescent="0.2">
      <c r="B789" s="37"/>
      <c r="C789" s="37"/>
      <c r="D789" s="37"/>
      <c r="E789" s="38"/>
      <c r="F789" s="39"/>
      <c r="G789" s="40"/>
      <c r="H789" s="40"/>
      <c r="I789" s="40"/>
      <c r="K789" s="36"/>
      <c r="L789" s="36"/>
      <c r="M789" s="40"/>
      <c r="U789" s="35"/>
    </row>
    <row r="790" spans="2:21" s="13" customFormat="1" ht="14.1" customHeight="1" x14ac:dyDescent="0.2">
      <c r="B790" s="37"/>
      <c r="C790" s="37"/>
      <c r="D790" s="37"/>
      <c r="E790" s="38"/>
      <c r="F790" s="39"/>
      <c r="G790" s="40"/>
      <c r="H790" s="40"/>
      <c r="I790" s="40"/>
      <c r="K790" s="36"/>
      <c r="L790" s="36"/>
      <c r="M790" s="40"/>
      <c r="U790" s="35"/>
    </row>
    <row r="791" spans="2:21" s="13" customFormat="1" ht="14.1" customHeight="1" x14ac:dyDescent="0.2">
      <c r="B791" s="37"/>
      <c r="C791" s="37"/>
      <c r="D791" s="37"/>
      <c r="E791" s="38"/>
      <c r="F791" s="39"/>
      <c r="G791" s="40"/>
      <c r="H791" s="40"/>
      <c r="I791" s="40"/>
      <c r="K791" s="36"/>
      <c r="L791" s="36"/>
      <c r="M791" s="40"/>
      <c r="U791" s="35"/>
    </row>
    <row r="792" spans="2:21" s="13" customFormat="1" ht="14.1" customHeight="1" x14ac:dyDescent="0.2">
      <c r="B792" s="37"/>
      <c r="C792" s="37"/>
      <c r="D792" s="37"/>
      <c r="E792" s="38"/>
      <c r="F792" s="39"/>
      <c r="G792" s="40"/>
      <c r="H792" s="40"/>
      <c r="I792" s="40"/>
      <c r="K792" s="36"/>
      <c r="L792" s="36"/>
      <c r="M792" s="40"/>
      <c r="U792" s="35"/>
    </row>
    <row r="793" spans="2:21" s="13" customFormat="1" ht="14.1" customHeight="1" x14ac:dyDescent="0.2">
      <c r="B793" s="37"/>
      <c r="C793" s="37"/>
      <c r="D793" s="37"/>
      <c r="E793" s="38"/>
      <c r="F793" s="39"/>
      <c r="G793" s="40"/>
      <c r="H793" s="40"/>
      <c r="I793" s="40"/>
      <c r="K793" s="36"/>
      <c r="L793" s="36"/>
      <c r="M793" s="40"/>
      <c r="U793" s="35"/>
    </row>
    <row r="794" spans="2:21" s="13" customFormat="1" ht="14.1" customHeight="1" x14ac:dyDescent="0.2">
      <c r="B794" s="37"/>
      <c r="C794" s="37"/>
      <c r="D794" s="37"/>
      <c r="E794" s="38"/>
      <c r="F794" s="39"/>
      <c r="G794" s="40"/>
      <c r="H794" s="40"/>
      <c r="I794" s="40"/>
      <c r="K794" s="36"/>
      <c r="L794" s="36"/>
      <c r="M794" s="40"/>
      <c r="U794" s="35"/>
    </row>
    <row r="795" spans="2:21" s="13" customFormat="1" ht="14.1" customHeight="1" x14ac:dyDescent="0.2">
      <c r="B795" s="37"/>
      <c r="C795" s="37"/>
      <c r="D795" s="37"/>
      <c r="E795" s="38"/>
      <c r="F795" s="39"/>
      <c r="G795" s="40"/>
      <c r="H795" s="40"/>
      <c r="I795" s="40"/>
      <c r="K795" s="36"/>
      <c r="L795" s="36"/>
      <c r="M795" s="40"/>
      <c r="U795" s="35"/>
    </row>
    <row r="796" spans="2:21" s="13" customFormat="1" ht="14.1" customHeight="1" x14ac:dyDescent="0.2">
      <c r="B796" s="37"/>
      <c r="C796" s="37"/>
      <c r="D796" s="37"/>
      <c r="E796" s="38"/>
      <c r="F796" s="39"/>
      <c r="G796" s="40"/>
      <c r="H796" s="40"/>
      <c r="I796" s="40"/>
      <c r="K796" s="36"/>
      <c r="L796" s="36"/>
      <c r="M796" s="40"/>
      <c r="U796" s="35"/>
    </row>
    <row r="797" spans="2:21" s="13" customFormat="1" ht="14.1" customHeight="1" x14ac:dyDescent="0.2">
      <c r="B797" s="37"/>
      <c r="C797" s="37"/>
      <c r="D797" s="37"/>
      <c r="E797" s="38"/>
      <c r="F797" s="39"/>
      <c r="G797" s="40"/>
      <c r="H797" s="40"/>
      <c r="I797" s="40"/>
      <c r="K797" s="36"/>
      <c r="L797" s="36"/>
      <c r="M797" s="40"/>
      <c r="U797" s="35"/>
    </row>
    <row r="798" spans="2:21" s="13" customFormat="1" ht="14.1" customHeight="1" x14ac:dyDescent="0.2">
      <c r="B798" s="37"/>
      <c r="C798" s="37"/>
      <c r="D798" s="37"/>
      <c r="E798" s="38"/>
      <c r="F798" s="39"/>
      <c r="G798" s="40"/>
      <c r="H798" s="40"/>
      <c r="I798" s="40"/>
      <c r="K798" s="36"/>
      <c r="L798" s="36"/>
      <c r="M798" s="40"/>
      <c r="U798" s="35"/>
    </row>
    <row r="799" spans="2:21" s="13" customFormat="1" ht="14.1" customHeight="1" x14ac:dyDescent="0.2">
      <c r="B799" s="37"/>
      <c r="C799" s="37"/>
      <c r="D799" s="37"/>
      <c r="E799" s="38"/>
      <c r="F799" s="39"/>
      <c r="G799" s="40"/>
      <c r="H799" s="40"/>
      <c r="I799" s="40"/>
      <c r="K799" s="36"/>
      <c r="L799" s="36"/>
      <c r="M799" s="40"/>
      <c r="U799" s="35"/>
    </row>
    <row r="800" spans="2:21" s="13" customFormat="1" ht="14.1" customHeight="1" x14ac:dyDescent="0.2">
      <c r="B800" s="37"/>
      <c r="C800" s="37"/>
      <c r="D800" s="37"/>
      <c r="E800" s="38"/>
      <c r="F800" s="39"/>
      <c r="G800" s="40"/>
      <c r="H800" s="40"/>
      <c r="I800" s="40"/>
      <c r="K800" s="36"/>
      <c r="L800" s="36"/>
      <c r="M800" s="40"/>
      <c r="U800" s="35"/>
    </row>
    <row r="801" spans="2:21" s="13" customFormat="1" ht="14.1" customHeight="1" x14ac:dyDescent="0.2">
      <c r="B801" s="37"/>
      <c r="C801" s="37"/>
      <c r="D801" s="37"/>
      <c r="E801" s="38"/>
      <c r="F801" s="39"/>
      <c r="G801" s="40"/>
      <c r="H801" s="40"/>
      <c r="I801" s="40"/>
      <c r="K801" s="36"/>
      <c r="L801" s="36"/>
      <c r="M801" s="40"/>
      <c r="U801" s="35"/>
    </row>
    <row r="802" spans="2:21" s="13" customFormat="1" ht="14.1" customHeight="1" x14ac:dyDescent="0.2">
      <c r="B802" s="37"/>
      <c r="C802" s="37"/>
      <c r="D802" s="37"/>
      <c r="E802" s="38"/>
      <c r="F802" s="39"/>
      <c r="G802" s="40"/>
      <c r="H802" s="40"/>
      <c r="I802" s="40"/>
      <c r="K802" s="36"/>
      <c r="L802" s="36"/>
      <c r="M802" s="40"/>
      <c r="U802" s="35"/>
    </row>
    <row r="803" spans="2:21" s="13" customFormat="1" ht="14.1" customHeight="1" x14ac:dyDescent="0.2">
      <c r="B803" s="37"/>
      <c r="C803" s="37"/>
      <c r="D803" s="37"/>
      <c r="E803" s="38"/>
      <c r="F803" s="39"/>
      <c r="G803" s="40"/>
      <c r="H803" s="40"/>
      <c r="I803" s="40"/>
      <c r="K803" s="36"/>
      <c r="L803" s="36"/>
      <c r="M803" s="40"/>
      <c r="U803" s="35"/>
    </row>
    <row r="804" spans="2:21" s="13" customFormat="1" ht="14.1" customHeight="1" x14ac:dyDescent="0.2">
      <c r="B804" s="37"/>
      <c r="C804" s="37"/>
      <c r="D804" s="37"/>
      <c r="E804" s="38"/>
      <c r="F804" s="39"/>
      <c r="G804" s="40"/>
      <c r="H804" s="40"/>
      <c r="I804" s="40"/>
      <c r="K804" s="36"/>
      <c r="L804" s="36"/>
      <c r="M804" s="40"/>
      <c r="U804" s="35"/>
    </row>
    <row r="805" spans="2:21" s="13" customFormat="1" ht="14.1" customHeight="1" x14ac:dyDescent="0.2">
      <c r="B805" s="37"/>
      <c r="C805" s="37"/>
      <c r="D805" s="37"/>
      <c r="E805" s="38"/>
      <c r="F805" s="39"/>
      <c r="G805" s="40"/>
      <c r="H805" s="40"/>
      <c r="I805" s="40"/>
      <c r="K805" s="36"/>
      <c r="L805" s="36"/>
      <c r="M805" s="40"/>
      <c r="U805" s="35"/>
    </row>
    <row r="806" spans="2:21" s="13" customFormat="1" ht="14.1" customHeight="1" x14ac:dyDescent="0.2">
      <c r="B806" s="37"/>
      <c r="C806" s="37"/>
      <c r="D806" s="37"/>
      <c r="E806" s="38"/>
      <c r="F806" s="39"/>
      <c r="G806" s="40"/>
      <c r="H806" s="40"/>
      <c r="I806" s="40"/>
      <c r="K806" s="36"/>
      <c r="L806" s="36"/>
      <c r="M806" s="40"/>
      <c r="U806" s="35"/>
    </row>
    <row r="807" spans="2:21" s="13" customFormat="1" ht="14.1" customHeight="1" x14ac:dyDescent="0.2">
      <c r="B807" s="37"/>
      <c r="C807" s="37"/>
      <c r="D807" s="37"/>
      <c r="E807" s="38"/>
      <c r="F807" s="39"/>
      <c r="G807" s="40"/>
      <c r="H807" s="40"/>
      <c r="I807" s="40"/>
      <c r="K807" s="36"/>
      <c r="L807" s="36"/>
      <c r="M807" s="40"/>
      <c r="U807" s="35"/>
    </row>
    <row r="808" spans="2:21" s="13" customFormat="1" ht="14.1" customHeight="1" x14ac:dyDescent="0.2">
      <c r="B808" s="37"/>
      <c r="C808" s="37"/>
      <c r="D808" s="37"/>
      <c r="E808" s="38"/>
      <c r="F808" s="39"/>
      <c r="G808" s="40"/>
      <c r="H808" s="40"/>
      <c r="I808" s="40"/>
      <c r="K808" s="36"/>
      <c r="L808" s="36"/>
      <c r="M808" s="40"/>
      <c r="U808" s="35"/>
    </row>
    <row r="809" spans="2:21" s="13" customFormat="1" ht="14.1" customHeight="1" x14ac:dyDescent="0.2">
      <c r="B809" s="37"/>
      <c r="C809" s="37"/>
      <c r="D809" s="37"/>
      <c r="E809" s="38"/>
      <c r="F809" s="39"/>
      <c r="G809" s="40"/>
      <c r="H809" s="40"/>
      <c r="I809" s="40"/>
      <c r="K809" s="36"/>
      <c r="L809" s="36"/>
      <c r="M809" s="40"/>
      <c r="U809" s="35"/>
    </row>
    <row r="810" spans="2:21" s="13" customFormat="1" ht="14.1" customHeight="1" x14ac:dyDescent="0.2">
      <c r="B810" s="37"/>
      <c r="C810" s="37"/>
      <c r="D810" s="37"/>
      <c r="E810" s="38"/>
      <c r="F810" s="39"/>
      <c r="G810" s="40"/>
      <c r="H810" s="40"/>
      <c r="I810" s="40"/>
      <c r="K810" s="36"/>
      <c r="L810" s="36"/>
      <c r="M810" s="40"/>
      <c r="U810" s="35"/>
    </row>
    <row r="811" spans="2:21" s="13" customFormat="1" ht="14.1" customHeight="1" x14ac:dyDescent="0.2">
      <c r="B811" s="37"/>
      <c r="C811" s="37"/>
      <c r="D811" s="37"/>
      <c r="E811" s="38"/>
      <c r="F811" s="39"/>
      <c r="G811" s="40"/>
      <c r="H811" s="40"/>
      <c r="I811" s="40"/>
      <c r="K811" s="36"/>
      <c r="L811" s="36"/>
      <c r="M811" s="40"/>
      <c r="U811" s="35"/>
    </row>
    <row r="812" spans="2:21" s="13" customFormat="1" ht="14.1" customHeight="1" x14ac:dyDescent="0.2">
      <c r="B812" s="37"/>
      <c r="C812" s="37"/>
      <c r="D812" s="37"/>
      <c r="E812" s="38"/>
      <c r="F812" s="39"/>
      <c r="G812" s="40"/>
      <c r="H812" s="40"/>
      <c r="I812" s="40"/>
      <c r="K812" s="36"/>
      <c r="L812" s="36"/>
      <c r="M812" s="40"/>
      <c r="U812" s="35"/>
    </row>
    <row r="813" spans="2:21" s="13" customFormat="1" ht="14.1" customHeight="1" x14ac:dyDescent="0.2">
      <c r="B813" s="37"/>
      <c r="C813" s="37"/>
      <c r="D813" s="37"/>
      <c r="E813" s="38"/>
      <c r="F813" s="39"/>
      <c r="G813" s="40"/>
      <c r="H813" s="40"/>
      <c r="I813" s="40"/>
      <c r="K813" s="36"/>
      <c r="L813" s="36"/>
      <c r="M813" s="40"/>
      <c r="U813" s="35"/>
    </row>
    <row r="814" spans="2:21" s="13" customFormat="1" ht="14.1" customHeight="1" x14ac:dyDescent="0.2">
      <c r="B814" s="37"/>
      <c r="C814" s="37"/>
      <c r="D814" s="37"/>
      <c r="E814" s="38"/>
      <c r="F814" s="39"/>
      <c r="G814" s="40"/>
      <c r="H814" s="40"/>
      <c r="I814" s="40"/>
      <c r="K814" s="36"/>
      <c r="L814" s="36"/>
      <c r="M814" s="40"/>
      <c r="U814" s="35"/>
    </row>
    <row r="815" spans="2:21" s="13" customFormat="1" ht="14.1" customHeight="1" x14ac:dyDescent="0.2">
      <c r="B815" s="37"/>
      <c r="C815" s="37"/>
      <c r="D815" s="37"/>
      <c r="E815" s="38"/>
      <c r="F815" s="39"/>
      <c r="G815" s="40"/>
      <c r="H815" s="40"/>
      <c r="I815" s="40"/>
      <c r="K815" s="36"/>
      <c r="L815" s="36"/>
      <c r="M815" s="40"/>
      <c r="U815" s="35"/>
    </row>
    <row r="816" spans="2:21" s="13" customFormat="1" ht="14.1" customHeight="1" x14ac:dyDescent="0.2">
      <c r="B816" s="37"/>
      <c r="C816" s="37"/>
      <c r="D816" s="37"/>
      <c r="E816" s="38"/>
      <c r="F816" s="39"/>
      <c r="G816" s="40"/>
      <c r="H816" s="40"/>
      <c r="I816" s="40"/>
      <c r="K816" s="36"/>
      <c r="L816" s="36"/>
      <c r="M816" s="40"/>
      <c r="U816" s="35"/>
    </row>
    <row r="817" spans="2:21" s="13" customFormat="1" ht="14.1" customHeight="1" x14ac:dyDescent="0.2">
      <c r="B817" s="37"/>
      <c r="C817" s="37"/>
      <c r="D817" s="37"/>
      <c r="E817" s="38"/>
      <c r="F817" s="39"/>
      <c r="G817" s="40"/>
      <c r="H817" s="40"/>
      <c r="I817" s="40"/>
      <c r="K817" s="36"/>
      <c r="L817" s="36"/>
      <c r="M817" s="40"/>
      <c r="U817" s="35"/>
    </row>
    <row r="818" spans="2:21" s="13" customFormat="1" ht="14.1" customHeight="1" x14ac:dyDescent="0.2">
      <c r="B818" s="37"/>
      <c r="C818" s="37"/>
      <c r="D818" s="37"/>
      <c r="E818" s="38"/>
      <c r="F818" s="39"/>
      <c r="G818" s="40"/>
      <c r="H818" s="40"/>
      <c r="I818" s="40"/>
      <c r="K818" s="36"/>
      <c r="L818" s="36"/>
      <c r="M818" s="40"/>
      <c r="U818" s="35"/>
    </row>
    <row r="819" spans="2:21" s="13" customFormat="1" ht="14.1" customHeight="1" x14ac:dyDescent="0.2">
      <c r="B819" s="37"/>
      <c r="C819" s="37"/>
      <c r="D819" s="37"/>
      <c r="E819" s="38"/>
      <c r="F819" s="39"/>
      <c r="G819" s="40"/>
      <c r="H819" s="40"/>
      <c r="I819" s="40"/>
      <c r="K819" s="36"/>
      <c r="L819" s="36"/>
      <c r="M819" s="40"/>
      <c r="U819" s="35"/>
    </row>
    <row r="820" spans="2:21" s="13" customFormat="1" ht="14.1" customHeight="1" x14ac:dyDescent="0.2">
      <c r="B820" s="37"/>
      <c r="C820" s="37"/>
      <c r="D820" s="37"/>
      <c r="E820" s="38"/>
      <c r="F820" s="39"/>
      <c r="G820" s="40"/>
      <c r="H820" s="40"/>
      <c r="I820" s="40"/>
      <c r="K820" s="36"/>
      <c r="L820" s="36"/>
      <c r="M820" s="40"/>
      <c r="U820" s="35"/>
    </row>
    <row r="821" spans="2:21" s="13" customFormat="1" ht="14.1" customHeight="1" x14ac:dyDescent="0.2">
      <c r="B821" s="37"/>
      <c r="C821" s="37"/>
      <c r="D821" s="37"/>
      <c r="E821" s="38"/>
      <c r="F821" s="39"/>
      <c r="G821" s="40"/>
      <c r="H821" s="40"/>
      <c r="I821" s="40"/>
      <c r="K821" s="36"/>
      <c r="L821" s="36"/>
      <c r="M821" s="40"/>
      <c r="U821" s="35"/>
    </row>
    <row r="822" spans="2:21" s="13" customFormat="1" ht="14.1" customHeight="1" x14ac:dyDescent="0.2">
      <c r="B822" s="37"/>
      <c r="C822" s="37"/>
      <c r="D822" s="37"/>
      <c r="E822" s="38"/>
      <c r="F822" s="39"/>
      <c r="G822" s="40"/>
      <c r="H822" s="40"/>
      <c r="I822" s="40"/>
      <c r="K822" s="36"/>
      <c r="L822" s="36"/>
      <c r="M822" s="40"/>
      <c r="U822" s="35"/>
    </row>
    <row r="823" spans="2:21" s="13" customFormat="1" ht="14.1" customHeight="1" x14ac:dyDescent="0.2">
      <c r="B823" s="37"/>
      <c r="C823" s="37"/>
      <c r="D823" s="37"/>
      <c r="E823" s="38"/>
      <c r="F823" s="39"/>
      <c r="G823" s="40"/>
      <c r="H823" s="40"/>
      <c r="I823" s="40"/>
      <c r="K823" s="36"/>
      <c r="L823" s="36"/>
      <c r="M823" s="40"/>
      <c r="U823" s="35"/>
    </row>
    <row r="824" spans="2:21" s="13" customFormat="1" ht="14.1" customHeight="1" x14ac:dyDescent="0.2">
      <c r="B824" s="37"/>
      <c r="C824" s="37"/>
      <c r="D824" s="37"/>
      <c r="E824" s="38"/>
      <c r="F824" s="39"/>
      <c r="G824" s="40"/>
      <c r="H824" s="40"/>
      <c r="I824" s="40"/>
      <c r="K824" s="36"/>
      <c r="L824" s="36"/>
      <c r="M824" s="40"/>
      <c r="U824" s="35"/>
    </row>
    <row r="825" spans="2:21" s="13" customFormat="1" ht="14.1" customHeight="1" x14ac:dyDescent="0.2">
      <c r="B825" s="37"/>
      <c r="C825" s="37"/>
      <c r="D825" s="37"/>
      <c r="E825" s="38"/>
      <c r="F825" s="39"/>
      <c r="G825" s="40"/>
      <c r="H825" s="40"/>
      <c r="I825" s="40"/>
      <c r="K825" s="36"/>
      <c r="L825" s="36"/>
      <c r="M825" s="40"/>
      <c r="U825" s="35"/>
    </row>
    <row r="826" spans="2:21" s="13" customFormat="1" ht="14.1" customHeight="1" x14ac:dyDescent="0.2">
      <c r="B826" s="37"/>
      <c r="C826" s="37"/>
      <c r="D826" s="37"/>
      <c r="E826" s="38"/>
      <c r="F826" s="39"/>
      <c r="G826" s="40"/>
      <c r="H826" s="40"/>
      <c r="I826" s="40"/>
      <c r="K826" s="36"/>
      <c r="L826" s="36"/>
      <c r="M826" s="40"/>
      <c r="U826" s="35"/>
    </row>
    <row r="827" spans="2:21" s="13" customFormat="1" ht="14.1" customHeight="1" x14ac:dyDescent="0.2">
      <c r="B827" s="37"/>
      <c r="C827" s="37"/>
      <c r="D827" s="37"/>
      <c r="E827" s="38"/>
      <c r="F827" s="39"/>
      <c r="G827" s="40"/>
      <c r="H827" s="40"/>
      <c r="I827" s="40"/>
      <c r="K827" s="36"/>
      <c r="L827" s="36"/>
      <c r="M827" s="40"/>
      <c r="U827" s="35"/>
    </row>
    <row r="828" spans="2:21" s="13" customFormat="1" ht="14.1" customHeight="1" x14ac:dyDescent="0.2">
      <c r="B828" s="37"/>
      <c r="C828" s="37"/>
      <c r="D828" s="37"/>
      <c r="E828" s="38"/>
      <c r="F828" s="39"/>
      <c r="G828" s="40"/>
      <c r="H828" s="40"/>
      <c r="I828" s="40"/>
      <c r="K828" s="36"/>
      <c r="L828" s="36"/>
      <c r="M828" s="40"/>
      <c r="U828" s="35"/>
    </row>
    <row r="829" spans="2:21" s="13" customFormat="1" ht="14.1" customHeight="1" x14ac:dyDescent="0.2">
      <c r="B829" s="37"/>
      <c r="C829" s="37"/>
      <c r="D829" s="37"/>
      <c r="E829" s="38"/>
      <c r="F829" s="39"/>
      <c r="G829" s="40"/>
      <c r="H829" s="40"/>
      <c r="I829" s="40"/>
      <c r="K829" s="36"/>
      <c r="L829" s="36"/>
      <c r="M829" s="40"/>
      <c r="U829" s="35"/>
    </row>
    <row r="830" spans="2:21" s="13" customFormat="1" ht="14.1" customHeight="1" x14ac:dyDescent="0.2">
      <c r="B830" s="37"/>
      <c r="C830" s="37"/>
      <c r="D830" s="37"/>
      <c r="E830" s="38"/>
      <c r="F830" s="39"/>
      <c r="G830" s="40"/>
      <c r="H830" s="40"/>
      <c r="I830" s="40"/>
      <c r="K830" s="36"/>
      <c r="L830" s="36"/>
      <c r="M830" s="40"/>
      <c r="U830" s="35"/>
    </row>
    <row r="831" spans="2:21" s="13" customFormat="1" ht="14.1" customHeight="1" x14ac:dyDescent="0.2">
      <c r="B831" s="37"/>
      <c r="C831" s="37"/>
      <c r="D831" s="37"/>
      <c r="E831" s="38"/>
      <c r="F831" s="39"/>
      <c r="G831" s="40"/>
      <c r="H831" s="40"/>
      <c r="I831" s="40"/>
      <c r="K831" s="36"/>
      <c r="L831" s="36"/>
      <c r="M831" s="40"/>
      <c r="U831" s="35"/>
    </row>
    <row r="832" spans="2:21" s="13" customFormat="1" ht="14.1" customHeight="1" x14ac:dyDescent="0.2">
      <c r="B832" s="37"/>
      <c r="C832" s="37"/>
      <c r="D832" s="37"/>
      <c r="E832" s="38"/>
      <c r="F832" s="39"/>
      <c r="G832" s="40"/>
      <c r="H832" s="40"/>
      <c r="I832" s="40"/>
      <c r="K832" s="36"/>
      <c r="L832" s="36"/>
      <c r="M832" s="40"/>
      <c r="U832" s="35"/>
    </row>
    <row r="833" spans="2:21" s="13" customFormat="1" ht="14.1" customHeight="1" x14ac:dyDescent="0.2">
      <c r="B833" s="37"/>
      <c r="C833" s="37"/>
      <c r="D833" s="37"/>
      <c r="E833" s="38"/>
      <c r="F833" s="39"/>
      <c r="G833" s="40"/>
      <c r="H833" s="40"/>
      <c r="I833" s="40"/>
      <c r="K833" s="36"/>
      <c r="L833" s="36"/>
      <c r="M833" s="40"/>
      <c r="U833" s="35"/>
    </row>
    <row r="834" spans="2:21" s="13" customFormat="1" ht="14.1" customHeight="1" x14ac:dyDescent="0.2">
      <c r="B834" s="37"/>
      <c r="C834" s="37"/>
      <c r="D834" s="37"/>
      <c r="E834" s="38"/>
      <c r="F834" s="39"/>
      <c r="G834" s="40"/>
      <c r="H834" s="40"/>
      <c r="I834" s="40"/>
      <c r="K834" s="36"/>
      <c r="L834" s="36"/>
      <c r="M834" s="40"/>
      <c r="U834" s="35"/>
    </row>
    <row r="835" spans="2:21" s="13" customFormat="1" ht="14.1" customHeight="1" x14ac:dyDescent="0.2">
      <c r="B835" s="37"/>
      <c r="C835" s="37"/>
      <c r="D835" s="37"/>
      <c r="E835" s="38"/>
      <c r="F835" s="39"/>
      <c r="G835" s="40"/>
      <c r="H835" s="40"/>
      <c r="I835" s="40"/>
      <c r="K835" s="36"/>
      <c r="L835" s="36"/>
      <c r="M835" s="40"/>
      <c r="U835" s="35"/>
    </row>
    <row r="836" spans="2:21" s="13" customFormat="1" ht="14.1" customHeight="1" x14ac:dyDescent="0.2">
      <c r="B836" s="37"/>
      <c r="C836" s="37"/>
      <c r="D836" s="37"/>
      <c r="E836" s="38"/>
      <c r="F836" s="39"/>
      <c r="G836" s="40"/>
      <c r="H836" s="40"/>
      <c r="I836" s="40"/>
      <c r="K836" s="36"/>
      <c r="L836" s="36"/>
      <c r="M836" s="40"/>
      <c r="U836" s="35"/>
    </row>
    <row r="837" spans="2:21" s="13" customFormat="1" ht="14.1" customHeight="1" x14ac:dyDescent="0.2">
      <c r="B837" s="37"/>
      <c r="C837" s="37"/>
      <c r="D837" s="37"/>
      <c r="E837" s="38"/>
      <c r="F837" s="39"/>
      <c r="G837" s="40"/>
      <c r="H837" s="40"/>
      <c r="I837" s="40"/>
      <c r="K837" s="36"/>
      <c r="L837" s="36"/>
      <c r="M837" s="40"/>
      <c r="U837" s="35"/>
    </row>
    <row r="838" spans="2:21" s="13" customFormat="1" ht="14.1" customHeight="1" x14ac:dyDescent="0.2">
      <c r="B838" s="37"/>
      <c r="C838" s="37"/>
      <c r="D838" s="37"/>
      <c r="E838" s="38"/>
      <c r="F838" s="39"/>
      <c r="G838" s="40"/>
      <c r="H838" s="40"/>
      <c r="I838" s="40"/>
      <c r="K838" s="36"/>
      <c r="L838" s="36"/>
      <c r="M838" s="40"/>
      <c r="U838" s="35"/>
    </row>
    <row r="839" spans="2:21" s="13" customFormat="1" ht="14.1" customHeight="1" x14ac:dyDescent="0.2">
      <c r="B839" s="37"/>
      <c r="C839" s="37"/>
      <c r="D839" s="37"/>
      <c r="E839" s="38"/>
      <c r="F839" s="39"/>
      <c r="G839" s="40"/>
      <c r="H839" s="40"/>
      <c r="I839" s="40"/>
      <c r="K839" s="36"/>
      <c r="L839" s="36"/>
      <c r="M839" s="40"/>
      <c r="U839" s="35"/>
    </row>
    <row r="840" spans="2:21" s="13" customFormat="1" ht="14.1" customHeight="1" x14ac:dyDescent="0.2">
      <c r="B840" s="37"/>
      <c r="C840" s="37"/>
      <c r="D840" s="37"/>
      <c r="E840" s="38"/>
      <c r="F840" s="39"/>
      <c r="G840" s="40"/>
      <c r="H840" s="40"/>
      <c r="I840" s="40"/>
      <c r="K840" s="36"/>
      <c r="L840" s="36"/>
      <c r="M840" s="40"/>
      <c r="U840" s="35"/>
    </row>
    <row r="841" spans="2:21" s="13" customFormat="1" ht="14.1" customHeight="1" x14ac:dyDescent="0.2">
      <c r="B841" s="37"/>
      <c r="C841" s="37"/>
      <c r="D841" s="37"/>
      <c r="E841" s="38"/>
      <c r="F841" s="39"/>
      <c r="G841" s="40"/>
      <c r="H841" s="40"/>
      <c r="I841" s="40"/>
      <c r="K841" s="36"/>
      <c r="L841" s="36"/>
      <c r="M841" s="40"/>
      <c r="U841" s="35"/>
    </row>
    <row r="842" spans="2:21" s="13" customFormat="1" ht="14.1" customHeight="1" x14ac:dyDescent="0.2">
      <c r="B842" s="37"/>
      <c r="C842" s="37"/>
      <c r="D842" s="37"/>
      <c r="E842" s="38"/>
      <c r="F842" s="39"/>
      <c r="G842" s="40"/>
      <c r="H842" s="40"/>
      <c r="I842" s="40"/>
      <c r="K842" s="36"/>
      <c r="L842" s="36"/>
      <c r="M842" s="40"/>
      <c r="U842" s="35"/>
    </row>
    <row r="843" spans="2:21" s="13" customFormat="1" ht="14.1" customHeight="1" x14ac:dyDescent="0.2">
      <c r="B843" s="37"/>
      <c r="C843" s="37"/>
      <c r="D843" s="37"/>
      <c r="E843" s="38"/>
      <c r="F843" s="39"/>
      <c r="G843" s="40"/>
      <c r="H843" s="40"/>
      <c r="I843" s="40"/>
      <c r="K843" s="36"/>
      <c r="L843" s="36"/>
      <c r="M843" s="40"/>
      <c r="U843" s="35"/>
    </row>
    <row r="844" spans="2:21" s="13" customFormat="1" ht="14.1" customHeight="1" x14ac:dyDescent="0.2">
      <c r="B844" s="37"/>
      <c r="C844" s="37"/>
      <c r="D844" s="37"/>
      <c r="E844" s="38"/>
      <c r="F844" s="39"/>
      <c r="G844" s="40"/>
      <c r="H844" s="40"/>
      <c r="I844" s="40"/>
      <c r="K844" s="36"/>
      <c r="L844" s="36"/>
      <c r="M844" s="40"/>
      <c r="U844" s="35"/>
    </row>
    <row r="845" spans="2:21" s="13" customFormat="1" ht="14.1" customHeight="1" x14ac:dyDescent="0.2">
      <c r="B845" s="37"/>
      <c r="C845" s="37"/>
      <c r="D845" s="37"/>
      <c r="E845" s="38"/>
      <c r="F845" s="39"/>
      <c r="G845" s="40"/>
      <c r="H845" s="40"/>
      <c r="I845" s="40"/>
      <c r="K845" s="36"/>
      <c r="L845" s="36"/>
      <c r="M845" s="40"/>
      <c r="U845" s="35"/>
    </row>
    <row r="846" spans="2:21" s="13" customFormat="1" ht="14.1" customHeight="1" x14ac:dyDescent="0.2">
      <c r="B846" s="37"/>
      <c r="C846" s="37"/>
      <c r="D846" s="37"/>
      <c r="E846" s="38"/>
      <c r="F846" s="39"/>
      <c r="G846" s="40"/>
      <c r="H846" s="40"/>
      <c r="I846" s="40"/>
      <c r="K846" s="36"/>
      <c r="L846" s="36"/>
      <c r="M846" s="40"/>
      <c r="U846" s="35"/>
    </row>
    <row r="847" spans="2:21" s="13" customFormat="1" ht="14.1" customHeight="1" x14ac:dyDescent="0.2">
      <c r="B847" s="37"/>
      <c r="C847" s="37"/>
      <c r="D847" s="37"/>
      <c r="E847" s="38"/>
      <c r="F847" s="39"/>
      <c r="G847" s="40"/>
      <c r="H847" s="40"/>
      <c r="I847" s="40"/>
      <c r="K847" s="36"/>
      <c r="L847" s="36"/>
      <c r="M847" s="40"/>
      <c r="U847" s="35"/>
    </row>
    <row r="848" spans="2:21" s="13" customFormat="1" ht="14.1" customHeight="1" x14ac:dyDescent="0.2">
      <c r="B848" s="37"/>
      <c r="C848" s="37"/>
      <c r="D848" s="37"/>
      <c r="E848" s="38"/>
      <c r="F848" s="39"/>
      <c r="G848" s="40"/>
      <c r="H848" s="40"/>
      <c r="I848" s="40"/>
      <c r="K848" s="36"/>
      <c r="L848" s="36"/>
      <c r="M848" s="40"/>
      <c r="U848" s="35"/>
    </row>
    <row r="849" spans="2:21" s="13" customFormat="1" ht="14.1" customHeight="1" x14ac:dyDescent="0.2">
      <c r="B849" s="37"/>
      <c r="C849" s="37"/>
      <c r="D849" s="37"/>
      <c r="E849" s="38"/>
      <c r="F849" s="39"/>
      <c r="G849" s="40"/>
      <c r="H849" s="40"/>
      <c r="I849" s="40"/>
      <c r="K849" s="36"/>
      <c r="L849" s="36"/>
      <c r="M849" s="40"/>
      <c r="U849" s="35"/>
    </row>
    <row r="850" spans="2:21" s="13" customFormat="1" ht="14.1" customHeight="1" x14ac:dyDescent="0.2">
      <c r="B850" s="37"/>
      <c r="C850" s="37"/>
      <c r="D850" s="37"/>
      <c r="E850" s="38"/>
      <c r="F850" s="39"/>
      <c r="G850" s="40"/>
      <c r="H850" s="40"/>
      <c r="I850" s="40"/>
      <c r="K850" s="36"/>
      <c r="L850" s="36"/>
      <c r="M850" s="40"/>
      <c r="U850" s="35"/>
    </row>
    <row r="851" spans="2:21" s="13" customFormat="1" ht="14.1" customHeight="1" x14ac:dyDescent="0.2">
      <c r="B851" s="37"/>
      <c r="C851" s="37"/>
      <c r="D851" s="37"/>
      <c r="E851" s="38"/>
      <c r="F851" s="39"/>
      <c r="G851" s="40"/>
      <c r="H851" s="40"/>
      <c r="I851" s="40"/>
      <c r="K851" s="36"/>
      <c r="L851" s="36"/>
      <c r="M851" s="40"/>
      <c r="U851" s="35"/>
    </row>
    <row r="852" spans="2:21" s="13" customFormat="1" ht="14.1" customHeight="1" x14ac:dyDescent="0.2">
      <c r="B852" s="37"/>
      <c r="C852" s="37"/>
      <c r="D852" s="37"/>
      <c r="E852" s="38"/>
      <c r="F852" s="39"/>
      <c r="G852" s="40"/>
      <c r="H852" s="40"/>
      <c r="I852" s="40"/>
      <c r="K852" s="36"/>
      <c r="L852" s="36"/>
      <c r="M852" s="40"/>
      <c r="U852" s="35"/>
    </row>
    <row r="853" spans="2:21" s="13" customFormat="1" ht="14.1" customHeight="1" x14ac:dyDescent="0.2">
      <c r="B853" s="37"/>
      <c r="C853" s="37"/>
      <c r="D853" s="37"/>
      <c r="E853" s="38"/>
      <c r="F853" s="39"/>
      <c r="G853" s="40"/>
      <c r="H853" s="40"/>
      <c r="I853" s="40"/>
      <c r="K853" s="36"/>
      <c r="L853" s="36"/>
      <c r="M853" s="40"/>
      <c r="U853" s="35"/>
    </row>
    <row r="854" spans="2:21" s="13" customFormat="1" ht="14.1" customHeight="1" x14ac:dyDescent="0.2">
      <c r="B854" s="37"/>
      <c r="C854" s="37"/>
      <c r="D854" s="37"/>
      <c r="E854" s="38"/>
      <c r="F854" s="39"/>
      <c r="G854" s="40"/>
      <c r="H854" s="40"/>
      <c r="I854" s="40"/>
      <c r="K854" s="36"/>
      <c r="L854" s="36"/>
      <c r="M854" s="40"/>
      <c r="U854" s="35"/>
    </row>
    <row r="855" spans="2:21" s="13" customFormat="1" ht="14.1" customHeight="1" x14ac:dyDescent="0.2">
      <c r="B855" s="37"/>
      <c r="C855" s="37"/>
      <c r="D855" s="37"/>
      <c r="E855" s="38"/>
      <c r="F855" s="39"/>
      <c r="G855" s="40"/>
      <c r="H855" s="40"/>
      <c r="I855" s="40"/>
      <c r="K855" s="36"/>
      <c r="L855" s="36"/>
      <c r="M855" s="40"/>
      <c r="U855" s="35"/>
    </row>
    <row r="856" spans="2:21" s="13" customFormat="1" ht="14.1" customHeight="1" x14ac:dyDescent="0.2">
      <c r="B856" s="37"/>
      <c r="C856" s="37"/>
      <c r="D856" s="37"/>
      <c r="E856" s="38"/>
      <c r="F856" s="39"/>
      <c r="G856" s="40"/>
      <c r="H856" s="40"/>
      <c r="I856" s="40"/>
      <c r="K856" s="36"/>
      <c r="L856" s="36"/>
      <c r="M856" s="40"/>
      <c r="U856" s="35"/>
    </row>
    <row r="857" spans="2:21" s="13" customFormat="1" ht="14.1" customHeight="1" x14ac:dyDescent="0.2">
      <c r="B857" s="37"/>
      <c r="C857" s="37"/>
      <c r="D857" s="37"/>
      <c r="E857" s="38"/>
      <c r="F857" s="39"/>
      <c r="G857" s="40"/>
      <c r="H857" s="40"/>
      <c r="I857" s="40"/>
      <c r="K857" s="36"/>
      <c r="L857" s="36"/>
      <c r="M857" s="40"/>
      <c r="U857" s="35"/>
    </row>
    <row r="858" spans="2:21" s="13" customFormat="1" ht="14.1" customHeight="1" x14ac:dyDescent="0.2">
      <c r="B858" s="37"/>
      <c r="C858" s="37"/>
      <c r="D858" s="37"/>
      <c r="E858" s="38"/>
      <c r="F858" s="39"/>
      <c r="G858" s="40"/>
      <c r="H858" s="40"/>
      <c r="I858" s="40"/>
      <c r="K858" s="36"/>
      <c r="L858" s="36"/>
      <c r="M858" s="40"/>
      <c r="U858" s="35"/>
    </row>
    <row r="859" spans="2:21" s="13" customFormat="1" ht="14.1" customHeight="1" x14ac:dyDescent="0.2">
      <c r="B859" s="37"/>
      <c r="C859" s="37"/>
      <c r="D859" s="37"/>
      <c r="E859" s="38"/>
      <c r="F859" s="39"/>
      <c r="G859" s="40"/>
      <c r="H859" s="40"/>
      <c r="I859" s="40"/>
      <c r="K859" s="36"/>
      <c r="L859" s="36"/>
      <c r="M859" s="40"/>
      <c r="U859" s="35"/>
    </row>
    <row r="860" spans="2:21" s="13" customFormat="1" ht="14.1" customHeight="1" x14ac:dyDescent="0.2">
      <c r="B860" s="37"/>
      <c r="C860" s="37"/>
      <c r="D860" s="37"/>
      <c r="E860" s="38"/>
      <c r="F860" s="39"/>
      <c r="G860" s="40"/>
      <c r="H860" s="40"/>
      <c r="I860" s="40"/>
      <c r="K860" s="36"/>
      <c r="L860" s="36"/>
      <c r="M860" s="40"/>
      <c r="U860" s="35"/>
    </row>
    <row r="861" spans="2:21" s="13" customFormat="1" ht="14.1" customHeight="1" x14ac:dyDescent="0.2">
      <c r="B861" s="37"/>
      <c r="C861" s="37"/>
      <c r="D861" s="37"/>
      <c r="E861" s="38"/>
      <c r="F861" s="39"/>
      <c r="G861" s="40"/>
      <c r="H861" s="40"/>
      <c r="I861" s="40"/>
      <c r="K861" s="36"/>
      <c r="L861" s="36"/>
      <c r="M861" s="40"/>
      <c r="U861" s="35"/>
    </row>
    <row r="862" spans="2:21" s="13" customFormat="1" ht="14.1" customHeight="1" x14ac:dyDescent="0.2">
      <c r="B862" s="37"/>
      <c r="C862" s="37"/>
      <c r="D862" s="37"/>
      <c r="E862" s="38"/>
      <c r="F862" s="39"/>
      <c r="G862" s="40"/>
      <c r="H862" s="40"/>
      <c r="I862" s="40"/>
      <c r="K862" s="36"/>
      <c r="L862" s="36"/>
      <c r="M862" s="40"/>
      <c r="U862" s="35"/>
    </row>
    <row r="863" spans="2:21" s="13" customFormat="1" ht="14.1" customHeight="1" x14ac:dyDescent="0.2">
      <c r="B863" s="37"/>
      <c r="C863" s="37"/>
      <c r="D863" s="37"/>
      <c r="E863" s="38"/>
      <c r="F863" s="39"/>
      <c r="G863" s="40"/>
      <c r="H863" s="40"/>
      <c r="I863" s="40"/>
      <c r="K863" s="36"/>
      <c r="L863" s="36"/>
      <c r="M863" s="40"/>
      <c r="U863" s="35"/>
    </row>
    <row r="864" spans="2:21" s="13" customFormat="1" ht="14.1" customHeight="1" x14ac:dyDescent="0.2">
      <c r="B864" s="37"/>
      <c r="C864" s="37"/>
      <c r="D864" s="37"/>
      <c r="E864" s="38"/>
      <c r="F864" s="39"/>
      <c r="G864" s="40"/>
      <c r="H864" s="40"/>
      <c r="I864" s="40"/>
      <c r="K864" s="36"/>
      <c r="L864" s="36"/>
      <c r="M864" s="40"/>
      <c r="U864" s="35"/>
    </row>
    <row r="865" spans="2:21" s="13" customFormat="1" ht="14.1" customHeight="1" x14ac:dyDescent="0.2">
      <c r="B865" s="37"/>
      <c r="C865" s="37"/>
      <c r="D865" s="37"/>
      <c r="E865" s="38"/>
      <c r="F865" s="39"/>
      <c r="G865" s="40"/>
      <c r="H865" s="40"/>
      <c r="I865" s="40"/>
      <c r="K865" s="36"/>
      <c r="L865" s="36"/>
      <c r="M865" s="40"/>
      <c r="U865" s="35"/>
    </row>
    <row r="866" spans="2:21" s="13" customFormat="1" ht="14.1" customHeight="1" x14ac:dyDescent="0.2">
      <c r="B866" s="37"/>
      <c r="C866" s="37"/>
      <c r="D866" s="37"/>
      <c r="E866" s="38"/>
      <c r="F866" s="39"/>
      <c r="G866" s="40"/>
      <c r="H866" s="40"/>
      <c r="I866" s="40"/>
      <c r="K866" s="36"/>
      <c r="L866" s="36"/>
      <c r="M866" s="40"/>
      <c r="U866" s="35"/>
    </row>
    <row r="867" spans="2:21" s="13" customFormat="1" ht="12.75" customHeight="1" x14ac:dyDescent="0.2">
      <c r="B867" s="37"/>
      <c r="C867" s="37"/>
      <c r="D867" s="37"/>
      <c r="E867" s="38"/>
      <c r="F867" s="39"/>
      <c r="G867" s="40"/>
      <c r="H867" s="40"/>
      <c r="I867" s="40"/>
      <c r="K867" s="36"/>
      <c r="L867" s="36"/>
      <c r="M867" s="40"/>
      <c r="U867" s="35"/>
    </row>
    <row r="868" spans="2:21" s="13" customFormat="1" ht="12.75" customHeight="1" x14ac:dyDescent="0.2">
      <c r="B868" s="37"/>
      <c r="C868" s="37"/>
      <c r="D868" s="37"/>
      <c r="E868" s="38"/>
      <c r="F868" s="39"/>
      <c r="G868" s="40"/>
      <c r="H868" s="40"/>
      <c r="I868" s="40"/>
      <c r="K868" s="36"/>
      <c r="L868" s="36"/>
      <c r="M868" s="40"/>
      <c r="U868" s="35"/>
    </row>
    <row r="869" spans="2:21" s="13" customFormat="1" ht="12.75" customHeight="1" x14ac:dyDescent="0.2">
      <c r="B869" s="37"/>
      <c r="C869" s="37"/>
      <c r="D869" s="37"/>
      <c r="E869" s="38"/>
      <c r="F869" s="39"/>
      <c r="G869" s="40"/>
      <c r="H869" s="40"/>
      <c r="I869" s="40"/>
      <c r="K869" s="36"/>
      <c r="L869" s="36"/>
      <c r="M869" s="40"/>
      <c r="U869" s="35"/>
    </row>
    <row r="870" spans="2:21" s="13" customFormat="1" ht="12.75" customHeight="1" x14ac:dyDescent="0.2">
      <c r="B870" s="37"/>
      <c r="C870" s="37"/>
      <c r="D870" s="37"/>
      <c r="E870" s="38"/>
      <c r="F870" s="39"/>
      <c r="G870" s="40"/>
      <c r="H870" s="40"/>
      <c r="I870" s="40"/>
      <c r="K870" s="36"/>
      <c r="L870" s="36"/>
      <c r="M870" s="40"/>
      <c r="U870" s="35"/>
    </row>
    <row r="871" spans="2:21" s="13" customFormat="1" ht="12.75" customHeight="1" x14ac:dyDescent="0.2">
      <c r="B871" s="37"/>
      <c r="C871" s="37"/>
      <c r="D871" s="37"/>
      <c r="E871" s="38"/>
      <c r="F871" s="39"/>
      <c r="G871" s="40"/>
      <c r="H871" s="40"/>
      <c r="I871" s="40"/>
      <c r="K871" s="36"/>
      <c r="L871" s="36"/>
      <c r="M871" s="40"/>
      <c r="U871" s="35"/>
    </row>
    <row r="872" spans="2:21" s="13" customFormat="1" ht="12.75" customHeight="1" x14ac:dyDescent="0.2">
      <c r="B872" s="37"/>
      <c r="C872" s="37"/>
      <c r="D872" s="37"/>
      <c r="E872" s="38"/>
      <c r="F872" s="39"/>
      <c r="G872" s="40"/>
      <c r="H872" s="40"/>
      <c r="I872" s="40"/>
      <c r="K872" s="36"/>
      <c r="L872" s="36"/>
      <c r="M872" s="40"/>
      <c r="U872" s="35"/>
    </row>
    <row r="873" spans="2:21" s="13" customFormat="1" ht="12.75" customHeight="1" x14ac:dyDescent="0.2">
      <c r="B873" s="37"/>
      <c r="C873" s="37"/>
      <c r="D873" s="37"/>
      <c r="E873" s="38"/>
      <c r="F873" s="39"/>
      <c r="G873" s="40"/>
      <c r="H873" s="40"/>
      <c r="I873" s="40"/>
      <c r="K873" s="36"/>
      <c r="L873" s="36"/>
      <c r="M873" s="40"/>
      <c r="U873" s="35"/>
    </row>
    <row r="874" spans="2:21" s="13" customFormat="1" ht="12.75" customHeight="1" x14ac:dyDescent="0.2">
      <c r="B874" s="37"/>
      <c r="C874" s="37"/>
      <c r="D874" s="37"/>
      <c r="E874" s="38"/>
      <c r="F874" s="39"/>
      <c r="G874" s="40"/>
      <c r="H874" s="40"/>
      <c r="I874" s="40"/>
      <c r="K874" s="36"/>
      <c r="L874" s="36"/>
      <c r="M874" s="40"/>
      <c r="U874" s="35"/>
    </row>
    <row r="875" spans="2:21" s="13" customFormat="1" ht="12.75" customHeight="1" x14ac:dyDescent="0.2">
      <c r="B875" s="37"/>
      <c r="C875" s="37"/>
      <c r="D875" s="37"/>
      <c r="E875" s="38"/>
      <c r="F875" s="39"/>
      <c r="G875" s="40"/>
      <c r="H875" s="40"/>
      <c r="I875" s="40"/>
      <c r="K875" s="36"/>
      <c r="L875" s="36"/>
      <c r="M875" s="40"/>
      <c r="U875" s="35"/>
    </row>
    <row r="876" spans="2:21" s="13" customFormat="1" ht="12.75" customHeight="1" x14ac:dyDescent="0.2">
      <c r="B876" s="37"/>
      <c r="C876" s="37"/>
      <c r="D876" s="37"/>
      <c r="E876" s="38"/>
      <c r="F876" s="39"/>
      <c r="G876" s="40"/>
      <c r="H876" s="40"/>
      <c r="I876" s="40"/>
      <c r="K876" s="36"/>
      <c r="L876" s="36"/>
      <c r="M876" s="40"/>
      <c r="U876" s="35"/>
    </row>
    <row r="877" spans="2:21" s="13" customFormat="1" ht="12.75" customHeight="1" x14ac:dyDescent="0.2">
      <c r="B877" s="37"/>
      <c r="C877" s="37"/>
      <c r="D877" s="37"/>
      <c r="E877" s="38"/>
      <c r="F877" s="39"/>
      <c r="G877" s="40"/>
      <c r="H877" s="40"/>
      <c r="I877" s="40"/>
      <c r="K877" s="36"/>
      <c r="L877" s="36"/>
      <c r="M877" s="40"/>
      <c r="U877" s="35"/>
    </row>
    <row r="878" spans="2:21" s="13" customFormat="1" ht="12.75" customHeight="1" x14ac:dyDescent="0.2">
      <c r="B878" s="37"/>
      <c r="C878" s="37"/>
      <c r="D878" s="37"/>
      <c r="E878" s="38"/>
      <c r="F878" s="39"/>
      <c r="G878" s="40"/>
      <c r="H878" s="40"/>
      <c r="I878" s="40"/>
      <c r="K878" s="36"/>
      <c r="L878" s="36"/>
      <c r="M878" s="40"/>
      <c r="U878" s="35"/>
    </row>
    <row r="879" spans="2:21" s="13" customFormat="1" ht="12.75" customHeight="1" x14ac:dyDescent="0.2">
      <c r="B879" s="37"/>
      <c r="C879" s="37"/>
      <c r="D879" s="37"/>
      <c r="E879" s="38"/>
      <c r="F879" s="39"/>
      <c r="G879" s="40"/>
      <c r="H879" s="40"/>
      <c r="I879" s="40"/>
      <c r="K879" s="36"/>
      <c r="L879" s="36"/>
      <c r="M879" s="40"/>
      <c r="U879" s="35"/>
    </row>
    <row r="880" spans="2:21" s="13" customFormat="1" ht="12.75" customHeight="1" x14ac:dyDescent="0.2">
      <c r="B880" s="37"/>
      <c r="C880" s="37"/>
      <c r="D880" s="37"/>
      <c r="E880" s="38"/>
      <c r="F880" s="39"/>
      <c r="G880" s="40"/>
      <c r="H880" s="40"/>
      <c r="I880" s="40"/>
      <c r="K880" s="36"/>
      <c r="L880" s="36"/>
      <c r="M880" s="40"/>
      <c r="U880" s="35"/>
    </row>
    <row r="881" spans="2:21" s="13" customFormat="1" ht="12.75" customHeight="1" x14ac:dyDescent="0.2">
      <c r="B881" s="37"/>
      <c r="C881" s="37"/>
      <c r="D881" s="37"/>
      <c r="E881" s="38"/>
      <c r="F881" s="39"/>
      <c r="G881" s="40"/>
      <c r="H881" s="40"/>
      <c r="I881" s="40"/>
      <c r="K881" s="36"/>
      <c r="L881" s="36"/>
      <c r="M881" s="40"/>
      <c r="U881" s="35"/>
    </row>
    <row r="882" spans="2:21" s="13" customFormat="1" ht="12.75" customHeight="1" x14ac:dyDescent="0.2">
      <c r="B882" s="37"/>
      <c r="C882" s="37"/>
      <c r="D882" s="37"/>
      <c r="E882" s="38"/>
      <c r="F882" s="39"/>
      <c r="G882" s="40"/>
      <c r="H882" s="40"/>
      <c r="I882" s="40"/>
      <c r="K882" s="36"/>
      <c r="L882" s="36"/>
      <c r="M882" s="40"/>
      <c r="U882" s="35"/>
    </row>
    <row r="883" spans="2:21" s="13" customFormat="1" ht="12.75" customHeight="1" x14ac:dyDescent="0.2">
      <c r="B883" s="37"/>
      <c r="C883" s="37"/>
      <c r="D883" s="37"/>
      <c r="E883" s="38"/>
      <c r="F883" s="39"/>
      <c r="G883" s="40"/>
      <c r="H883" s="40"/>
      <c r="I883" s="40"/>
      <c r="K883" s="36"/>
      <c r="L883" s="36"/>
      <c r="M883" s="40"/>
      <c r="U883" s="35"/>
    </row>
    <row r="884" spans="2:21" s="13" customFormat="1" ht="12.75" customHeight="1" x14ac:dyDescent="0.2">
      <c r="B884" s="37"/>
      <c r="C884" s="37"/>
      <c r="D884" s="37"/>
      <c r="E884" s="38"/>
      <c r="F884" s="39"/>
      <c r="G884" s="40"/>
      <c r="H884" s="40"/>
      <c r="I884" s="40"/>
      <c r="K884" s="36"/>
      <c r="L884" s="36"/>
      <c r="M884" s="40"/>
      <c r="U884" s="35"/>
    </row>
    <row r="885" spans="2:21" s="13" customFormat="1" ht="12.75" customHeight="1" x14ac:dyDescent="0.2">
      <c r="B885" s="37"/>
      <c r="C885" s="37"/>
      <c r="D885" s="37"/>
      <c r="E885" s="38"/>
      <c r="F885" s="39"/>
      <c r="G885" s="40"/>
      <c r="H885" s="40"/>
      <c r="I885" s="40"/>
      <c r="K885" s="36"/>
      <c r="L885" s="36"/>
      <c r="M885" s="40"/>
      <c r="U885" s="35"/>
    </row>
    <row r="886" spans="2:21" s="13" customFormat="1" ht="12.75" customHeight="1" x14ac:dyDescent="0.2">
      <c r="B886" s="37"/>
      <c r="C886" s="37"/>
      <c r="D886" s="37"/>
      <c r="E886" s="38"/>
      <c r="F886" s="39"/>
      <c r="G886" s="40"/>
      <c r="H886" s="40"/>
      <c r="I886" s="40"/>
      <c r="K886" s="36"/>
      <c r="L886" s="36"/>
      <c r="M886" s="40"/>
      <c r="U886" s="35"/>
    </row>
    <row r="887" spans="2:21" s="13" customFormat="1" ht="12.75" customHeight="1" x14ac:dyDescent="0.2">
      <c r="B887" s="37"/>
      <c r="C887" s="37"/>
      <c r="D887" s="37"/>
      <c r="E887" s="38"/>
      <c r="F887" s="39"/>
      <c r="G887" s="40"/>
      <c r="H887" s="40"/>
      <c r="I887" s="40"/>
      <c r="K887" s="36"/>
      <c r="L887" s="36"/>
      <c r="M887" s="40"/>
      <c r="U887" s="35"/>
    </row>
    <row r="888" spans="2:21" s="13" customFormat="1" ht="12.75" customHeight="1" x14ac:dyDescent="0.2">
      <c r="B888" s="37"/>
      <c r="C888" s="37"/>
      <c r="D888" s="37"/>
      <c r="E888" s="38"/>
      <c r="F888" s="39"/>
      <c r="G888" s="40"/>
      <c r="H888" s="40"/>
      <c r="I888" s="40"/>
      <c r="K888" s="36"/>
      <c r="L888" s="36"/>
      <c r="M888" s="40"/>
      <c r="U888" s="35"/>
    </row>
    <row r="889" spans="2:21" s="13" customFormat="1" ht="12.75" customHeight="1" x14ac:dyDescent="0.2">
      <c r="B889" s="37"/>
      <c r="C889" s="37"/>
      <c r="D889" s="37"/>
      <c r="E889" s="38"/>
      <c r="F889" s="39"/>
      <c r="G889" s="40"/>
      <c r="H889" s="40"/>
      <c r="I889" s="40"/>
      <c r="K889" s="36"/>
      <c r="L889" s="36"/>
      <c r="M889" s="40"/>
      <c r="U889" s="35"/>
    </row>
    <row r="890" spans="2:21" s="13" customFormat="1" ht="12.75" customHeight="1" x14ac:dyDescent="0.2">
      <c r="B890" s="37"/>
      <c r="C890" s="37"/>
      <c r="D890" s="37"/>
      <c r="E890" s="38"/>
      <c r="F890" s="39"/>
      <c r="G890" s="40"/>
      <c r="H890" s="40"/>
      <c r="I890" s="40"/>
      <c r="K890" s="36"/>
      <c r="L890" s="36"/>
      <c r="M890" s="40"/>
      <c r="U890" s="35"/>
    </row>
    <row r="891" spans="2:21" s="13" customFormat="1" ht="12.75" customHeight="1" x14ac:dyDescent="0.2">
      <c r="B891" s="37"/>
      <c r="C891" s="37"/>
      <c r="D891" s="37"/>
      <c r="E891" s="38"/>
      <c r="F891" s="39"/>
      <c r="G891" s="40"/>
      <c r="H891" s="40"/>
      <c r="I891" s="40"/>
      <c r="K891" s="36"/>
      <c r="L891" s="36"/>
      <c r="M891" s="40"/>
      <c r="U891" s="35"/>
    </row>
    <row r="892" spans="2:21" s="13" customFormat="1" ht="12.75" customHeight="1" x14ac:dyDescent="0.2">
      <c r="B892" s="37"/>
      <c r="C892" s="37"/>
      <c r="D892" s="37"/>
      <c r="E892" s="38"/>
      <c r="F892" s="39"/>
      <c r="G892" s="40"/>
      <c r="H892" s="40"/>
      <c r="I892" s="40"/>
      <c r="K892" s="36"/>
      <c r="L892" s="36"/>
      <c r="M892" s="40"/>
      <c r="U892" s="35"/>
    </row>
    <row r="893" spans="2:21" s="13" customFormat="1" ht="12.75" customHeight="1" x14ac:dyDescent="0.2">
      <c r="B893" s="37"/>
      <c r="C893" s="37"/>
      <c r="D893" s="37"/>
      <c r="E893" s="38"/>
      <c r="F893" s="39"/>
      <c r="G893" s="40"/>
      <c r="H893" s="40"/>
      <c r="I893" s="40"/>
      <c r="K893" s="36"/>
      <c r="L893" s="36"/>
      <c r="M893" s="40"/>
      <c r="U893" s="35"/>
    </row>
    <row r="894" spans="2:21" s="13" customFormat="1" ht="12.75" customHeight="1" x14ac:dyDescent="0.2">
      <c r="B894" s="37"/>
      <c r="C894" s="37"/>
      <c r="D894" s="37"/>
      <c r="E894" s="38"/>
      <c r="F894" s="39"/>
      <c r="G894" s="40"/>
      <c r="H894" s="40"/>
      <c r="I894" s="40"/>
      <c r="K894" s="36"/>
      <c r="L894" s="36"/>
      <c r="M894" s="40"/>
      <c r="U894" s="35"/>
    </row>
    <row r="895" spans="2:21" s="13" customFormat="1" ht="12.75" customHeight="1" x14ac:dyDescent="0.2">
      <c r="B895" s="37"/>
      <c r="C895" s="37"/>
      <c r="D895" s="37"/>
      <c r="E895" s="38"/>
      <c r="F895" s="39"/>
      <c r="G895" s="40"/>
      <c r="H895" s="40"/>
      <c r="I895" s="40"/>
      <c r="K895" s="36"/>
      <c r="L895" s="36"/>
      <c r="M895" s="40"/>
      <c r="U895" s="35"/>
    </row>
    <row r="896" spans="2:21" s="13" customFormat="1" ht="12.75" customHeight="1" x14ac:dyDescent="0.2">
      <c r="B896" s="37"/>
      <c r="C896" s="37"/>
      <c r="D896" s="37"/>
      <c r="E896" s="38"/>
      <c r="F896" s="39"/>
      <c r="G896" s="40"/>
      <c r="H896" s="40"/>
      <c r="I896" s="40"/>
      <c r="K896" s="36"/>
      <c r="L896" s="36"/>
      <c r="M896" s="40"/>
      <c r="U896" s="35"/>
    </row>
    <row r="897" spans="2:21" s="13" customFormat="1" ht="12.75" customHeight="1" x14ac:dyDescent="0.2">
      <c r="B897" s="37"/>
      <c r="C897" s="37"/>
      <c r="D897" s="37"/>
      <c r="E897" s="38"/>
      <c r="F897" s="39"/>
      <c r="G897" s="40"/>
      <c r="H897" s="40"/>
      <c r="I897" s="40"/>
      <c r="K897" s="36"/>
      <c r="L897" s="36"/>
      <c r="M897" s="40"/>
      <c r="U897" s="35"/>
    </row>
    <row r="898" spans="2:21" s="13" customFormat="1" ht="12.75" customHeight="1" x14ac:dyDescent="0.2">
      <c r="B898" s="37"/>
      <c r="C898" s="37"/>
      <c r="D898" s="37"/>
      <c r="E898" s="38"/>
      <c r="F898" s="39"/>
      <c r="G898" s="40"/>
      <c r="H898" s="40"/>
      <c r="I898" s="40"/>
      <c r="K898" s="36"/>
      <c r="L898" s="36"/>
      <c r="M898" s="40"/>
      <c r="U898" s="35"/>
    </row>
    <row r="899" spans="2:21" s="13" customFormat="1" ht="12.75" customHeight="1" x14ac:dyDescent="0.2">
      <c r="B899" s="37"/>
      <c r="C899" s="37"/>
      <c r="D899" s="37"/>
      <c r="E899" s="38"/>
      <c r="F899" s="39"/>
      <c r="G899" s="40"/>
      <c r="H899" s="40"/>
      <c r="I899" s="40"/>
      <c r="K899" s="36"/>
      <c r="L899" s="36"/>
      <c r="M899" s="40"/>
      <c r="U899" s="35"/>
    </row>
    <row r="900" spans="2:21" s="13" customFormat="1" ht="12.75" customHeight="1" x14ac:dyDescent="0.2">
      <c r="B900" s="37"/>
      <c r="C900" s="37"/>
      <c r="D900" s="37"/>
      <c r="E900" s="38"/>
      <c r="F900" s="39"/>
      <c r="G900" s="40"/>
      <c r="H900" s="40"/>
      <c r="I900" s="40"/>
      <c r="K900" s="36"/>
      <c r="L900" s="36"/>
      <c r="M900" s="40"/>
      <c r="U900" s="35"/>
    </row>
    <row r="901" spans="2:21" s="13" customFormat="1" ht="12.75" customHeight="1" x14ac:dyDescent="0.2">
      <c r="B901" s="37"/>
      <c r="C901" s="37"/>
      <c r="D901" s="37"/>
      <c r="E901" s="38"/>
      <c r="F901" s="39"/>
      <c r="G901" s="40"/>
      <c r="H901" s="40"/>
      <c r="I901" s="40"/>
      <c r="K901" s="36"/>
      <c r="L901" s="36"/>
      <c r="M901" s="40"/>
      <c r="U901" s="35"/>
    </row>
    <row r="902" spans="2:21" s="13" customFormat="1" ht="12.75" customHeight="1" x14ac:dyDescent="0.2">
      <c r="B902" s="37"/>
      <c r="C902" s="37"/>
      <c r="D902" s="37"/>
      <c r="E902" s="38"/>
      <c r="F902" s="39"/>
      <c r="G902" s="40"/>
      <c r="H902" s="40"/>
      <c r="I902" s="40"/>
      <c r="K902" s="36"/>
      <c r="L902" s="36"/>
      <c r="M902" s="40"/>
      <c r="U902" s="35"/>
    </row>
    <row r="903" spans="2:21" s="13" customFormat="1" ht="12.75" customHeight="1" x14ac:dyDescent="0.2">
      <c r="B903" s="37"/>
      <c r="C903" s="37"/>
      <c r="D903" s="37"/>
      <c r="E903" s="38"/>
      <c r="F903" s="39"/>
      <c r="G903" s="40"/>
      <c r="H903" s="40"/>
      <c r="I903" s="40"/>
      <c r="K903" s="36"/>
      <c r="L903" s="36"/>
      <c r="M903" s="40"/>
      <c r="U903" s="35"/>
    </row>
    <row r="904" spans="2:21" s="13" customFormat="1" ht="12.75" customHeight="1" x14ac:dyDescent="0.2">
      <c r="B904" s="37"/>
      <c r="C904" s="37"/>
      <c r="D904" s="37"/>
      <c r="E904" s="38"/>
      <c r="F904" s="39"/>
      <c r="G904" s="40"/>
      <c r="H904" s="40"/>
      <c r="I904" s="40"/>
      <c r="K904" s="36"/>
      <c r="L904" s="36"/>
      <c r="M904" s="40"/>
      <c r="U904" s="35"/>
    </row>
    <row r="905" spans="2:21" s="13" customFormat="1" ht="12.75" customHeight="1" x14ac:dyDescent="0.2">
      <c r="B905" s="37"/>
      <c r="C905" s="37"/>
      <c r="D905" s="37"/>
      <c r="E905" s="38"/>
      <c r="F905" s="39"/>
      <c r="G905" s="40"/>
      <c r="H905" s="40"/>
      <c r="I905" s="40"/>
      <c r="K905" s="36"/>
      <c r="L905" s="36"/>
      <c r="M905" s="40"/>
      <c r="U905" s="35"/>
    </row>
    <row r="906" spans="2:21" s="13" customFormat="1" ht="12.75" customHeight="1" x14ac:dyDescent="0.2">
      <c r="B906" s="37"/>
      <c r="C906" s="37"/>
      <c r="D906" s="37"/>
      <c r="E906" s="38"/>
      <c r="F906" s="39"/>
      <c r="G906" s="40"/>
      <c r="H906" s="40"/>
      <c r="I906" s="40"/>
      <c r="K906" s="36"/>
      <c r="L906" s="36"/>
      <c r="M906" s="40"/>
      <c r="U906" s="35"/>
    </row>
    <row r="907" spans="2:21" s="13" customFormat="1" ht="12.75" customHeight="1" x14ac:dyDescent="0.2">
      <c r="B907" s="37"/>
      <c r="C907" s="37"/>
      <c r="D907" s="37"/>
      <c r="E907" s="38"/>
      <c r="F907" s="39"/>
      <c r="G907" s="40"/>
      <c r="H907" s="40"/>
      <c r="I907" s="40"/>
      <c r="K907" s="36"/>
      <c r="L907" s="36"/>
      <c r="M907" s="40"/>
      <c r="U907" s="35"/>
    </row>
    <row r="908" spans="2:21" s="13" customFormat="1" ht="12.75" customHeight="1" x14ac:dyDescent="0.2">
      <c r="B908" s="37"/>
      <c r="C908" s="37"/>
      <c r="D908" s="37"/>
      <c r="E908" s="38"/>
      <c r="F908" s="39"/>
      <c r="G908" s="40"/>
      <c r="H908" s="40"/>
      <c r="I908" s="40"/>
      <c r="K908" s="36"/>
      <c r="L908" s="36"/>
      <c r="M908" s="40"/>
      <c r="U908" s="35"/>
    </row>
    <row r="909" spans="2:21" s="13" customFormat="1" ht="12.75" customHeight="1" x14ac:dyDescent="0.2">
      <c r="B909" s="37"/>
      <c r="C909" s="37"/>
      <c r="D909" s="37"/>
      <c r="E909" s="38"/>
      <c r="F909" s="39"/>
      <c r="G909" s="40"/>
      <c r="H909" s="40"/>
      <c r="I909" s="40"/>
      <c r="K909" s="36"/>
      <c r="L909" s="36"/>
      <c r="M909" s="40"/>
      <c r="U909" s="35"/>
    </row>
    <row r="910" spans="2:21" s="13" customFormat="1" ht="12.75" customHeight="1" x14ac:dyDescent="0.2">
      <c r="B910" s="37"/>
      <c r="C910" s="37"/>
      <c r="D910" s="37"/>
      <c r="E910" s="38"/>
      <c r="F910" s="39"/>
      <c r="G910" s="40"/>
      <c r="H910" s="40"/>
      <c r="I910" s="40"/>
      <c r="K910" s="36"/>
      <c r="L910" s="36"/>
      <c r="M910" s="40"/>
      <c r="U910" s="35"/>
    </row>
    <row r="911" spans="2:21" s="13" customFormat="1" ht="12.75" customHeight="1" x14ac:dyDescent="0.2">
      <c r="B911" s="37"/>
      <c r="C911" s="37"/>
      <c r="D911" s="37"/>
      <c r="E911" s="38"/>
      <c r="F911" s="39"/>
      <c r="G911" s="40"/>
      <c r="H911" s="40"/>
      <c r="I911" s="40"/>
      <c r="K911" s="36"/>
      <c r="L911" s="36"/>
      <c r="M911" s="40"/>
      <c r="U911" s="35"/>
    </row>
    <row r="912" spans="2:21" s="13" customFormat="1" ht="12.75" customHeight="1" x14ac:dyDescent="0.2">
      <c r="B912" s="37"/>
      <c r="C912" s="37"/>
      <c r="D912" s="37"/>
      <c r="E912" s="38"/>
      <c r="F912" s="39"/>
      <c r="G912" s="40"/>
      <c r="H912" s="40"/>
      <c r="I912" s="40"/>
      <c r="K912" s="36"/>
      <c r="L912" s="36"/>
      <c r="M912" s="40"/>
      <c r="U912" s="35"/>
    </row>
    <row r="913" spans="2:21" s="13" customFormat="1" ht="12.75" customHeight="1" x14ac:dyDescent="0.2">
      <c r="B913" s="37"/>
      <c r="C913" s="37"/>
      <c r="D913" s="37"/>
      <c r="E913" s="38"/>
      <c r="F913" s="39"/>
      <c r="G913" s="40"/>
      <c r="H913" s="40"/>
      <c r="I913" s="40"/>
      <c r="K913" s="36"/>
      <c r="L913" s="36"/>
      <c r="M913" s="40"/>
      <c r="U913" s="35"/>
    </row>
    <row r="914" spans="2:21" s="13" customFormat="1" ht="12.75" customHeight="1" x14ac:dyDescent="0.2">
      <c r="B914" s="37"/>
      <c r="C914" s="37"/>
      <c r="D914" s="37"/>
      <c r="E914" s="38"/>
      <c r="F914" s="39"/>
      <c r="G914" s="40"/>
      <c r="H914" s="40"/>
      <c r="I914" s="40"/>
      <c r="K914" s="36"/>
      <c r="L914" s="36"/>
      <c r="M914" s="40"/>
      <c r="U914" s="35"/>
    </row>
    <row r="915" spans="2:21" s="13" customFormat="1" ht="12.75" customHeight="1" x14ac:dyDescent="0.2">
      <c r="B915" s="37"/>
      <c r="C915" s="37"/>
      <c r="D915" s="37"/>
      <c r="E915" s="38"/>
      <c r="F915" s="39"/>
      <c r="G915" s="40"/>
      <c r="H915" s="40"/>
      <c r="I915" s="40"/>
      <c r="K915" s="36"/>
      <c r="L915" s="36"/>
      <c r="M915" s="40"/>
      <c r="U915" s="35"/>
    </row>
    <row r="916" spans="2:21" s="13" customFormat="1" ht="12.75" customHeight="1" x14ac:dyDescent="0.2">
      <c r="B916" s="37"/>
      <c r="C916" s="37"/>
      <c r="D916" s="37"/>
      <c r="E916" s="38"/>
      <c r="F916" s="39"/>
      <c r="G916" s="40"/>
      <c r="H916" s="40"/>
      <c r="I916" s="40"/>
      <c r="K916" s="36"/>
      <c r="L916" s="36"/>
      <c r="M916" s="40"/>
      <c r="U916" s="35"/>
    </row>
    <row r="917" spans="2:21" s="13" customFormat="1" ht="12.75" customHeight="1" x14ac:dyDescent="0.2">
      <c r="B917" s="37"/>
      <c r="C917" s="37"/>
      <c r="D917" s="37"/>
      <c r="E917" s="38"/>
      <c r="F917" s="39"/>
      <c r="G917" s="40"/>
      <c r="H917" s="40"/>
      <c r="I917" s="40"/>
      <c r="K917" s="36"/>
      <c r="L917" s="36"/>
      <c r="M917" s="40"/>
      <c r="U917" s="35"/>
    </row>
    <row r="918" spans="2:21" s="13" customFormat="1" ht="12.75" customHeight="1" x14ac:dyDescent="0.2">
      <c r="B918" s="37"/>
      <c r="C918" s="37"/>
      <c r="D918" s="37"/>
      <c r="E918" s="38"/>
      <c r="F918" s="39"/>
      <c r="G918" s="40"/>
      <c r="H918" s="40"/>
      <c r="I918" s="40"/>
      <c r="K918" s="36"/>
      <c r="L918" s="36"/>
      <c r="M918" s="40"/>
      <c r="U918" s="35"/>
    </row>
    <row r="919" spans="2:21" s="13" customFormat="1" ht="12.75" customHeight="1" x14ac:dyDescent="0.2">
      <c r="B919" s="37"/>
      <c r="C919" s="37"/>
      <c r="D919" s="37"/>
      <c r="E919" s="38"/>
      <c r="F919" s="39"/>
      <c r="G919" s="40"/>
      <c r="H919" s="40"/>
      <c r="I919" s="40"/>
      <c r="K919" s="36"/>
      <c r="L919" s="36"/>
      <c r="M919" s="40"/>
      <c r="U919" s="35"/>
    </row>
    <row r="920" spans="2:21" s="13" customFormat="1" ht="12.75" customHeight="1" x14ac:dyDescent="0.2">
      <c r="B920" s="37"/>
      <c r="C920" s="37"/>
      <c r="D920" s="37"/>
      <c r="E920" s="38"/>
      <c r="F920" s="39"/>
      <c r="G920" s="40"/>
      <c r="H920" s="40"/>
      <c r="I920" s="40"/>
      <c r="K920" s="36"/>
      <c r="L920" s="36"/>
      <c r="M920" s="40"/>
      <c r="U920" s="35"/>
    </row>
    <row r="921" spans="2:21" s="13" customFormat="1" ht="12.75" customHeight="1" x14ac:dyDescent="0.2">
      <c r="B921" s="37"/>
      <c r="C921" s="37"/>
      <c r="D921" s="37"/>
      <c r="E921" s="38"/>
      <c r="F921" s="39"/>
      <c r="G921" s="40"/>
      <c r="H921" s="40"/>
      <c r="I921" s="40"/>
      <c r="K921" s="36"/>
      <c r="L921" s="36"/>
      <c r="M921" s="40"/>
      <c r="U921" s="35"/>
    </row>
    <row r="922" spans="2:21" s="13" customFormat="1" ht="12.75" customHeight="1" x14ac:dyDescent="0.2">
      <c r="B922" s="37"/>
      <c r="C922" s="37"/>
      <c r="D922" s="37"/>
      <c r="E922" s="38"/>
      <c r="F922" s="39"/>
      <c r="G922" s="40"/>
      <c r="H922" s="40"/>
      <c r="I922" s="40"/>
      <c r="K922" s="36"/>
      <c r="L922" s="36"/>
      <c r="M922" s="40"/>
      <c r="U922" s="35"/>
    </row>
    <row r="923" spans="2:21" s="13" customFormat="1" ht="12.75" customHeight="1" x14ac:dyDescent="0.2">
      <c r="B923" s="37"/>
      <c r="C923" s="37"/>
      <c r="D923" s="37"/>
      <c r="E923" s="38"/>
      <c r="F923" s="39"/>
      <c r="G923" s="40"/>
      <c r="H923" s="40"/>
      <c r="I923" s="40"/>
      <c r="K923" s="36"/>
      <c r="L923" s="36"/>
      <c r="M923" s="40"/>
      <c r="U923" s="35"/>
    </row>
    <row r="924" spans="2:21" s="13" customFormat="1" ht="12.75" customHeight="1" x14ac:dyDescent="0.2">
      <c r="B924" s="37"/>
      <c r="C924" s="37"/>
      <c r="D924" s="37"/>
      <c r="E924" s="38"/>
      <c r="F924" s="39"/>
      <c r="G924" s="40"/>
      <c r="H924" s="40"/>
      <c r="I924" s="40"/>
      <c r="K924" s="36"/>
      <c r="L924" s="36"/>
      <c r="M924" s="40"/>
      <c r="U924" s="35"/>
    </row>
    <row r="925" spans="2:21" s="13" customFormat="1" ht="12.75" customHeight="1" x14ac:dyDescent="0.2">
      <c r="B925" s="37"/>
      <c r="C925" s="37"/>
      <c r="D925" s="37"/>
      <c r="E925" s="38"/>
      <c r="F925" s="39"/>
      <c r="G925" s="40"/>
      <c r="H925" s="40"/>
      <c r="I925" s="40"/>
      <c r="K925" s="36"/>
      <c r="L925" s="36"/>
      <c r="M925" s="40"/>
      <c r="U925" s="35"/>
    </row>
    <row r="926" spans="2:21" s="13" customFormat="1" ht="12.75" customHeight="1" x14ac:dyDescent="0.2">
      <c r="B926" s="37"/>
      <c r="C926" s="37"/>
      <c r="D926" s="37"/>
      <c r="E926" s="38"/>
      <c r="F926" s="39"/>
      <c r="G926" s="40"/>
      <c r="H926" s="40"/>
      <c r="I926" s="40"/>
      <c r="K926" s="36"/>
      <c r="L926" s="36"/>
      <c r="M926" s="40"/>
      <c r="U926" s="35"/>
    </row>
    <row r="927" spans="2:21" s="13" customFormat="1" ht="12.75" customHeight="1" x14ac:dyDescent="0.2">
      <c r="B927" s="37"/>
      <c r="C927" s="37"/>
      <c r="D927" s="37"/>
      <c r="E927" s="38"/>
      <c r="F927" s="39"/>
      <c r="G927" s="40"/>
      <c r="H927" s="40"/>
      <c r="I927" s="40"/>
      <c r="K927" s="36"/>
      <c r="L927" s="36"/>
      <c r="M927" s="40"/>
      <c r="U927" s="35"/>
    </row>
    <row r="928" spans="2:21" s="13" customFormat="1" ht="12.75" customHeight="1" x14ac:dyDescent="0.2">
      <c r="B928" s="37"/>
      <c r="C928" s="37"/>
      <c r="D928" s="37"/>
      <c r="E928" s="38"/>
      <c r="F928" s="39"/>
      <c r="G928" s="40"/>
      <c r="H928" s="40"/>
      <c r="I928" s="40"/>
      <c r="K928" s="36"/>
      <c r="L928" s="36"/>
      <c r="M928" s="40"/>
      <c r="U928" s="35"/>
    </row>
    <row r="929" spans="2:21" s="13" customFormat="1" ht="12.75" customHeight="1" x14ac:dyDescent="0.2">
      <c r="B929" s="37"/>
      <c r="C929" s="37"/>
      <c r="D929" s="37"/>
      <c r="E929" s="38"/>
      <c r="F929" s="39"/>
      <c r="G929" s="40"/>
      <c r="H929" s="40"/>
      <c r="I929" s="40"/>
      <c r="K929" s="36"/>
      <c r="L929" s="36"/>
      <c r="M929" s="40"/>
      <c r="U929" s="35"/>
    </row>
    <row r="930" spans="2:21" s="13" customFormat="1" ht="12.75" customHeight="1" x14ac:dyDescent="0.2">
      <c r="B930" s="37"/>
      <c r="C930" s="37"/>
      <c r="D930" s="37"/>
      <c r="E930" s="38"/>
      <c r="F930" s="39"/>
      <c r="G930" s="40"/>
      <c r="H930" s="40"/>
      <c r="I930" s="40"/>
      <c r="K930" s="36"/>
      <c r="L930" s="36"/>
      <c r="M930" s="40"/>
      <c r="U930" s="35"/>
    </row>
    <row r="931" spans="2:21" s="13" customFormat="1" ht="12.75" customHeight="1" x14ac:dyDescent="0.2">
      <c r="B931" s="37"/>
      <c r="C931" s="37"/>
      <c r="D931" s="37"/>
      <c r="E931" s="38"/>
      <c r="F931" s="39"/>
      <c r="G931" s="40"/>
      <c r="H931" s="40"/>
      <c r="I931" s="40"/>
      <c r="K931" s="36"/>
      <c r="L931" s="36"/>
      <c r="M931" s="40"/>
      <c r="U931" s="35"/>
    </row>
    <row r="932" spans="2:21" s="13" customFormat="1" ht="12.75" customHeight="1" x14ac:dyDescent="0.2">
      <c r="B932" s="37"/>
      <c r="C932" s="37"/>
      <c r="D932" s="37"/>
      <c r="E932" s="38"/>
      <c r="F932" s="39"/>
      <c r="G932" s="40"/>
      <c r="H932" s="40"/>
      <c r="I932" s="40"/>
      <c r="K932" s="36"/>
      <c r="L932" s="36"/>
      <c r="M932" s="40"/>
      <c r="U932" s="35"/>
    </row>
    <row r="933" spans="2:21" s="13" customFormat="1" ht="12.75" customHeight="1" x14ac:dyDescent="0.2">
      <c r="B933" s="37"/>
      <c r="C933" s="37"/>
      <c r="D933" s="37"/>
      <c r="E933" s="38"/>
      <c r="F933" s="39"/>
      <c r="G933" s="40"/>
      <c r="H933" s="40"/>
      <c r="I933" s="40"/>
      <c r="K933" s="36"/>
      <c r="L933" s="36"/>
      <c r="M933" s="40"/>
      <c r="U933" s="35"/>
    </row>
    <row r="934" spans="2:21" s="13" customFormat="1" ht="12.75" customHeight="1" x14ac:dyDescent="0.2">
      <c r="B934" s="37"/>
      <c r="C934" s="37"/>
      <c r="D934" s="37"/>
      <c r="E934" s="38"/>
      <c r="F934" s="39"/>
      <c r="G934" s="40"/>
      <c r="H934" s="40"/>
      <c r="I934" s="40"/>
      <c r="K934" s="36"/>
      <c r="L934" s="36"/>
      <c r="M934" s="40"/>
      <c r="U934" s="35"/>
    </row>
    <row r="935" spans="2:21" s="13" customFormat="1" ht="12.75" customHeight="1" x14ac:dyDescent="0.2">
      <c r="B935" s="37"/>
      <c r="C935" s="37"/>
      <c r="D935" s="37"/>
      <c r="E935" s="38"/>
      <c r="F935" s="39"/>
      <c r="G935" s="40"/>
      <c r="H935" s="40"/>
      <c r="I935" s="40"/>
      <c r="K935" s="36"/>
      <c r="L935" s="36"/>
      <c r="M935" s="40"/>
      <c r="U935" s="35"/>
    </row>
    <row r="936" spans="2:21" s="13" customFormat="1" ht="12.75" customHeight="1" x14ac:dyDescent="0.2">
      <c r="B936" s="37"/>
      <c r="C936" s="37"/>
      <c r="D936" s="37"/>
      <c r="E936" s="38"/>
      <c r="F936" s="39"/>
      <c r="G936" s="40"/>
      <c r="H936" s="40"/>
      <c r="I936" s="40"/>
      <c r="K936" s="36"/>
      <c r="L936" s="36"/>
      <c r="M936" s="40"/>
      <c r="U936" s="35"/>
    </row>
    <row r="937" spans="2:21" s="13" customFormat="1" ht="12.75" customHeight="1" x14ac:dyDescent="0.2">
      <c r="B937" s="37"/>
      <c r="C937" s="37"/>
      <c r="D937" s="37"/>
      <c r="E937" s="38"/>
      <c r="F937" s="39"/>
      <c r="G937" s="40"/>
      <c r="H937" s="40"/>
      <c r="I937" s="40"/>
      <c r="K937" s="36"/>
      <c r="L937" s="36"/>
      <c r="M937" s="40"/>
      <c r="U937" s="35"/>
    </row>
    <row r="938" spans="2:21" s="13" customFormat="1" ht="12.75" customHeight="1" x14ac:dyDescent="0.2">
      <c r="B938" s="37"/>
      <c r="C938" s="37"/>
      <c r="D938" s="37"/>
      <c r="E938" s="38"/>
      <c r="F938" s="39"/>
      <c r="G938" s="40"/>
      <c r="H938" s="40"/>
      <c r="I938" s="40"/>
      <c r="K938" s="36"/>
      <c r="L938" s="36"/>
      <c r="M938" s="40"/>
      <c r="U938" s="35"/>
    </row>
    <row r="939" spans="2:21" s="13" customFormat="1" ht="12.75" customHeight="1" x14ac:dyDescent="0.2">
      <c r="B939" s="37"/>
      <c r="C939" s="37"/>
      <c r="D939" s="37"/>
      <c r="E939" s="38"/>
      <c r="F939" s="39"/>
      <c r="G939" s="40"/>
      <c r="H939" s="40"/>
      <c r="I939" s="40"/>
      <c r="K939" s="36"/>
      <c r="L939" s="36"/>
      <c r="M939" s="40"/>
      <c r="U939" s="35"/>
    </row>
    <row r="940" spans="2:21" s="13" customFormat="1" ht="12.75" customHeight="1" x14ac:dyDescent="0.2">
      <c r="B940" s="37"/>
      <c r="C940" s="37"/>
      <c r="D940" s="37"/>
      <c r="E940" s="38"/>
      <c r="F940" s="39"/>
      <c r="G940" s="40"/>
      <c r="H940" s="40"/>
      <c r="I940" s="40"/>
      <c r="K940" s="36"/>
      <c r="L940" s="36"/>
      <c r="M940" s="40"/>
      <c r="U940" s="35"/>
    </row>
    <row r="941" spans="2:21" s="13" customFormat="1" ht="12.75" customHeight="1" x14ac:dyDescent="0.2">
      <c r="B941" s="37"/>
      <c r="C941" s="37"/>
      <c r="D941" s="37"/>
      <c r="E941" s="38"/>
      <c r="F941" s="39"/>
      <c r="G941" s="40"/>
      <c r="H941" s="40"/>
      <c r="I941" s="40"/>
      <c r="K941" s="36"/>
      <c r="L941" s="36"/>
      <c r="M941" s="40"/>
      <c r="U941" s="35"/>
    </row>
    <row r="942" spans="2:21" s="13" customFormat="1" ht="12.75" customHeight="1" x14ac:dyDescent="0.2">
      <c r="B942" s="37"/>
      <c r="C942" s="37"/>
      <c r="D942" s="37"/>
      <c r="E942" s="38"/>
      <c r="F942" s="39"/>
      <c r="G942" s="40"/>
      <c r="H942" s="40"/>
      <c r="I942" s="40"/>
      <c r="K942" s="36"/>
      <c r="L942" s="36"/>
      <c r="M942" s="40"/>
      <c r="U942" s="35"/>
    </row>
    <row r="943" spans="2:21" s="13" customFormat="1" ht="12.75" customHeight="1" x14ac:dyDescent="0.2">
      <c r="B943" s="37"/>
      <c r="C943" s="37"/>
      <c r="D943" s="37"/>
      <c r="E943" s="38"/>
      <c r="F943" s="39"/>
      <c r="G943" s="40"/>
      <c r="H943" s="40"/>
      <c r="I943" s="40"/>
      <c r="K943" s="36"/>
      <c r="L943" s="36"/>
      <c r="M943" s="40"/>
      <c r="U943" s="35"/>
    </row>
    <row r="944" spans="2:21" s="13" customFormat="1" ht="12.75" customHeight="1" x14ac:dyDescent="0.2">
      <c r="B944" s="37"/>
      <c r="C944" s="37"/>
      <c r="D944" s="37"/>
      <c r="E944" s="38"/>
      <c r="F944" s="39"/>
      <c r="G944" s="40"/>
      <c r="H944" s="40"/>
      <c r="I944" s="40"/>
      <c r="K944" s="36"/>
      <c r="L944" s="36"/>
      <c r="M944" s="40"/>
      <c r="U944" s="35"/>
    </row>
    <row r="945" spans="2:21" s="13" customFormat="1" ht="12.75" customHeight="1" x14ac:dyDescent="0.2">
      <c r="B945" s="37"/>
      <c r="C945" s="37"/>
      <c r="D945" s="37"/>
      <c r="E945" s="38"/>
      <c r="F945" s="39"/>
      <c r="G945" s="40"/>
      <c r="H945" s="40"/>
      <c r="I945" s="40"/>
      <c r="K945" s="36"/>
      <c r="L945" s="36"/>
      <c r="M945" s="40"/>
      <c r="U945" s="35"/>
    </row>
    <row r="946" spans="2:21" s="13" customFormat="1" ht="12.75" customHeight="1" x14ac:dyDescent="0.2">
      <c r="B946" s="37"/>
      <c r="C946" s="37"/>
      <c r="D946" s="37"/>
      <c r="E946" s="38"/>
      <c r="F946" s="39"/>
      <c r="G946" s="40"/>
      <c r="H946" s="40"/>
      <c r="I946" s="40"/>
      <c r="K946" s="36"/>
      <c r="L946" s="36"/>
      <c r="M946" s="40"/>
      <c r="U946" s="35"/>
    </row>
    <row r="947" spans="2:21" s="13" customFormat="1" ht="12.75" customHeight="1" x14ac:dyDescent="0.2">
      <c r="B947" s="37"/>
      <c r="C947" s="37"/>
      <c r="D947" s="37"/>
      <c r="E947" s="38"/>
      <c r="F947" s="39"/>
      <c r="G947" s="40"/>
      <c r="H947" s="40"/>
      <c r="I947" s="40"/>
      <c r="K947" s="36"/>
      <c r="L947" s="36"/>
      <c r="M947" s="40"/>
      <c r="U947" s="35"/>
    </row>
    <row r="948" spans="2:21" s="13" customFormat="1" ht="12.75" customHeight="1" x14ac:dyDescent="0.2">
      <c r="B948" s="37"/>
      <c r="C948" s="37"/>
      <c r="D948" s="37"/>
      <c r="E948" s="38"/>
      <c r="F948" s="39"/>
      <c r="G948" s="40"/>
      <c r="H948" s="40"/>
      <c r="I948" s="40"/>
      <c r="K948" s="36"/>
      <c r="L948" s="36"/>
      <c r="M948" s="40"/>
      <c r="U948" s="35"/>
    </row>
    <row r="949" spans="2:21" s="13" customFormat="1" ht="12.75" customHeight="1" x14ac:dyDescent="0.2">
      <c r="B949" s="37"/>
      <c r="C949" s="37"/>
      <c r="D949" s="37"/>
      <c r="E949" s="38"/>
      <c r="F949" s="39"/>
      <c r="G949" s="40"/>
      <c r="H949" s="40"/>
      <c r="I949" s="40"/>
      <c r="K949" s="36"/>
      <c r="L949" s="36"/>
      <c r="M949" s="40"/>
      <c r="U949" s="35"/>
    </row>
    <row r="950" spans="2:21" s="13" customFormat="1" ht="12.75" customHeight="1" x14ac:dyDescent="0.2">
      <c r="B950" s="37"/>
      <c r="C950" s="37"/>
      <c r="D950" s="37"/>
      <c r="E950" s="38"/>
      <c r="F950" s="39"/>
      <c r="G950" s="40"/>
      <c r="H950" s="40"/>
      <c r="I950" s="40"/>
      <c r="K950" s="36"/>
      <c r="L950" s="36"/>
      <c r="M950" s="40"/>
      <c r="U950" s="35"/>
    </row>
    <row r="951" spans="2:21" s="13" customFormat="1" ht="12.75" customHeight="1" x14ac:dyDescent="0.2">
      <c r="B951" s="37"/>
      <c r="C951" s="37"/>
      <c r="D951" s="37"/>
      <c r="E951" s="38"/>
      <c r="F951" s="39"/>
      <c r="G951" s="40"/>
      <c r="H951" s="40"/>
      <c r="I951" s="40"/>
      <c r="K951" s="36"/>
      <c r="L951" s="36"/>
      <c r="M951" s="40"/>
      <c r="U951" s="35"/>
    </row>
    <row r="952" spans="2:21" s="13" customFormat="1" ht="12.75" customHeight="1" x14ac:dyDescent="0.2">
      <c r="B952" s="37"/>
      <c r="C952" s="37"/>
      <c r="D952" s="37"/>
      <c r="E952" s="38"/>
      <c r="F952" s="39"/>
      <c r="G952" s="40"/>
      <c r="H952" s="40"/>
      <c r="I952" s="40"/>
      <c r="K952" s="36"/>
      <c r="L952" s="36"/>
      <c r="M952" s="40"/>
      <c r="U952" s="35"/>
    </row>
    <row r="953" spans="2:21" s="13" customFormat="1" ht="12.75" customHeight="1" x14ac:dyDescent="0.2">
      <c r="B953" s="37"/>
      <c r="C953" s="37"/>
      <c r="D953" s="37"/>
      <c r="E953" s="38"/>
      <c r="F953" s="39"/>
      <c r="G953" s="40"/>
      <c r="H953" s="40"/>
      <c r="I953" s="40"/>
      <c r="K953" s="36"/>
      <c r="L953" s="36"/>
      <c r="M953" s="40"/>
      <c r="U953" s="35"/>
    </row>
    <row r="954" spans="2:21" s="13" customFormat="1" ht="12.75" customHeight="1" x14ac:dyDescent="0.2">
      <c r="B954" s="37"/>
      <c r="C954" s="37"/>
      <c r="D954" s="37"/>
      <c r="E954" s="38"/>
      <c r="F954" s="39"/>
      <c r="G954" s="40"/>
      <c r="H954" s="40"/>
      <c r="I954" s="40"/>
      <c r="K954" s="36"/>
      <c r="L954" s="36"/>
      <c r="M954" s="40"/>
      <c r="U954" s="35"/>
    </row>
    <row r="955" spans="2:21" s="13" customFormat="1" ht="12.75" customHeight="1" x14ac:dyDescent="0.2">
      <c r="B955" s="37"/>
      <c r="C955" s="37"/>
      <c r="D955" s="37"/>
      <c r="E955" s="38"/>
      <c r="F955" s="39"/>
      <c r="G955" s="40"/>
      <c r="H955" s="40"/>
      <c r="I955" s="40"/>
      <c r="K955" s="36"/>
      <c r="L955" s="36"/>
      <c r="M955" s="40"/>
      <c r="U955" s="35"/>
    </row>
    <row r="956" spans="2:21" s="13" customFormat="1" ht="12.75" customHeight="1" x14ac:dyDescent="0.2">
      <c r="B956" s="37"/>
      <c r="C956" s="37"/>
      <c r="D956" s="37"/>
      <c r="E956" s="38"/>
      <c r="F956" s="39"/>
      <c r="G956" s="40"/>
      <c r="H956" s="40"/>
      <c r="I956" s="40"/>
      <c r="K956" s="36"/>
      <c r="L956" s="36"/>
      <c r="M956" s="40"/>
      <c r="U956" s="35"/>
    </row>
    <row r="957" spans="2:21" s="13" customFormat="1" ht="12.75" customHeight="1" x14ac:dyDescent="0.2">
      <c r="B957" s="37"/>
      <c r="C957" s="37"/>
      <c r="D957" s="37"/>
      <c r="E957" s="38"/>
      <c r="F957" s="39"/>
      <c r="G957" s="40"/>
      <c r="H957" s="40"/>
      <c r="I957" s="40"/>
      <c r="K957" s="36"/>
      <c r="L957" s="36"/>
      <c r="M957" s="40"/>
      <c r="U957" s="35"/>
    </row>
    <row r="958" spans="2:21" s="13" customFormat="1" ht="12.75" customHeight="1" x14ac:dyDescent="0.2">
      <c r="B958" s="37"/>
      <c r="C958" s="37"/>
      <c r="D958" s="37"/>
      <c r="E958" s="38"/>
      <c r="F958" s="39"/>
      <c r="G958" s="40"/>
      <c r="H958" s="40"/>
      <c r="I958" s="40"/>
      <c r="K958" s="36"/>
      <c r="L958" s="36"/>
      <c r="M958" s="40"/>
      <c r="U958" s="35"/>
    </row>
    <row r="959" spans="2:21" s="13" customFormat="1" ht="12.75" customHeight="1" x14ac:dyDescent="0.2">
      <c r="B959" s="37"/>
      <c r="C959" s="37"/>
      <c r="D959" s="37"/>
      <c r="E959" s="38"/>
      <c r="F959" s="39"/>
      <c r="G959" s="40"/>
      <c r="H959" s="40"/>
      <c r="I959" s="40"/>
      <c r="K959" s="36"/>
      <c r="L959" s="36"/>
      <c r="M959" s="40"/>
      <c r="U959" s="35"/>
    </row>
    <row r="960" spans="2:21" s="13" customFormat="1" ht="12.75" customHeight="1" x14ac:dyDescent="0.2">
      <c r="B960" s="37"/>
      <c r="C960" s="37"/>
      <c r="D960" s="37"/>
      <c r="E960" s="38"/>
      <c r="F960" s="39"/>
      <c r="G960" s="40"/>
      <c r="H960" s="40"/>
      <c r="I960" s="40"/>
      <c r="K960" s="36"/>
      <c r="L960" s="36"/>
      <c r="M960" s="40"/>
      <c r="U960" s="35"/>
    </row>
    <row r="961" spans="2:21" s="13" customFormat="1" ht="12.75" customHeight="1" x14ac:dyDescent="0.2">
      <c r="B961" s="37"/>
      <c r="C961" s="37"/>
      <c r="D961" s="37"/>
      <c r="E961" s="38"/>
      <c r="F961" s="39"/>
      <c r="G961" s="40"/>
      <c r="H961" s="40"/>
      <c r="I961" s="40"/>
      <c r="K961" s="36"/>
      <c r="L961" s="36"/>
      <c r="M961" s="40"/>
      <c r="U961" s="35"/>
    </row>
    <row r="962" spans="2:21" s="13" customFormat="1" ht="12.75" customHeight="1" x14ac:dyDescent="0.2">
      <c r="B962" s="37"/>
      <c r="C962" s="37"/>
      <c r="D962" s="37"/>
      <c r="E962" s="38"/>
      <c r="F962" s="39"/>
      <c r="G962" s="40"/>
      <c r="H962" s="40"/>
      <c r="I962" s="40"/>
      <c r="K962" s="36"/>
      <c r="L962" s="36"/>
      <c r="M962" s="40"/>
      <c r="U962" s="35"/>
    </row>
    <row r="963" spans="2:21" s="13" customFormat="1" ht="12.75" customHeight="1" x14ac:dyDescent="0.2">
      <c r="B963" s="37"/>
      <c r="C963" s="37"/>
      <c r="D963" s="37"/>
      <c r="E963" s="38"/>
      <c r="F963" s="39"/>
      <c r="G963" s="40"/>
      <c r="H963" s="40"/>
      <c r="I963" s="40"/>
      <c r="K963" s="36"/>
      <c r="L963" s="36"/>
      <c r="M963" s="40"/>
      <c r="U963" s="35"/>
    </row>
    <row r="964" spans="2:21" s="13" customFormat="1" ht="12.75" customHeight="1" x14ac:dyDescent="0.2">
      <c r="B964" s="37"/>
      <c r="C964" s="37"/>
      <c r="D964" s="37"/>
      <c r="E964" s="38"/>
      <c r="F964" s="39"/>
      <c r="G964" s="40"/>
      <c r="H964" s="40"/>
      <c r="I964" s="40"/>
      <c r="K964" s="36"/>
      <c r="L964" s="36"/>
      <c r="M964" s="40"/>
      <c r="U964" s="35"/>
    </row>
    <row r="965" spans="2:21" s="13" customFormat="1" ht="12.75" customHeight="1" x14ac:dyDescent="0.2">
      <c r="B965" s="37"/>
      <c r="C965" s="37"/>
      <c r="D965" s="37"/>
      <c r="E965" s="38"/>
      <c r="F965" s="39"/>
      <c r="G965" s="40"/>
      <c r="H965" s="40"/>
      <c r="I965" s="40"/>
      <c r="K965" s="36"/>
      <c r="L965" s="36"/>
      <c r="M965" s="40"/>
      <c r="U965" s="35"/>
    </row>
    <row r="966" spans="2:21" s="13" customFormat="1" ht="12.75" customHeight="1" x14ac:dyDescent="0.2">
      <c r="B966" s="37"/>
      <c r="C966" s="37"/>
      <c r="D966" s="37"/>
      <c r="E966" s="38"/>
      <c r="F966" s="39"/>
      <c r="G966" s="40"/>
      <c r="H966" s="40"/>
      <c r="I966" s="40"/>
      <c r="K966" s="36"/>
      <c r="L966" s="36"/>
      <c r="M966" s="40"/>
      <c r="U966" s="35"/>
    </row>
    <row r="967" spans="2:21" s="13" customFormat="1" ht="12.75" customHeight="1" x14ac:dyDescent="0.2">
      <c r="B967" s="37"/>
      <c r="C967" s="37"/>
      <c r="D967" s="37"/>
      <c r="E967" s="38"/>
      <c r="F967" s="39"/>
      <c r="G967" s="40"/>
      <c r="H967" s="40"/>
      <c r="I967" s="40"/>
      <c r="K967" s="36"/>
      <c r="L967" s="36"/>
      <c r="M967" s="40"/>
      <c r="U967" s="35"/>
    </row>
    <row r="968" spans="2:21" s="13" customFormat="1" ht="12.75" customHeight="1" x14ac:dyDescent="0.2">
      <c r="B968" s="37"/>
      <c r="C968" s="37"/>
      <c r="D968" s="37"/>
      <c r="E968" s="38"/>
      <c r="F968" s="39"/>
      <c r="G968" s="40"/>
      <c r="H968" s="40"/>
      <c r="I968" s="40"/>
      <c r="K968" s="36"/>
      <c r="L968" s="36"/>
      <c r="M968" s="40"/>
      <c r="U968" s="35"/>
    </row>
    <row r="969" spans="2:21" s="13" customFormat="1" ht="12.75" customHeight="1" x14ac:dyDescent="0.2">
      <c r="B969" s="37"/>
      <c r="C969" s="37"/>
      <c r="D969" s="37"/>
      <c r="E969" s="38"/>
      <c r="F969" s="39"/>
      <c r="G969" s="40"/>
      <c r="H969" s="40"/>
      <c r="I969" s="40"/>
      <c r="K969" s="36"/>
      <c r="L969" s="36"/>
      <c r="M969" s="40"/>
      <c r="U969" s="35"/>
    </row>
    <row r="970" spans="2:21" s="13" customFormat="1" ht="12.75" customHeight="1" x14ac:dyDescent="0.2">
      <c r="B970" s="37"/>
      <c r="C970" s="37"/>
      <c r="D970" s="37"/>
      <c r="E970" s="38"/>
      <c r="F970" s="39"/>
      <c r="G970" s="40"/>
      <c r="H970" s="40"/>
      <c r="I970" s="40"/>
      <c r="K970" s="36"/>
      <c r="L970" s="36"/>
      <c r="M970" s="40"/>
      <c r="U970" s="35"/>
    </row>
    <row r="971" spans="2:21" s="13" customFormat="1" ht="12.75" customHeight="1" x14ac:dyDescent="0.2">
      <c r="B971" s="37"/>
      <c r="C971" s="37"/>
      <c r="D971" s="37"/>
      <c r="E971" s="38"/>
      <c r="F971" s="39"/>
      <c r="G971" s="40"/>
      <c r="H971" s="40"/>
      <c r="I971" s="40"/>
      <c r="K971" s="36"/>
      <c r="L971" s="36"/>
      <c r="M971" s="40"/>
      <c r="U971" s="35"/>
    </row>
    <row r="972" spans="2:21" s="13" customFormat="1" ht="12.75" customHeight="1" x14ac:dyDescent="0.2">
      <c r="B972" s="37"/>
      <c r="C972" s="37"/>
      <c r="D972" s="37"/>
      <c r="E972" s="38"/>
      <c r="F972" s="39"/>
      <c r="G972" s="40"/>
      <c r="H972" s="40"/>
      <c r="I972" s="40"/>
      <c r="K972" s="36"/>
      <c r="L972" s="36"/>
      <c r="M972" s="40"/>
      <c r="U972" s="35"/>
    </row>
    <row r="973" spans="2:21" s="13" customFormat="1" ht="12.75" customHeight="1" x14ac:dyDescent="0.2">
      <c r="B973" s="37"/>
      <c r="C973" s="37"/>
      <c r="D973" s="37"/>
      <c r="E973" s="38"/>
      <c r="F973" s="39"/>
      <c r="G973" s="40"/>
      <c r="H973" s="40"/>
      <c r="I973" s="40"/>
      <c r="K973" s="36"/>
      <c r="L973" s="36"/>
      <c r="M973" s="40"/>
      <c r="U973" s="35"/>
    </row>
    <row r="974" spans="2:21" s="13" customFormat="1" ht="12.75" customHeight="1" x14ac:dyDescent="0.2">
      <c r="B974" s="37"/>
      <c r="C974" s="37"/>
      <c r="D974" s="37"/>
      <c r="E974" s="38"/>
      <c r="F974" s="39"/>
      <c r="G974" s="40"/>
      <c r="H974" s="40"/>
      <c r="I974" s="40"/>
      <c r="K974" s="36"/>
      <c r="L974" s="36"/>
      <c r="M974" s="40"/>
      <c r="U974" s="35"/>
    </row>
    <row r="975" spans="2:21" s="13" customFormat="1" ht="12.75" customHeight="1" x14ac:dyDescent="0.2">
      <c r="B975" s="37"/>
      <c r="C975" s="37"/>
      <c r="D975" s="37"/>
      <c r="E975" s="38"/>
      <c r="F975" s="39"/>
      <c r="G975" s="40"/>
      <c r="H975" s="40"/>
      <c r="I975" s="40"/>
      <c r="K975" s="36"/>
      <c r="L975" s="36"/>
      <c r="M975" s="40"/>
      <c r="U975" s="35"/>
    </row>
    <row r="976" spans="2:21" s="13" customFormat="1" ht="12.75" customHeight="1" x14ac:dyDescent="0.2">
      <c r="B976" s="37"/>
      <c r="C976" s="37"/>
      <c r="D976" s="37"/>
      <c r="E976" s="38"/>
      <c r="F976" s="39"/>
      <c r="G976" s="40"/>
      <c r="H976" s="40"/>
      <c r="I976" s="40"/>
      <c r="K976" s="36"/>
      <c r="L976" s="36"/>
      <c r="M976" s="40"/>
      <c r="U976" s="35"/>
    </row>
    <row r="977" spans="2:21" s="13" customFormat="1" ht="12.75" customHeight="1" x14ac:dyDescent="0.2">
      <c r="B977" s="37"/>
      <c r="C977" s="37"/>
      <c r="D977" s="37"/>
      <c r="E977" s="38"/>
      <c r="F977" s="39"/>
      <c r="G977" s="40"/>
      <c r="H977" s="40"/>
      <c r="I977" s="40"/>
      <c r="K977" s="36"/>
      <c r="L977" s="36"/>
      <c r="M977" s="40"/>
      <c r="U977" s="35"/>
    </row>
    <row r="978" spans="2:21" s="13" customFormat="1" ht="12.75" customHeight="1" x14ac:dyDescent="0.2">
      <c r="B978" s="37"/>
      <c r="C978" s="37"/>
      <c r="D978" s="37"/>
      <c r="E978" s="38"/>
      <c r="F978" s="39"/>
      <c r="G978" s="40"/>
      <c r="H978" s="40"/>
      <c r="I978" s="40"/>
      <c r="K978" s="36"/>
      <c r="L978" s="36"/>
      <c r="M978" s="40"/>
      <c r="U978" s="35"/>
    </row>
    <row r="979" spans="2:21" s="13" customFormat="1" ht="12.75" customHeight="1" x14ac:dyDescent="0.2">
      <c r="B979" s="37"/>
      <c r="C979" s="37"/>
      <c r="D979" s="37"/>
      <c r="E979" s="38"/>
      <c r="F979" s="39"/>
      <c r="G979" s="40"/>
      <c r="H979" s="40"/>
      <c r="I979" s="40"/>
      <c r="K979" s="36"/>
      <c r="L979" s="36"/>
      <c r="M979" s="40"/>
      <c r="U979" s="35"/>
    </row>
    <row r="980" spans="2:21" s="13" customFormat="1" ht="12.75" customHeight="1" x14ac:dyDescent="0.2">
      <c r="B980" s="37"/>
      <c r="C980" s="37"/>
      <c r="D980" s="37"/>
      <c r="E980" s="38"/>
      <c r="F980" s="39"/>
      <c r="G980" s="40"/>
      <c r="H980" s="40"/>
      <c r="I980" s="40"/>
      <c r="K980" s="36"/>
      <c r="L980" s="36"/>
      <c r="M980" s="40"/>
      <c r="U980" s="35"/>
    </row>
    <row r="981" spans="2:21" s="13" customFormat="1" ht="12.75" customHeight="1" x14ac:dyDescent="0.2">
      <c r="B981" s="37"/>
      <c r="C981" s="37"/>
      <c r="D981" s="37"/>
      <c r="E981" s="38"/>
      <c r="F981" s="39"/>
      <c r="G981" s="40"/>
      <c r="H981" s="40"/>
      <c r="I981" s="40"/>
      <c r="K981" s="36"/>
      <c r="L981" s="36"/>
      <c r="M981" s="40"/>
      <c r="U981" s="35"/>
    </row>
    <row r="982" spans="2:21" s="13" customFormat="1" ht="12.75" customHeight="1" x14ac:dyDescent="0.2">
      <c r="B982" s="37"/>
      <c r="C982" s="37"/>
      <c r="D982" s="37"/>
      <c r="E982" s="38"/>
      <c r="F982" s="39"/>
      <c r="G982" s="40"/>
      <c r="H982" s="40"/>
      <c r="I982" s="40"/>
      <c r="K982" s="36"/>
      <c r="L982" s="36"/>
      <c r="M982" s="40"/>
      <c r="U982" s="35"/>
    </row>
    <row r="983" spans="2:21" s="13" customFormat="1" ht="12.75" customHeight="1" x14ac:dyDescent="0.2">
      <c r="B983" s="37"/>
      <c r="C983" s="37"/>
      <c r="D983" s="37"/>
      <c r="E983" s="38"/>
      <c r="F983" s="39"/>
      <c r="G983" s="40"/>
      <c r="H983" s="40"/>
      <c r="I983" s="40"/>
      <c r="K983" s="36"/>
      <c r="L983" s="36"/>
      <c r="M983" s="40"/>
      <c r="U983" s="35"/>
    </row>
    <row r="984" spans="2:21" s="13" customFormat="1" ht="12.75" customHeight="1" x14ac:dyDescent="0.2">
      <c r="B984" s="37"/>
      <c r="C984" s="37"/>
      <c r="D984" s="37"/>
      <c r="E984" s="38"/>
      <c r="F984" s="39"/>
      <c r="G984" s="40"/>
      <c r="H984" s="40"/>
      <c r="I984" s="40"/>
      <c r="K984" s="36"/>
      <c r="L984" s="36"/>
      <c r="M984" s="40"/>
      <c r="U984" s="35"/>
    </row>
    <row r="985" spans="2:21" s="13" customFormat="1" ht="12.75" customHeight="1" x14ac:dyDescent="0.2">
      <c r="B985" s="37"/>
      <c r="C985" s="37"/>
      <c r="D985" s="37"/>
      <c r="E985" s="38"/>
      <c r="F985" s="39"/>
      <c r="G985" s="40"/>
      <c r="H985" s="40"/>
      <c r="I985" s="40"/>
      <c r="K985" s="36"/>
      <c r="L985" s="36"/>
      <c r="M985" s="40"/>
      <c r="U985" s="35"/>
    </row>
    <row r="986" spans="2:21" s="13" customFormat="1" ht="12.75" customHeight="1" x14ac:dyDescent="0.2">
      <c r="B986" s="37"/>
      <c r="C986" s="37"/>
      <c r="D986" s="37"/>
      <c r="E986" s="38"/>
      <c r="F986" s="39"/>
      <c r="G986" s="40"/>
      <c r="H986" s="40"/>
      <c r="I986" s="40"/>
      <c r="K986" s="36"/>
      <c r="L986" s="36"/>
      <c r="M986" s="40"/>
      <c r="U986" s="35"/>
    </row>
    <row r="987" spans="2:21" s="13" customFormat="1" ht="12.75" customHeight="1" x14ac:dyDescent="0.2">
      <c r="B987" s="37"/>
      <c r="C987" s="37"/>
      <c r="D987" s="37"/>
      <c r="E987" s="38"/>
      <c r="F987" s="39"/>
      <c r="G987" s="40"/>
      <c r="H987" s="40"/>
      <c r="I987" s="40"/>
      <c r="K987" s="36"/>
      <c r="L987" s="36"/>
      <c r="M987" s="40"/>
      <c r="U987" s="35"/>
    </row>
    <row r="988" spans="2:21" s="13" customFormat="1" ht="12.75" customHeight="1" x14ac:dyDescent="0.2">
      <c r="B988" s="37"/>
      <c r="C988" s="37"/>
      <c r="D988" s="37"/>
      <c r="E988" s="38"/>
      <c r="F988" s="39"/>
      <c r="G988" s="40"/>
      <c r="H988" s="40"/>
      <c r="I988" s="40"/>
      <c r="K988" s="36"/>
      <c r="L988" s="36"/>
      <c r="M988" s="40"/>
      <c r="U988" s="35"/>
    </row>
    <row r="989" spans="2:21" s="13" customFormat="1" ht="12.75" customHeight="1" x14ac:dyDescent="0.2">
      <c r="B989" s="37"/>
      <c r="C989" s="37"/>
      <c r="D989" s="37"/>
      <c r="E989" s="38"/>
      <c r="F989" s="39"/>
      <c r="G989" s="40"/>
      <c r="H989" s="40"/>
      <c r="I989" s="40"/>
      <c r="K989" s="36"/>
      <c r="L989" s="36"/>
      <c r="M989" s="40"/>
      <c r="U989" s="35"/>
    </row>
    <row r="990" spans="2:21" s="13" customFormat="1" ht="12.75" customHeight="1" x14ac:dyDescent="0.2">
      <c r="B990" s="37"/>
      <c r="C990" s="37"/>
      <c r="D990" s="37"/>
      <c r="E990" s="38"/>
      <c r="F990" s="39"/>
      <c r="G990" s="40"/>
      <c r="H990" s="40"/>
      <c r="I990" s="40"/>
      <c r="K990" s="36"/>
      <c r="L990" s="36"/>
      <c r="M990" s="40"/>
      <c r="U990" s="35"/>
    </row>
    <row r="991" spans="2:21" s="13" customFormat="1" ht="12.75" customHeight="1" x14ac:dyDescent="0.2">
      <c r="B991" s="37"/>
      <c r="C991" s="37"/>
      <c r="D991" s="37"/>
      <c r="E991" s="38"/>
      <c r="F991" s="39"/>
      <c r="G991" s="40"/>
      <c r="H991" s="40"/>
      <c r="I991" s="40"/>
      <c r="K991" s="36"/>
      <c r="L991" s="36"/>
      <c r="M991" s="40"/>
      <c r="U991" s="35"/>
    </row>
    <row r="992" spans="2:21" s="13" customFormat="1" ht="12.75" customHeight="1" x14ac:dyDescent="0.2">
      <c r="B992" s="37"/>
      <c r="C992" s="37"/>
      <c r="D992" s="37"/>
      <c r="E992" s="38"/>
      <c r="F992" s="39"/>
      <c r="G992" s="40"/>
      <c r="H992" s="40"/>
      <c r="I992" s="40"/>
      <c r="K992" s="36"/>
      <c r="L992" s="36"/>
      <c r="M992" s="40"/>
      <c r="U992" s="35"/>
    </row>
    <row r="993" spans="2:21" s="13" customFormat="1" ht="12.75" customHeight="1" x14ac:dyDescent="0.2">
      <c r="B993" s="37"/>
      <c r="C993" s="37"/>
      <c r="D993" s="37"/>
      <c r="E993" s="38"/>
      <c r="F993" s="39"/>
      <c r="G993" s="40"/>
      <c r="H993" s="40"/>
      <c r="I993" s="40"/>
      <c r="K993" s="36"/>
      <c r="L993" s="36"/>
      <c r="M993" s="40"/>
      <c r="U993" s="35"/>
    </row>
    <row r="994" spans="2:21" s="13" customFormat="1" ht="12.75" customHeight="1" x14ac:dyDescent="0.2">
      <c r="B994" s="37"/>
      <c r="C994" s="37"/>
      <c r="D994" s="37"/>
      <c r="E994" s="38"/>
      <c r="F994" s="39"/>
      <c r="G994" s="40"/>
      <c r="H994" s="40"/>
      <c r="I994" s="40"/>
      <c r="K994" s="36"/>
      <c r="L994" s="36"/>
      <c r="M994" s="40"/>
      <c r="U994" s="35"/>
    </row>
    <row r="995" spans="2:21" s="13" customFormat="1" ht="12.75" customHeight="1" x14ac:dyDescent="0.2">
      <c r="B995" s="37"/>
      <c r="C995" s="37"/>
      <c r="D995" s="37"/>
      <c r="E995" s="38"/>
      <c r="F995" s="39"/>
      <c r="G995" s="40"/>
      <c r="H995" s="40"/>
      <c r="I995" s="40"/>
      <c r="K995" s="36"/>
      <c r="L995" s="36"/>
      <c r="M995" s="40"/>
      <c r="U995" s="35"/>
    </row>
    <row r="996" spans="2:21" s="13" customFormat="1" ht="12.75" customHeight="1" x14ac:dyDescent="0.2">
      <c r="B996" s="37"/>
      <c r="C996" s="37"/>
      <c r="D996" s="37"/>
      <c r="E996" s="38"/>
      <c r="F996" s="39"/>
      <c r="G996" s="40"/>
      <c r="H996" s="40"/>
      <c r="I996" s="40"/>
      <c r="K996" s="36"/>
      <c r="L996" s="36"/>
      <c r="M996" s="40"/>
      <c r="U996" s="35"/>
    </row>
    <row r="997" spans="2:21" s="13" customFormat="1" ht="12.75" customHeight="1" x14ac:dyDescent="0.2">
      <c r="B997" s="37"/>
      <c r="C997" s="37"/>
      <c r="D997" s="37"/>
      <c r="E997" s="38"/>
      <c r="F997" s="39"/>
      <c r="G997" s="40"/>
      <c r="H997" s="40"/>
      <c r="I997" s="40"/>
      <c r="K997" s="36"/>
      <c r="L997" s="36"/>
      <c r="M997" s="40"/>
      <c r="U997" s="35"/>
    </row>
    <row r="998" spans="2:21" s="13" customFormat="1" ht="12.75" customHeight="1" x14ac:dyDescent="0.2">
      <c r="B998" s="37"/>
      <c r="C998" s="37"/>
      <c r="D998" s="37"/>
      <c r="E998" s="38"/>
      <c r="F998" s="39"/>
      <c r="G998" s="40"/>
      <c r="H998" s="40"/>
      <c r="I998" s="40"/>
      <c r="K998" s="36"/>
      <c r="L998" s="36"/>
      <c r="M998" s="40"/>
      <c r="U998" s="35"/>
    </row>
    <row r="999" spans="2:21" s="13" customFormat="1" ht="12.75" customHeight="1" x14ac:dyDescent="0.2">
      <c r="B999" s="37"/>
      <c r="C999" s="37"/>
      <c r="D999" s="37"/>
      <c r="E999" s="38"/>
      <c r="F999" s="39"/>
      <c r="G999" s="40"/>
      <c r="H999" s="40"/>
      <c r="I999" s="40"/>
      <c r="K999" s="36"/>
      <c r="L999" s="36"/>
      <c r="M999" s="40"/>
      <c r="U999" s="35"/>
    </row>
    <row r="1000" spans="2:21" s="13" customFormat="1" ht="12.75" customHeight="1" x14ac:dyDescent="0.2">
      <c r="B1000" s="37"/>
      <c r="C1000" s="37"/>
      <c r="D1000" s="37"/>
      <c r="E1000" s="38"/>
      <c r="F1000" s="39"/>
      <c r="G1000" s="40"/>
      <c r="H1000" s="40"/>
      <c r="I1000" s="40"/>
      <c r="K1000" s="36"/>
      <c r="L1000" s="36"/>
      <c r="M1000" s="40"/>
      <c r="U1000" s="35"/>
    </row>
    <row r="1001" spans="2:21" s="13" customFormat="1" ht="12.75" customHeight="1" x14ac:dyDescent="0.2">
      <c r="B1001" s="37"/>
      <c r="C1001" s="37"/>
      <c r="D1001" s="37"/>
      <c r="E1001" s="38"/>
      <c r="F1001" s="39"/>
      <c r="G1001" s="40"/>
      <c r="H1001" s="40"/>
      <c r="I1001" s="40"/>
      <c r="K1001" s="36"/>
      <c r="L1001" s="36"/>
      <c r="M1001" s="40"/>
      <c r="U1001" s="35"/>
    </row>
    <row r="1002" spans="2:21" s="13" customFormat="1" ht="12.75" customHeight="1" x14ac:dyDescent="0.2">
      <c r="B1002" s="37"/>
      <c r="C1002" s="37"/>
      <c r="D1002" s="37"/>
      <c r="E1002" s="38"/>
      <c r="F1002" s="39"/>
      <c r="G1002" s="40"/>
      <c r="H1002" s="40"/>
      <c r="I1002" s="40"/>
      <c r="K1002" s="36"/>
      <c r="L1002" s="36"/>
      <c r="M1002" s="40"/>
      <c r="U1002" s="35"/>
    </row>
    <row r="1003" spans="2:21" s="13" customFormat="1" ht="12.75" customHeight="1" x14ac:dyDescent="0.2">
      <c r="B1003" s="37"/>
      <c r="C1003" s="37"/>
      <c r="D1003" s="37"/>
      <c r="E1003" s="38"/>
      <c r="F1003" s="39"/>
      <c r="G1003" s="40"/>
      <c r="H1003" s="40"/>
      <c r="I1003" s="40"/>
      <c r="K1003" s="36"/>
      <c r="L1003" s="36"/>
      <c r="M1003" s="40"/>
      <c r="U1003" s="35"/>
    </row>
    <row r="1004" spans="2:21" s="13" customFormat="1" ht="12.75" customHeight="1" x14ac:dyDescent="0.2">
      <c r="B1004" s="37"/>
      <c r="C1004" s="37"/>
      <c r="D1004" s="37"/>
      <c r="E1004" s="38"/>
      <c r="F1004" s="39"/>
      <c r="G1004" s="40"/>
      <c r="H1004" s="40"/>
      <c r="I1004" s="40"/>
      <c r="K1004" s="36"/>
      <c r="L1004" s="36"/>
      <c r="M1004" s="40"/>
      <c r="U1004" s="35"/>
    </row>
    <row r="1005" spans="2:21" s="13" customFormat="1" ht="12.75" customHeight="1" x14ac:dyDescent="0.2">
      <c r="B1005" s="37"/>
      <c r="C1005" s="37"/>
      <c r="D1005" s="37"/>
      <c r="E1005" s="38"/>
      <c r="F1005" s="39"/>
      <c r="G1005" s="40"/>
      <c r="H1005" s="40"/>
      <c r="I1005" s="40"/>
      <c r="K1005" s="36"/>
      <c r="L1005" s="36"/>
      <c r="M1005" s="40"/>
      <c r="U1005" s="35"/>
    </row>
    <row r="1006" spans="2:21" s="13" customFormat="1" ht="12.75" customHeight="1" x14ac:dyDescent="0.2">
      <c r="B1006" s="37"/>
      <c r="C1006" s="37"/>
      <c r="D1006" s="37"/>
      <c r="E1006" s="38"/>
      <c r="F1006" s="39"/>
      <c r="G1006" s="40"/>
      <c r="H1006" s="40"/>
      <c r="I1006" s="40"/>
      <c r="K1006" s="36"/>
      <c r="L1006" s="36"/>
      <c r="M1006" s="40"/>
      <c r="U1006" s="35"/>
    </row>
    <row r="1007" spans="2:21" s="13" customFormat="1" ht="12.75" customHeight="1" x14ac:dyDescent="0.2">
      <c r="B1007" s="37"/>
      <c r="C1007" s="37"/>
      <c r="D1007" s="37"/>
      <c r="E1007" s="38"/>
      <c r="F1007" s="39"/>
      <c r="G1007" s="40"/>
      <c r="H1007" s="40"/>
      <c r="I1007" s="40"/>
      <c r="K1007" s="36"/>
      <c r="L1007" s="36"/>
      <c r="M1007" s="40"/>
      <c r="U1007" s="35"/>
    </row>
    <row r="1008" spans="2:21" s="13" customFormat="1" ht="12.75" customHeight="1" x14ac:dyDescent="0.2">
      <c r="B1008" s="37"/>
      <c r="C1008" s="37"/>
      <c r="D1008" s="37"/>
      <c r="E1008" s="38"/>
      <c r="F1008" s="39"/>
      <c r="G1008" s="40"/>
      <c r="H1008" s="40"/>
      <c r="I1008" s="40"/>
      <c r="K1008" s="36"/>
      <c r="L1008" s="36"/>
      <c r="M1008" s="40"/>
      <c r="U1008" s="35"/>
    </row>
    <row r="1009" spans="2:21" s="13" customFormat="1" ht="12.75" customHeight="1" x14ac:dyDescent="0.2">
      <c r="B1009" s="37"/>
      <c r="C1009" s="37"/>
      <c r="D1009" s="37"/>
      <c r="E1009" s="38"/>
      <c r="F1009" s="39"/>
      <c r="G1009" s="40"/>
      <c r="H1009" s="40"/>
      <c r="I1009" s="40"/>
      <c r="K1009" s="36"/>
      <c r="L1009" s="36"/>
      <c r="M1009" s="40"/>
      <c r="U1009" s="35"/>
    </row>
    <row r="1010" spans="2:21" s="13" customFormat="1" ht="12.75" customHeight="1" x14ac:dyDescent="0.2">
      <c r="B1010" s="37"/>
      <c r="C1010" s="37"/>
      <c r="D1010" s="37"/>
      <c r="E1010" s="38"/>
      <c r="F1010" s="39"/>
      <c r="G1010" s="40"/>
      <c r="H1010" s="40"/>
      <c r="I1010" s="40"/>
      <c r="K1010" s="36"/>
      <c r="L1010" s="36"/>
      <c r="M1010" s="40"/>
      <c r="U1010" s="35"/>
    </row>
    <row r="1011" spans="2:21" s="13" customFormat="1" ht="12.75" customHeight="1" x14ac:dyDescent="0.2">
      <c r="B1011" s="37"/>
      <c r="C1011" s="37"/>
      <c r="D1011" s="37"/>
      <c r="E1011" s="38"/>
      <c r="F1011" s="39"/>
      <c r="G1011" s="40"/>
      <c r="H1011" s="40"/>
      <c r="I1011" s="40"/>
      <c r="K1011" s="36"/>
      <c r="L1011" s="36"/>
      <c r="M1011" s="40"/>
      <c r="U1011" s="35"/>
    </row>
    <row r="1012" spans="2:21" s="13" customFormat="1" ht="12.75" customHeight="1" x14ac:dyDescent="0.2">
      <c r="B1012" s="37"/>
      <c r="C1012" s="37"/>
      <c r="D1012" s="37"/>
      <c r="E1012" s="38"/>
      <c r="F1012" s="39"/>
      <c r="G1012" s="40"/>
      <c r="H1012" s="40"/>
      <c r="I1012" s="40"/>
      <c r="K1012" s="36"/>
      <c r="L1012" s="36"/>
      <c r="M1012" s="40"/>
      <c r="U1012" s="35"/>
    </row>
    <row r="1013" spans="2:21" s="13" customFormat="1" ht="12.75" customHeight="1" x14ac:dyDescent="0.2">
      <c r="B1013" s="37"/>
      <c r="C1013" s="37"/>
      <c r="D1013" s="37"/>
      <c r="E1013" s="38"/>
      <c r="F1013" s="39"/>
      <c r="G1013" s="40"/>
      <c r="H1013" s="40"/>
      <c r="I1013" s="40"/>
      <c r="K1013" s="36"/>
      <c r="L1013" s="36"/>
      <c r="M1013" s="40"/>
      <c r="U1013" s="35"/>
    </row>
    <row r="1014" spans="2:21" s="13" customFormat="1" ht="12.75" customHeight="1" x14ac:dyDescent="0.2">
      <c r="B1014" s="37"/>
      <c r="C1014" s="37"/>
      <c r="D1014" s="37"/>
      <c r="E1014" s="38"/>
      <c r="F1014" s="39"/>
      <c r="G1014" s="40"/>
      <c r="H1014" s="40"/>
      <c r="I1014" s="40"/>
      <c r="K1014" s="36"/>
      <c r="L1014" s="36"/>
      <c r="M1014" s="40"/>
      <c r="U1014" s="35"/>
    </row>
    <row r="1015" spans="2:21" s="13" customFormat="1" ht="12.75" customHeight="1" x14ac:dyDescent="0.2">
      <c r="B1015" s="37"/>
      <c r="C1015" s="37"/>
      <c r="D1015" s="37"/>
      <c r="E1015" s="38"/>
      <c r="F1015" s="39"/>
      <c r="G1015" s="40"/>
      <c r="H1015" s="40"/>
      <c r="I1015" s="40"/>
      <c r="K1015" s="36"/>
      <c r="L1015" s="36"/>
      <c r="M1015" s="40"/>
      <c r="U1015" s="35"/>
    </row>
    <row r="1016" spans="2:21" s="13" customFormat="1" ht="12.75" customHeight="1" x14ac:dyDescent="0.2">
      <c r="B1016" s="37"/>
      <c r="C1016" s="37"/>
      <c r="D1016" s="37"/>
      <c r="E1016" s="38"/>
      <c r="F1016" s="39"/>
      <c r="G1016" s="40"/>
      <c r="H1016" s="40"/>
      <c r="I1016" s="40"/>
      <c r="K1016" s="36"/>
      <c r="L1016" s="36"/>
      <c r="M1016" s="40"/>
      <c r="U1016" s="35"/>
    </row>
    <row r="1017" spans="2:21" s="13" customFormat="1" ht="12.75" customHeight="1" x14ac:dyDescent="0.2">
      <c r="B1017" s="37"/>
      <c r="C1017" s="37"/>
      <c r="D1017" s="37"/>
      <c r="E1017" s="38"/>
      <c r="F1017" s="39"/>
      <c r="G1017" s="40"/>
      <c r="H1017" s="40"/>
      <c r="I1017" s="40"/>
      <c r="K1017" s="36"/>
      <c r="L1017" s="36"/>
      <c r="M1017" s="40"/>
      <c r="U1017" s="35"/>
    </row>
    <row r="1018" spans="2:21" s="13" customFormat="1" ht="12.75" customHeight="1" x14ac:dyDescent="0.2">
      <c r="B1018" s="37"/>
      <c r="C1018" s="37"/>
      <c r="D1018" s="37"/>
      <c r="E1018" s="38"/>
      <c r="F1018" s="39"/>
      <c r="G1018" s="40"/>
      <c r="H1018" s="40"/>
      <c r="I1018" s="40"/>
      <c r="K1018" s="36"/>
      <c r="L1018" s="36"/>
      <c r="M1018" s="40"/>
      <c r="U1018" s="35"/>
    </row>
    <row r="1019" spans="2:21" s="13" customFormat="1" ht="12.75" customHeight="1" x14ac:dyDescent="0.2">
      <c r="B1019" s="37"/>
      <c r="C1019" s="37"/>
      <c r="D1019" s="37"/>
      <c r="E1019" s="38"/>
      <c r="F1019" s="39"/>
      <c r="G1019" s="40"/>
      <c r="H1019" s="40"/>
      <c r="I1019" s="40"/>
      <c r="K1019" s="36"/>
      <c r="L1019" s="36"/>
      <c r="M1019" s="40"/>
      <c r="U1019" s="35"/>
    </row>
    <row r="1020" spans="2:21" s="13" customFormat="1" ht="12.75" customHeight="1" x14ac:dyDescent="0.2">
      <c r="B1020" s="37"/>
      <c r="C1020" s="37"/>
      <c r="D1020" s="37"/>
      <c r="E1020" s="38"/>
      <c r="F1020" s="39"/>
      <c r="G1020" s="40"/>
      <c r="H1020" s="40"/>
      <c r="I1020" s="40"/>
      <c r="K1020" s="36"/>
      <c r="L1020" s="36"/>
      <c r="M1020" s="40"/>
      <c r="U1020" s="35"/>
    </row>
    <row r="1021" spans="2:21" s="13" customFormat="1" ht="12.75" customHeight="1" x14ac:dyDescent="0.2">
      <c r="B1021" s="37"/>
      <c r="C1021" s="37"/>
      <c r="D1021" s="37"/>
      <c r="E1021" s="38"/>
      <c r="F1021" s="39"/>
      <c r="G1021" s="40"/>
      <c r="H1021" s="40"/>
      <c r="I1021" s="40"/>
      <c r="K1021" s="36"/>
      <c r="L1021" s="36"/>
      <c r="M1021" s="40"/>
      <c r="U1021" s="35"/>
    </row>
    <row r="1022" spans="2:21" s="13" customFormat="1" ht="12.75" customHeight="1" x14ac:dyDescent="0.2">
      <c r="B1022" s="37"/>
      <c r="C1022" s="37"/>
      <c r="D1022" s="37"/>
      <c r="E1022" s="38"/>
      <c r="F1022" s="39"/>
      <c r="G1022" s="40"/>
      <c r="H1022" s="40"/>
      <c r="I1022" s="40"/>
      <c r="K1022" s="36"/>
      <c r="L1022" s="36"/>
      <c r="M1022" s="40"/>
      <c r="U1022" s="35"/>
    </row>
    <row r="1023" spans="2:21" s="13" customFormat="1" ht="12.75" customHeight="1" x14ac:dyDescent="0.2">
      <c r="B1023" s="37"/>
      <c r="C1023" s="37"/>
      <c r="D1023" s="37"/>
      <c r="E1023" s="38"/>
      <c r="F1023" s="39"/>
      <c r="G1023" s="40"/>
      <c r="H1023" s="40"/>
      <c r="I1023" s="40"/>
      <c r="K1023" s="36"/>
      <c r="L1023" s="36"/>
      <c r="M1023" s="40"/>
      <c r="U1023" s="35"/>
    </row>
    <row r="1024" spans="2:21" s="13" customFormat="1" ht="12.75" customHeight="1" x14ac:dyDescent="0.2">
      <c r="B1024" s="37"/>
      <c r="C1024" s="37"/>
      <c r="D1024" s="37"/>
      <c r="E1024" s="38"/>
      <c r="F1024" s="39"/>
      <c r="G1024" s="40"/>
      <c r="H1024" s="40"/>
      <c r="I1024" s="40"/>
      <c r="K1024" s="36"/>
      <c r="L1024" s="36"/>
      <c r="M1024" s="40"/>
      <c r="U1024" s="35"/>
    </row>
    <row r="1025" spans="2:21" s="13" customFormat="1" ht="12.75" customHeight="1" x14ac:dyDescent="0.2">
      <c r="B1025" s="37"/>
      <c r="C1025" s="37"/>
      <c r="D1025" s="37"/>
      <c r="E1025" s="38"/>
      <c r="F1025" s="39"/>
      <c r="G1025" s="40"/>
      <c r="H1025" s="40"/>
      <c r="I1025" s="40"/>
      <c r="K1025" s="36"/>
      <c r="L1025" s="36"/>
      <c r="M1025" s="40"/>
      <c r="U1025" s="35"/>
    </row>
    <row r="1026" spans="2:21" s="13" customFormat="1" ht="12.75" customHeight="1" x14ac:dyDescent="0.2">
      <c r="B1026" s="37"/>
      <c r="C1026" s="37"/>
      <c r="D1026" s="37"/>
      <c r="E1026" s="38"/>
      <c r="F1026" s="39"/>
      <c r="G1026" s="40"/>
      <c r="H1026" s="40"/>
      <c r="I1026" s="40"/>
      <c r="K1026" s="36"/>
      <c r="L1026" s="36"/>
      <c r="M1026" s="40"/>
      <c r="U1026" s="35"/>
    </row>
    <row r="1027" spans="2:21" s="13" customFormat="1" ht="12.75" customHeight="1" x14ac:dyDescent="0.2">
      <c r="B1027" s="37"/>
      <c r="C1027" s="37"/>
      <c r="D1027" s="37"/>
      <c r="E1027" s="38"/>
      <c r="F1027" s="39"/>
      <c r="G1027" s="40"/>
      <c r="H1027" s="40"/>
      <c r="I1027" s="40"/>
      <c r="K1027" s="36"/>
      <c r="L1027" s="36"/>
      <c r="M1027" s="40"/>
      <c r="U1027" s="35"/>
    </row>
    <row r="1028" spans="2:21" s="13" customFormat="1" ht="12.75" customHeight="1" x14ac:dyDescent="0.2">
      <c r="B1028" s="37"/>
      <c r="C1028" s="37"/>
      <c r="D1028" s="37"/>
      <c r="E1028" s="38"/>
      <c r="F1028" s="39"/>
      <c r="G1028" s="40"/>
      <c r="H1028" s="40"/>
      <c r="I1028" s="40"/>
      <c r="K1028" s="36"/>
      <c r="L1028" s="36"/>
      <c r="M1028" s="40"/>
      <c r="U1028" s="35"/>
    </row>
    <row r="1029" spans="2:21" s="13" customFormat="1" ht="12.75" customHeight="1" x14ac:dyDescent="0.2">
      <c r="B1029" s="37"/>
      <c r="C1029" s="37"/>
      <c r="D1029" s="37"/>
      <c r="E1029" s="38"/>
      <c r="F1029" s="39"/>
      <c r="G1029" s="40"/>
      <c r="H1029" s="40"/>
      <c r="I1029" s="40"/>
      <c r="K1029" s="36"/>
      <c r="L1029" s="36"/>
      <c r="M1029" s="40"/>
      <c r="U1029" s="35"/>
    </row>
    <row r="1030" spans="2:21" s="13" customFormat="1" ht="12.75" customHeight="1" x14ac:dyDescent="0.2">
      <c r="B1030" s="37"/>
      <c r="C1030" s="37"/>
      <c r="D1030" s="37"/>
      <c r="E1030" s="38"/>
      <c r="F1030" s="39"/>
      <c r="G1030" s="40"/>
      <c r="H1030" s="40"/>
      <c r="I1030" s="40"/>
      <c r="K1030" s="36"/>
      <c r="L1030" s="36"/>
      <c r="M1030" s="40"/>
      <c r="U1030" s="35"/>
    </row>
    <row r="1031" spans="2:21" s="13" customFormat="1" ht="12.75" customHeight="1" x14ac:dyDescent="0.2">
      <c r="B1031" s="37"/>
      <c r="C1031" s="37"/>
      <c r="D1031" s="37"/>
      <c r="E1031" s="38"/>
      <c r="F1031" s="39"/>
      <c r="G1031" s="40"/>
      <c r="H1031" s="40"/>
      <c r="I1031" s="40"/>
      <c r="K1031" s="36"/>
      <c r="L1031" s="36"/>
      <c r="M1031" s="40"/>
      <c r="U1031" s="35"/>
    </row>
    <row r="1032" spans="2:21" s="13" customFormat="1" ht="12.75" customHeight="1" x14ac:dyDescent="0.2">
      <c r="B1032" s="37"/>
      <c r="C1032" s="37"/>
      <c r="D1032" s="37"/>
      <c r="E1032" s="38"/>
      <c r="F1032" s="39"/>
      <c r="G1032" s="40"/>
      <c r="H1032" s="40"/>
      <c r="I1032" s="40"/>
      <c r="K1032" s="36"/>
      <c r="L1032" s="36"/>
      <c r="M1032" s="40"/>
      <c r="U1032" s="35"/>
    </row>
    <row r="1033" spans="2:21" s="13" customFormat="1" ht="12.75" customHeight="1" x14ac:dyDescent="0.2">
      <c r="B1033" s="37"/>
      <c r="C1033" s="37"/>
      <c r="D1033" s="37"/>
      <c r="E1033" s="38"/>
      <c r="F1033" s="39"/>
      <c r="G1033" s="40"/>
      <c r="H1033" s="40"/>
      <c r="I1033" s="40"/>
      <c r="K1033" s="36"/>
      <c r="L1033" s="36"/>
      <c r="M1033" s="40"/>
      <c r="U1033" s="35"/>
    </row>
    <row r="1034" spans="2:21" s="13" customFormat="1" ht="12.75" customHeight="1" x14ac:dyDescent="0.2">
      <c r="B1034" s="37"/>
      <c r="C1034" s="37"/>
      <c r="D1034" s="37"/>
      <c r="E1034" s="38"/>
      <c r="F1034" s="39"/>
      <c r="G1034" s="40"/>
      <c r="H1034" s="40"/>
      <c r="I1034" s="40"/>
      <c r="K1034" s="36"/>
      <c r="L1034" s="36"/>
      <c r="M1034" s="40"/>
      <c r="U1034" s="35"/>
    </row>
    <row r="1035" spans="2:21" s="13" customFormat="1" ht="12.75" customHeight="1" x14ac:dyDescent="0.2">
      <c r="B1035" s="37"/>
      <c r="C1035" s="37"/>
      <c r="D1035" s="37"/>
      <c r="E1035" s="38"/>
      <c r="F1035" s="39"/>
      <c r="G1035" s="40"/>
      <c r="H1035" s="40"/>
      <c r="I1035" s="40"/>
      <c r="K1035" s="36"/>
      <c r="L1035" s="36"/>
      <c r="M1035" s="40"/>
      <c r="U1035" s="35"/>
    </row>
    <row r="1036" spans="2:21" s="13" customFormat="1" ht="12.75" customHeight="1" x14ac:dyDescent="0.2">
      <c r="B1036" s="37"/>
      <c r="C1036" s="37"/>
      <c r="D1036" s="37"/>
      <c r="E1036" s="38"/>
      <c r="F1036" s="39"/>
      <c r="G1036" s="40"/>
      <c r="H1036" s="40"/>
      <c r="I1036" s="40"/>
      <c r="K1036" s="36"/>
      <c r="L1036" s="36"/>
      <c r="M1036" s="40"/>
      <c r="U1036" s="35"/>
    </row>
    <row r="1037" spans="2:21" s="13" customFormat="1" ht="12.75" customHeight="1" x14ac:dyDescent="0.2">
      <c r="B1037" s="37"/>
      <c r="C1037" s="37"/>
      <c r="D1037" s="37"/>
      <c r="E1037" s="38"/>
      <c r="F1037" s="39"/>
      <c r="G1037" s="40"/>
      <c r="H1037" s="40"/>
      <c r="I1037" s="40"/>
      <c r="K1037" s="36"/>
      <c r="L1037" s="36"/>
      <c r="M1037" s="40"/>
      <c r="U1037" s="35"/>
    </row>
    <row r="1038" spans="2:21" s="13" customFormat="1" ht="12.75" customHeight="1" x14ac:dyDescent="0.2">
      <c r="B1038" s="37"/>
      <c r="C1038" s="37"/>
      <c r="D1038" s="37"/>
      <c r="E1038" s="38"/>
      <c r="F1038" s="39"/>
      <c r="G1038" s="40"/>
      <c r="H1038" s="40"/>
      <c r="I1038" s="40"/>
      <c r="K1038" s="36"/>
      <c r="L1038" s="36"/>
      <c r="M1038" s="40"/>
      <c r="U1038" s="35"/>
    </row>
    <row r="1039" spans="2:21" s="13" customFormat="1" ht="12.75" customHeight="1" x14ac:dyDescent="0.2">
      <c r="B1039" s="37"/>
      <c r="C1039" s="37"/>
      <c r="D1039" s="37"/>
      <c r="E1039" s="38"/>
      <c r="F1039" s="39"/>
      <c r="G1039" s="40"/>
      <c r="H1039" s="40"/>
      <c r="I1039" s="40"/>
      <c r="K1039" s="36"/>
      <c r="L1039" s="36"/>
      <c r="M1039" s="40"/>
      <c r="U1039" s="35"/>
    </row>
    <row r="1040" spans="2:21" s="13" customFormat="1" ht="12.75" customHeight="1" x14ac:dyDescent="0.2">
      <c r="B1040" s="37"/>
      <c r="C1040" s="37"/>
      <c r="D1040" s="37"/>
      <c r="E1040" s="38"/>
      <c r="F1040" s="39"/>
      <c r="G1040" s="40"/>
      <c r="H1040" s="40"/>
      <c r="I1040" s="40"/>
      <c r="K1040" s="36"/>
      <c r="L1040" s="36"/>
      <c r="M1040" s="40"/>
      <c r="U1040" s="35"/>
    </row>
    <row r="1041" spans="2:21" s="13" customFormat="1" ht="12.75" customHeight="1" x14ac:dyDescent="0.2">
      <c r="B1041" s="37"/>
      <c r="C1041" s="37"/>
      <c r="D1041" s="37"/>
      <c r="E1041" s="38"/>
      <c r="F1041" s="39"/>
      <c r="G1041" s="40"/>
      <c r="H1041" s="40"/>
      <c r="I1041" s="40"/>
      <c r="K1041" s="36"/>
      <c r="L1041" s="36"/>
      <c r="M1041" s="40"/>
      <c r="U1041" s="35"/>
    </row>
    <row r="1042" spans="2:21" s="13" customFormat="1" ht="12.75" customHeight="1" x14ac:dyDescent="0.2">
      <c r="B1042" s="37"/>
      <c r="C1042" s="37"/>
      <c r="D1042" s="37"/>
      <c r="E1042" s="38"/>
      <c r="F1042" s="39"/>
      <c r="G1042" s="40"/>
      <c r="H1042" s="40"/>
      <c r="I1042" s="40"/>
      <c r="K1042" s="36"/>
      <c r="L1042" s="36"/>
      <c r="M1042" s="40"/>
      <c r="U1042" s="35"/>
    </row>
    <row r="1043" spans="2:21" s="13" customFormat="1" ht="12.75" customHeight="1" x14ac:dyDescent="0.2">
      <c r="B1043" s="37"/>
      <c r="C1043" s="37"/>
      <c r="D1043" s="37"/>
      <c r="E1043" s="38"/>
      <c r="F1043" s="39"/>
      <c r="G1043" s="40"/>
      <c r="H1043" s="40"/>
      <c r="I1043" s="40"/>
      <c r="K1043" s="36"/>
      <c r="L1043" s="36"/>
      <c r="M1043" s="40"/>
      <c r="U1043" s="35"/>
    </row>
    <row r="1044" spans="2:21" s="13" customFormat="1" ht="12.75" customHeight="1" x14ac:dyDescent="0.2">
      <c r="B1044" s="37"/>
      <c r="C1044" s="37"/>
      <c r="D1044" s="37"/>
      <c r="E1044" s="38"/>
      <c r="F1044" s="39"/>
      <c r="G1044" s="40"/>
      <c r="H1044" s="40"/>
      <c r="I1044" s="40"/>
      <c r="K1044" s="36"/>
      <c r="L1044" s="36"/>
      <c r="M1044" s="40"/>
      <c r="U1044" s="35"/>
    </row>
    <row r="1045" spans="2:21" s="13" customFormat="1" ht="12.75" customHeight="1" x14ac:dyDescent="0.2">
      <c r="B1045" s="37"/>
      <c r="C1045" s="37"/>
      <c r="D1045" s="37"/>
      <c r="E1045" s="38"/>
      <c r="F1045" s="39"/>
      <c r="G1045" s="40"/>
      <c r="H1045" s="40"/>
      <c r="I1045" s="40"/>
      <c r="K1045" s="36"/>
      <c r="L1045" s="36"/>
      <c r="M1045" s="40"/>
      <c r="U1045" s="35"/>
    </row>
    <row r="1046" spans="2:21" s="13" customFormat="1" ht="12.75" customHeight="1" x14ac:dyDescent="0.2">
      <c r="B1046" s="37"/>
      <c r="C1046" s="37"/>
      <c r="D1046" s="37"/>
      <c r="E1046" s="38"/>
      <c r="F1046" s="39"/>
      <c r="G1046" s="40"/>
      <c r="H1046" s="40"/>
      <c r="I1046" s="40"/>
      <c r="K1046" s="36"/>
      <c r="L1046" s="36"/>
      <c r="M1046" s="40"/>
      <c r="U1046" s="35"/>
    </row>
    <row r="1047" spans="2:21" s="13" customFormat="1" ht="12.75" customHeight="1" x14ac:dyDescent="0.2">
      <c r="B1047" s="37"/>
      <c r="C1047" s="37"/>
      <c r="D1047" s="37"/>
      <c r="E1047" s="38"/>
      <c r="F1047" s="39"/>
      <c r="G1047" s="40"/>
      <c r="H1047" s="40"/>
      <c r="I1047" s="40"/>
      <c r="K1047" s="36"/>
      <c r="L1047" s="36"/>
      <c r="M1047" s="40"/>
      <c r="U1047" s="35"/>
    </row>
    <row r="1048" spans="2:21" s="13" customFormat="1" ht="12.75" customHeight="1" x14ac:dyDescent="0.2">
      <c r="B1048" s="37"/>
      <c r="C1048" s="37"/>
      <c r="D1048" s="37"/>
      <c r="E1048" s="38"/>
      <c r="F1048" s="39"/>
      <c r="G1048" s="40"/>
      <c r="H1048" s="40"/>
      <c r="I1048" s="40"/>
      <c r="K1048" s="36"/>
      <c r="L1048" s="36"/>
      <c r="M1048" s="40"/>
      <c r="U1048" s="35"/>
    </row>
    <row r="1049" spans="2:21" s="13" customFormat="1" ht="12.75" customHeight="1" x14ac:dyDescent="0.2">
      <c r="B1049" s="37"/>
      <c r="C1049" s="37"/>
      <c r="D1049" s="37"/>
      <c r="E1049" s="38"/>
      <c r="F1049" s="39"/>
      <c r="G1049" s="40"/>
      <c r="H1049" s="40"/>
      <c r="I1049" s="40"/>
      <c r="K1049" s="36"/>
      <c r="L1049" s="36"/>
      <c r="M1049" s="40"/>
      <c r="U1049" s="35"/>
    </row>
    <row r="1050" spans="2:21" s="13" customFormat="1" ht="12.75" customHeight="1" x14ac:dyDescent="0.2">
      <c r="B1050" s="37"/>
      <c r="C1050" s="37"/>
      <c r="D1050" s="37"/>
      <c r="E1050" s="38"/>
      <c r="F1050" s="39"/>
      <c r="G1050" s="40"/>
      <c r="H1050" s="40"/>
      <c r="I1050" s="40"/>
      <c r="K1050" s="36"/>
      <c r="L1050" s="36"/>
      <c r="M1050" s="40"/>
      <c r="U1050" s="35"/>
    </row>
    <row r="1051" spans="2:21" s="13" customFormat="1" ht="12.75" customHeight="1" x14ac:dyDescent="0.2">
      <c r="B1051" s="37"/>
      <c r="C1051" s="37"/>
      <c r="D1051" s="37"/>
      <c r="E1051" s="38"/>
      <c r="F1051" s="39"/>
      <c r="G1051" s="40"/>
      <c r="H1051" s="40"/>
      <c r="I1051" s="40"/>
      <c r="K1051" s="36"/>
      <c r="L1051" s="36"/>
      <c r="M1051" s="40"/>
      <c r="U1051" s="35"/>
    </row>
    <row r="1052" spans="2:21" s="13" customFormat="1" ht="12.75" customHeight="1" x14ac:dyDescent="0.2">
      <c r="B1052" s="37"/>
      <c r="C1052" s="37"/>
      <c r="D1052" s="37"/>
      <c r="E1052" s="38"/>
      <c r="F1052" s="39"/>
      <c r="G1052" s="40"/>
      <c r="H1052" s="40"/>
      <c r="I1052" s="40"/>
      <c r="K1052" s="36"/>
      <c r="L1052" s="36"/>
      <c r="M1052" s="40"/>
      <c r="U1052" s="35"/>
    </row>
    <row r="1053" spans="2:21" s="13" customFormat="1" ht="12.75" customHeight="1" x14ac:dyDescent="0.2">
      <c r="B1053" s="37"/>
      <c r="C1053" s="37"/>
      <c r="D1053" s="37"/>
      <c r="E1053" s="38"/>
      <c r="F1053" s="39"/>
      <c r="G1053" s="40"/>
      <c r="H1053" s="40"/>
      <c r="I1053" s="40"/>
      <c r="K1053" s="36"/>
      <c r="L1053" s="36"/>
      <c r="M1053" s="40"/>
      <c r="U1053" s="35"/>
    </row>
    <row r="1054" spans="2:21" s="13" customFormat="1" ht="12.75" customHeight="1" x14ac:dyDescent="0.2">
      <c r="B1054" s="37"/>
      <c r="C1054" s="37"/>
      <c r="D1054" s="37"/>
      <c r="E1054" s="38"/>
      <c r="F1054" s="39"/>
      <c r="G1054" s="40"/>
      <c r="H1054" s="40"/>
      <c r="I1054" s="40"/>
      <c r="K1054" s="36"/>
      <c r="L1054" s="36"/>
      <c r="M1054" s="40"/>
      <c r="U1054" s="35"/>
    </row>
    <row r="1055" spans="2:21" s="13" customFormat="1" ht="12.75" customHeight="1" x14ac:dyDescent="0.2">
      <c r="B1055" s="37"/>
      <c r="C1055" s="37"/>
      <c r="D1055" s="37"/>
      <c r="E1055" s="38"/>
      <c r="F1055" s="39"/>
      <c r="G1055" s="40"/>
      <c r="H1055" s="40"/>
      <c r="I1055" s="40"/>
      <c r="K1055" s="36"/>
      <c r="L1055" s="36"/>
      <c r="M1055" s="40"/>
      <c r="U1055" s="35"/>
    </row>
    <row r="1056" spans="2:21" s="13" customFormat="1" ht="12.75" customHeight="1" x14ac:dyDescent="0.2">
      <c r="B1056" s="37"/>
      <c r="C1056" s="37"/>
      <c r="D1056" s="37"/>
      <c r="E1056" s="38"/>
      <c r="F1056" s="39"/>
      <c r="G1056" s="40"/>
      <c r="H1056" s="40"/>
      <c r="I1056" s="40"/>
      <c r="K1056" s="36"/>
      <c r="L1056" s="36"/>
      <c r="M1056" s="40"/>
      <c r="U1056" s="35"/>
    </row>
    <row r="1057" spans="2:21" s="13" customFormat="1" ht="12.75" customHeight="1" x14ac:dyDescent="0.2">
      <c r="B1057" s="37"/>
      <c r="C1057" s="37"/>
      <c r="D1057" s="37"/>
      <c r="E1057" s="38"/>
      <c r="F1057" s="39"/>
      <c r="G1057" s="40"/>
      <c r="H1057" s="40"/>
      <c r="I1057" s="40"/>
      <c r="K1057" s="36"/>
      <c r="L1057" s="36"/>
      <c r="M1057" s="40"/>
      <c r="U1057" s="35"/>
    </row>
    <row r="1058" spans="2:21" s="13" customFormat="1" ht="12.75" customHeight="1" x14ac:dyDescent="0.2">
      <c r="B1058" s="37"/>
      <c r="C1058" s="37"/>
      <c r="D1058" s="37"/>
      <c r="E1058" s="38"/>
      <c r="F1058" s="39"/>
      <c r="G1058" s="40"/>
      <c r="H1058" s="40"/>
      <c r="I1058" s="40"/>
      <c r="K1058" s="36"/>
      <c r="L1058" s="36"/>
      <c r="M1058" s="40"/>
      <c r="U1058" s="35"/>
    </row>
    <row r="1059" spans="2:21" s="13" customFormat="1" ht="12.75" customHeight="1" x14ac:dyDescent="0.2">
      <c r="B1059" s="37"/>
      <c r="C1059" s="37"/>
      <c r="D1059" s="37"/>
      <c r="E1059" s="38"/>
      <c r="F1059" s="39"/>
      <c r="G1059" s="40"/>
      <c r="H1059" s="40"/>
      <c r="I1059" s="40"/>
      <c r="K1059" s="36"/>
      <c r="L1059" s="36"/>
      <c r="M1059" s="40"/>
      <c r="U1059" s="35"/>
    </row>
    <row r="1060" spans="2:21" s="13" customFormat="1" ht="12.75" customHeight="1" x14ac:dyDescent="0.2">
      <c r="B1060" s="37"/>
      <c r="C1060" s="37"/>
      <c r="D1060" s="37"/>
      <c r="E1060" s="38"/>
      <c r="F1060" s="39"/>
      <c r="G1060" s="40"/>
      <c r="H1060" s="40"/>
      <c r="I1060" s="40"/>
      <c r="K1060" s="36"/>
      <c r="L1060" s="36"/>
      <c r="M1060" s="40"/>
      <c r="U1060" s="35"/>
    </row>
    <row r="1061" spans="2:21" s="13" customFormat="1" ht="12.75" customHeight="1" x14ac:dyDescent="0.2">
      <c r="B1061" s="37"/>
      <c r="C1061" s="37"/>
      <c r="D1061" s="37"/>
      <c r="E1061" s="38"/>
      <c r="F1061" s="39"/>
      <c r="G1061" s="40"/>
      <c r="H1061" s="40"/>
      <c r="I1061" s="40"/>
      <c r="K1061" s="36"/>
      <c r="L1061" s="36"/>
      <c r="M1061" s="40"/>
      <c r="U1061" s="35"/>
    </row>
    <row r="1062" spans="2:21" s="13" customFormat="1" ht="12.75" customHeight="1" x14ac:dyDescent="0.2">
      <c r="B1062" s="37"/>
      <c r="C1062" s="37"/>
      <c r="D1062" s="37"/>
      <c r="E1062" s="38"/>
      <c r="F1062" s="39"/>
      <c r="G1062" s="40"/>
      <c r="H1062" s="40"/>
      <c r="I1062" s="40"/>
      <c r="K1062" s="36"/>
      <c r="L1062" s="36"/>
      <c r="M1062" s="40"/>
      <c r="U1062" s="35"/>
    </row>
    <row r="1063" spans="2:21" s="13" customFormat="1" ht="12.75" customHeight="1" x14ac:dyDescent="0.2">
      <c r="B1063" s="37"/>
      <c r="C1063" s="37"/>
      <c r="D1063" s="37"/>
      <c r="E1063" s="38"/>
      <c r="F1063" s="39"/>
      <c r="G1063" s="40"/>
      <c r="H1063" s="40"/>
      <c r="I1063" s="40"/>
      <c r="K1063" s="36"/>
      <c r="L1063" s="36"/>
      <c r="M1063" s="40"/>
      <c r="U1063" s="35"/>
    </row>
    <row r="1064" spans="2:21" s="13" customFormat="1" ht="12.75" customHeight="1" x14ac:dyDescent="0.2">
      <c r="B1064" s="37"/>
      <c r="C1064" s="37"/>
      <c r="D1064" s="37"/>
      <c r="E1064" s="38"/>
      <c r="F1064" s="39"/>
      <c r="G1064" s="40"/>
      <c r="H1064" s="40"/>
      <c r="I1064" s="40"/>
      <c r="K1064" s="36"/>
      <c r="L1064" s="36"/>
      <c r="M1064" s="40"/>
      <c r="U1064" s="35"/>
    </row>
    <row r="1065" spans="2:21" s="13" customFormat="1" ht="12.75" customHeight="1" x14ac:dyDescent="0.2">
      <c r="B1065" s="37"/>
      <c r="C1065" s="37"/>
      <c r="D1065" s="37"/>
      <c r="E1065" s="38"/>
      <c r="F1065" s="39"/>
      <c r="G1065" s="40"/>
      <c r="H1065" s="40"/>
      <c r="I1065" s="40"/>
      <c r="K1065" s="36"/>
      <c r="L1065" s="36"/>
      <c r="M1065" s="40"/>
      <c r="U1065" s="35"/>
    </row>
    <row r="1066" spans="2:21" s="13" customFormat="1" ht="12.75" customHeight="1" x14ac:dyDescent="0.2">
      <c r="B1066" s="37"/>
      <c r="C1066" s="37"/>
      <c r="D1066" s="37"/>
      <c r="E1066" s="38"/>
      <c r="F1066" s="39"/>
      <c r="G1066" s="40"/>
      <c r="H1066" s="40"/>
      <c r="I1066" s="40"/>
      <c r="K1066" s="36"/>
      <c r="L1066" s="36"/>
      <c r="M1066" s="40"/>
      <c r="U1066" s="35"/>
    </row>
    <row r="1067" spans="2:21" s="13" customFormat="1" ht="12.75" customHeight="1" x14ac:dyDescent="0.2">
      <c r="B1067" s="37"/>
      <c r="C1067" s="37"/>
      <c r="D1067" s="37"/>
      <c r="E1067" s="38"/>
      <c r="F1067" s="39"/>
      <c r="G1067" s="40"/>
      <c r="H1067" s="40"/>
      <c r="I1067" s="40"/>
      <c r="K1067" s="36"/>
      <c r="L1067" s="36"/>
      <c r="M1067" s="40"/>
      <c r="U1067" s="35"/>
    </row>
    <row r="1068" spans="2:21" s="13" customFormat="1" ht="12.75" customHeight="1" x14ac:dyDescent="0.2">
      <c r="B1068" s="37"/>
      <c r="C1068" s="37"/>
      <c r="D1068" s="37"/>
      <c r="E1068" s="38"/>
      <c r="F1068" s="39"/>
      <c r="G1068" s="40"/>
      <c r="H1068" s="40"/>
      <c r="I1068" s="40"/>
      <c r="K1068" s="36"/>
      <c r="L1068" s="36"/>
      <c r="M1068" s="40"/>
      <c r="U1068" s="35"/>
    </row>
    <row r="1069" spans="2:21" s="13" customFormat="1" ht="12.75" customHeight="1" x14ac:dyDescent="0.2">
      <c r="B1069" s="37"/>
      <c r="C1069" s="37"/>
      <c r="D1069" s="37"/>
      <c r="E1069" s="38"/>
      <c r="F1069" s="39"/>
      <c r="G1069" s="40"/>
      <c r="H1069" s="40"/>
      <c r="I1069" s="40"/>
      <c r="K1069" s="36"/>
      <c r="L1069" s="36"/>
      <c r="M1069" s="40"/>
      <c r="U1069" s="35"/>
    </row>
    <row r="1070" spans="2:21" s="13" customFormat="1" ht="12.75" customHeight="1" x14ac:dyDescent="0.2">
      <c r="B1070" s="37"/>
      <c r="C1070" s="37"/>
      <c r="D1070" s="37"/>
      <c r="E1070" s="38"/>
      <c r="F1070" s="39"/>
      <c r="G1070" s="40"/>
      <c r="H1070" s="40"/>
      <c r="I1070" s="40"/>
      <c r="K1070" s="36"/>
      <c r="L1070" s="36"/>
      <c r="M1070" s="40"/>
      <c r="U1070" s="35"/>
    </row>
    <row r="1071" spans="2:21" s="13" customFormat="1" ht="12.75" customHeight="1" x14ac:dyDescent="0.2">
      <c r="B1071" s="37"/>
      <c r="C1071" s="37"/>
      <c r="D1071" s="37"/>
      <c r="E1071" s="38"/>
      <c r="F1071" s="39"/>
      <c r="G1071" s="40"/>
      <c r="H1071" s="40"/>
      <c r="I1071" s="40"/>
      <c r="K1071" s="36"/>
      <c r="L1071" s="36"/>
      <c r="M1071" s="40"/>
      <c r="U1071" s="35"/>
    </row>
    <row r="1072" spans="2:21" s="13" customFormat="1" ht="12.75" customHeight="1" x14ac:dyDescent="0.2">
      <c r="B1072" s="37"/>
      <c r="C1072" s="37"/>
      <c r="D1072" s="37"/>
      <c r="E1072" s="38"/>
      <c r="F1072" s="39"/>
      <c r="G1072" s="40"/>
      <c r="H1072" s="40"/>
      <c r="I1072" s="40"/>
      <c r="K1072" s="36"/>
      <c r="L1072" s="36"/>
      <c r="M1072" s="40"/>
      <c r="U1072" s="35"/>
    </row>
    <row r="1073" spans="2:21" s="13" customFormat="1" ht="12.75" customHeight="1" x14ac:dyDescent="0.2">
      <c r="B1073" s="37"/>
      <c r="C1073" s="37"/>
      <c r="D1073" s="37"/>
      <c r="E1073" s="38"/>
      <c r="F1073" s="39"/>
      <c r="G1073" s="40"/>
      <c r="H1073" s="40"/>
      <c r="I1073" s="40"/>
      <c r="K1073" s="36"/>
      <c r="L1073" s="36"/>
      <c r="M1073" s="40"/>
      <c r="U1073" s="35"/>
    </row>
    <row r="1074" spans="2:21" s="13" customFormat="1" ht="12.75" customHeight="1" x14ac:dyDescent="0.2">
      <c r="B1074" s="37"/>
      <c r="C1074" s="37"/>
      <c r="D1074" s="37"/>
      <c r="E1074" s="38"/>
      <c r="F1074" s="39"/>
      <c r="G1074" s="40"/>
      <c r="H1074" s="40"/>
      <c r="I1074" s="40"/>
      <c r="K1074" s="36"/>
      <c r="L1074" s="36"/>
      <c r="M1074" s="40"/>
      <c r="U1074" s="35"/>
    </row>
    <row r="1075" spans="2:21" s="13" customFormat="1" ht="12.75" customHeight="1" x14ac:dyDescent="0.2">
      <c r="B1075" s="37"/>
      <c r="C1075" s="37"/>
      <c r="D1075" s="37"/>
      <c r="E1075" s="38"/>
      <c r="F1075" s="39"/>
      <c r="G1075" s="40"/>
      <c r="H1075" s="40"/>
      <c r="I1075" s="40"/>
      <c r="K1075" s="36"/>
      <c r="L1075" s="36"/>
      <c r="M1075" s="40"/>
      <c r="U1075" s="35"/>
    </row>
    <row r="1076" spans="2:21" s="13" customFormat="1" ht="12.75" customHeight="1" x14ac:dyDescent="0.2">
      <c r="B1076" s="37"/>
      <c r="C1076" s="37"/>
      <c r="D1076" s="37"/>
      <c r="E1076" s="38"/>
      <c r="F1076" s="39"/>
      <c r="G1076" s="40"/>
      <c r="H1076" s="40"/>
      <c r="I1076" s="40"/>
      <c r="K1076" s="36"/>
      <c r="L1076" s="36"/>
      <c r="M1076" s="40"/>
      <c r="U1076" s="35"/>
    </row>
    <row r="1077" spans="2:21" s="13" customFormat="1" ht="12.75" customHeight="1" x14ac:dyDescent="0.2">
      <c r="B1077" s="37"/>
      <c r="C1077" s="37"/>
      <c r="D1077" s="37"/>
      <c r="E1077" s="38"/>
      <c r="F1077" s="39"/>
      <c r="G1077" s="40"/>
      <c r="H1077" s="40"/>
      <c r="I1077" s="40"/>
      <c r="K1077" s="36"/>
      <c r="L1077" s="36"/>
      <c r="M1077" s="40"/>
      <c r="U1077" s="35"/>
    </row>
    <row r="1078" spans="2:21" s="13" customFormat="1" ht="12.75" customHeight="1" x14ac:dyDescent="0.2">
      <c r="B1078" s="37"/>
      <c r="C1078" s="37"/>
      <c r="D1078" s="37"/>
      <c r="E1078" s="38"/>
      <c r="F1078" s="39"/>
      <c r="G1078" s="40"/>
      <c r="H1078" s="40"/>
      <c r="I1078" s="40"/>
      <c r="K1078" s="36"/>
      <c r="L1078" s="36"/>
      <c r="M1078" s="40"/>
      <c r="U1078" s="35"/>
    </row>
    <row r="1079" spans="2:21" s="13" customFormat="1" ht="12.75" customHeight="1" x14ac:dyDescent="0.2">
      <c r="B1079" s="37"/>
      <c r="C1079" s="37"/>
      <c r="D1079" s="37"/>
      <c r="E1079" s="38"/>
      <c r="F1079" s="39"/>
      <c r="G1079" s="40"/>
      <c r="H1079" s="40"/>
      <c r="I1079" s="40"/>
      <c r="K1079" s="36"/>
      <c r="L1079" s="36"/>
      <c r="M1079" s="40"/>
      <c r="U1079" s="35"/>
    </row>
    <row r="1080" spans="2:21" s="13" customFormat="1" ht="12.75" customHeight="1" x14ac:dyDescent="0.2">
      <c r="B1080" s="37"/>
      <c r="C1080" s="37"/>
      <c r="D1080" s="37"/>
      <c r="E1080" s="38"/>
      <c r="F1080" s="39"/>
      <c r="G1080" s="40"/>
      <c r="H1080" s="40"/>
      <c r="I1080" s="40"/>
      <c r="K1080" s="36"/>
      <c r="L1080" s="36"/>
      <c r="M1080" s="40"/>
      <c r="U1080" s="35"/>
    </row>
    <row r="1081" spans="2:21" s="13" customFormat="1" ht="12.75" customHeight="1" x14ac:dyDescent="0.2">
      <c r="B1081" s="37"/>
      <c r="C1081" s="37"/>
      <c r="D1081" s="37"/>
      <c r="E1081" s="38"/>
      <c r="F1081" s="39"/>
      <c r="G1081" s="40"/>
      <c r="H1081" s="40"/>
      <c r="I1081" s="40"/>
      <c r="K1081" s="36"/>
      <c r="L1081" s="36"/>
      <c r="M1081" s="40"/>
      <c r="U1081" s="35"/>
    </row>
    <row r="1082" spans="2:21" s="13" customFormat="1" ht="12.75" customHeight="1" x14ac:dyDescent="0.2">
      <c r="B1082" s="37"/>
      <c r="C1082" s="37"/>
      <c r="D1082" s="37"/>
      <c r="E1082" s="38"/>
      <c r="F1082" s="39"/>
      <c r="G1082" s="40"/>
      <c r="H1082" s="40"/>
      <c r="I1082" s="40"/>
      <c r="K1082" s="36"/>
      <c r="L1082" s="36"/>
      <c r="M1082" s="40"/>
      <c r="U1082" s="35"/>
    </row>
    <row r="1083" spans="2:21" s="13" customFormat="1" ht="12.75" customHeight="1" x14ac:dyDescent="0.2">
      <c r="B1083" s="37"/>
      <c r="C1083" s="37"/>
      <c r="D1083" s="37"/>
      <c r="E1083" s="38"/>
      <c r="F1083" s="39"/>
      <c r="G1083" s="40"/>
      <c r="H1083" s="40"/>
      <c r="I1083" s="40"/>
      <c r="K1083" s="36"/>
      <c r="L1083" s="36"/>
      <c r="M1083" s="40"/>
      <c r="U1083" s="35"/>
    </row>
    <row r="1084" spans="2:21" s="13" customFormat="1" ht="12.75" customHeight="1" x14ac:dyDescent="0.2">
      <c r="B1084" s="37"/>
      <c r="C1084" s="37"/>
      <c r="D1084" s="37"/>
      <c r="E1084" s="38"/>
      <c r="F1084" s="39"/>
      <c r="G1084" s="40"/>
      <c r="H1084" s="40"/>
      <c r="I1084" s="40"/>
      <c r="K1084" s="36"/>
      <c r="L1084" s="36"/>
      <c r="M1084" s="40"/>
      <c r="U1084" s="35"/>
    </row>
    <row r="1085" spans="2:21" s="13" customFormat="1" ht="12.75" customHeight="1" x14ac:dyDescent="0.2">
      <c r="B1085" s="37"/>
      <c r="C1085" s="37"/>
      <c r="D1085" s="37"/>
      <c r="E1085" s="38"/>
      <c r="F1085" s="39"/>
      <c r="G1085" s="40"/>
      <c r="H1085" s="40"/>
      <c r="I1085" s="40"/>
      <c r="K1085" s="36"/>
      <c r="L1085" s="36"/>
      <c r="M1085" s="40"/>
      <c r="U1085" s="35"/>
    </row>
    <row r="1086" spans="2:21" s="13" customFormat="1" ht="12.75" customHeight="1" x14ac:dyDescent="0.2">
      <c r="B1086" s="37"/>
      <c r="C1086" s="37"/>
      <c r="D1086" s="37"/>
      <c r="E1086" s="38"/>
      <c r="F1086" s="39"/>
      <c r="G1086" s="40"/>
      <c r="H1086" s="40"/>
      <c r="I1086" s="40"/>
      <c r="K1086" s="36"/>
      <c r="L1086" s="36"/>
      <c r="M1086" s="40"/>
      <c r="U1086" s="35"/>
    </row>
    <row r="1087" spans="2:21" s="13" customFormat="1" ht="12.75" customHeight="1" x14ac:dyDescent="0.2">
      <c r="B1087" s="37"/>
      <c r="C1087" s="37"/>
      <c r="D1087" s="37"/>
      <c r="E1087" s="38"/>
      <c r="F1087" s="39"/>
      <c r="G1087" s="40"/>
      <c r="H1087" s="40"/>
      <c r="I1087" s="40"/>
      <c r="K1087" s="36"/>
      <c r="L1087" s="36"/>
      <c r="M1087" s="40"/>
      <c r="U1087" s="35"/>
    </row>
    <row r="1088" spans="2:21" s="13" customFormat="1" ht="12.75" customHeight="1" x14ac:dyDescent="0.2">
      <c r="B1088" s="37"/>
      <c r="C1088" s="37"/>
      <c r="D1088" s="37"/>
      <c r="E1088" s="38"/>
      <c r="F1088" s="39"/>
      <c r="G1088" s="40"/>
      <c r="H1088" s="40"/>
      <c r="I1088" s="40"/>
      <c r="K1088" s="36"/>
      <c r="L1088" s="36"/>
      <c r="M1088" s="40"/>
      <c r="U1088" s="35"/>
    </row>
    <row r="1089" spans="2:21" s="13" customFormat="1" ht="12.75" customHeight="1" x14ac:dyDescent="0.2">
      <c r="B1089" s="37"/>
      <c r="C1089" s="37"/>
      <c r="D1089" s="37"/>
      <c r="E1089" s="38"/>
      <c r="F1089" s="39"/>
      <c r="G1089" s="40"/>
      <c r="H1089" s="40"/>
      <c r="I1089" s="40"/>
      <c r="K1089" s="36"/>
      <c r="L1089" s="36"/>
      <c r="M1089" s="40"/>
      <c r="U1089" s="35"/>
    </row>
    <row r="1090" spans="2:21" s="13" customFormat="1" ht="12.75" customHeight="1" x14ac:dyDescent="0.2">
      <c r="B1090" s="37"/>
      <c r="C1090" s="37"/>
      <c r="D1090" s="37"/>
      <c r="E1090" s="38"/>
      <c r="F1090" s="39"/>
      <c r="G1090" s="40"/>
      <c r="H1090" s="40"/>
      <c r="I1090" s="40"/>
      <c r="K1090" s="36"/>
      <c r="L1090" s="36"/>
      <c r="M1090" s="40"/>
      <c r="U1090" s="35"/>
    </row>
    <row r="1091" spans="2:21" s="13" customFormat="1" ht="12.75" customHeight="1" x14ac:dyDescent="0.2">
      <c r="B1091" s="37"/>
      <c r="C1091" s="37"/>
      <c r="D1091" s="37"/>
      <c r="E1091" s="38"/>
      <c r="F1091" s="39"/>
      <c r="G1091" s="40"/>
      <c r="H1091" s="40"/>
      <c r="I1091" s="40"/>
      <c r="K1091" s="36"/>
      <c r="L1091" s="36"/>
      <c r="M1091" s="40"/>
      <c r="U1091" s="35"/>
    </row>
    <row r="1092" spans="2:21" s="13" customFormat="1" ht="12.75" customHeight="1" x14ac:dyDescent="0.2">
      <c r="B1092" s="37"/>
      <c r="C1092" s="37"/>
      <c r="D1092" s="37"/>
      <c r="E1092" s="38"/>
      <c r="F1092" s="39"/>
      <c r="G1092" s="40"/>
      <c r="H1092" s="40"/>
      <c r="I1092" s="40"/>
      <c r="K1092" s="36"/>
      <c r="L1092" s="36"/>
      <c r="M1092" s="40"/>
      <c r="U1092" s="35"/>
    </row>
    <row r="1093" spans="2:21" s="13" customFormat="1" ht="12.75" customHeight="1" x14ac:dyDescent="0.2">
      <c r="B1093" s="37"/>
      <c r="C1093" s="37"/>
      <c r="D1093" s="37"/>
      <c r="E1093" s="38"/>
      <c r="F1093" s="39"/>
      <c r="G1093" s="40"/>
      <c r="H1093" s="40"/>
      <c r="I1093" s="40"/>
      <c r="K1093" s="36"/>
      <c r="L1093" s="36"/>
      <c r="M1093" s="40"/>
      <c r="U1093" s="35"/>
    </row>
    <row r="1094" spans="2:21" s="13" customFormat="1" ht="12.75" customHeight="1" x14ac:dyDescent="0.2">
      <c r="B1094" s="37"/>
      <c r="C1094" s="37"/>
      <c r="D1094" s="37"/>
      <c r="E1094" s="38"/>
      <c r="F1094" s="39"/>
      <c r="G1094" s="40"/>
      <c r="H1094" s="40"/>
      <c r="I1094" s="40"/>
      <c r="K1094" s="36"/>
      <c r="L1094" s="36"/>
      <c r="M1094" s="40"/>
      <c r="U1094" s="35"/>
    </row>
    <row r="1095" spans="2:21" s="13" customFormat="1" ht="12.75" customHeight="1" x14ac:dyDescent="0.2">
      <c r="B1095" s="37"/>
      <c r="C1095" s="37"/>
      <c r="D1095" s="37"/>
      <c r="E1095" s="38"/>
      <c r="F1095" s="39"/>
      <c r="G1095" s="40"/>
      <c r="H1095" s="40"/>
      <c r="I1095" s="40"/>
      <c r="K1095" s="36"/>
      <c r="L1095" s="36"/>
      <c r="M1095" s="40"/>
      <c r="U1095" s="35"/>
    </row>
    <row r="1096" spans="2:21" s="13" customFormat="1" ht="12.75" customHeight="1" x14ac:dyDescent="0.2">
      <c r="B1096" s="37"/>
      <c r="C1096" s="37"/>
      <c r="D1096" s="37"/>
      <c r="E1096" s="38"/>
      <c r="F1096" s="39"/>
      <c r="G1096" s="40"/>
      <c r="H1096" s="40"/>
      <c r="I1096" s="40"/>
      <c r="K1096" s="36"/>
      <c r="L1096" s="36"/>
      <c r="M1096" s="40"/>
      <c r="U1096" s="35"/>
    </row>
    <row r="1097" spans="2:21" s="13" customFormat="1" ht="12.75" customHeight="1" x14ac:dyDescent="0.2">
      <c r="B1097" s="37"/>
      <c r="C1097" s="37"/>
      <c r="D1097" s="37"/>
      <c r="E1097" s="38"/>
      <c r="F1097" s="39"/>
      <c r="G1097" s="40"/>
      <c r="H1097" s="40"/>
      <c r="I1097" s="40"/>
      <c r="K1097" s="36"/>
      <c r="L1097" s="36"/>
      <c r="M1097" s="40"/>
      <c r="U1097" s="35"/>
    </row>
    <row r="1098" spans="2:21" s="13" customFormat="1" ht="12.75" customHeight="1" x14ac:dyDescent="0.2">
      <c r="B1098" s="37"/>
      <c r="C1098" s="37"/>
      <c r="D1098" s="37"/>
      <c r="E1098" s="38"/>
      <c r="F1098" s="39"/>
      <c r="G1098" s="40"/>
      <c r="H1098" s="40"/>
      <c r="I1098" s="40"/>
      <c r="K1098" s="36"/>
      <c r="L1098" s="36"/>
      <c r="M1098" s="40"/>
      <c r="U1098" s="35"/>
    </row>
    <row r="1099" spans="2:21" s="13" customFormat="1" ht="12.75" customHeight="1" x14ac:dyDescent="0.2">
      <c r="B1099" s="37"/>
      <c r="C1099" s="37"/>
      <c r="D1099" s="37"/>
      <c r="E1099" s="38"/>
      <c r="F1099" s="39"/>
      <c r="G1099" s="40"/>
      <c r="H1099" s="40"/>
      <c r="I1099" s="40"/>
      <c r="K1099" s="36"/>
      <c r="L1099" s="36"/>
      <c r="M1099" s="40"/>
      <c r="U1099" s="35"/>
    </row>
    <row r="1100" spans="2:21" s="13" customFormat="1" ht="12.75" customHeight="1" x14ac:dyDescent="0.2">
      <c r="B1100" s="37"/>
      <c r="C1100" s="37"/>
      <c r="D1100" s="37"/>
      <c r="E1100" s="38"/>
      <c r="F1100" s="39"/>
      <c r="G1100" s="40"/>
      <c r="H1100" s="40"/>
      <c r="I1100" s="40"/>
      <c r="K1100" s="36"/>
      <c r="L1100" s="36"/>
      <c r="M1100" s="40"/>
      <c r="U1100" s="35"/>
    </row>
    <row r="1101" spans="2:21" s="13" customFormat="1" ht="12.75" customHeight="1" x14ac:dyDescent="0.2">
      <c r="B1101" s="37"/>
      <c r="C1101" s="37"/>
      <c r="D1101" s="37"/>
      <c r="E1101" s="38"/>
      <c r="F1101" s="39"/>
      <c r="G1101" s="40"/>
      <c r="H1101" s="40"/>
      <c r="I1101" s="40"/>
      <c r="K1101" s="36"/>
      <c r="L1101" s="36"/>
      <c r="M1101" s="40"/>
      <c r="U1101" s="35"/>
    </row>
    <row r="1102" spans="2:21" s="13" customFormat="1" ht="12.75" customHeight="1" x14ac:dyDescent="0.2">
      <c r="B1102" s="37"/>
      <c r="C1102" s="37"/>
      <c r="D1102" s="37"/>
      <c r="E1102" s="38"/>
      <c r="F1102" s="39"/>
      <c r="G1102" s="40"/>
      <c r="H1102" s="40"/>
      <c r="I1102" s="40"/>
      <c r="K1102" s="36"/>
      <c r="L1102" s="36"/>
      <c r="M1102" s="40"/>
      <c r="U1102" s="35"/>
    </row>
    <row r="1103" spans="2:21" s="13" customFormat="1" ht="12.75" customHeight="1" x14ac:dyDescent="0.2">
      <c r="B1103" s="37"/>
      <c r="C1103" s="37"/>
      <c r="D1103" s="37"/>
      <c r="E1103" s="38"/>
      <c r="F1103" s="39"/>
      <c r="G1103" s="40"/>
      <c r="H1103" s="40"/>
      <c r="I1103" s="40"/>
      <c r="K1103" s="36"/>
      <c r="L1103" s="36"/>
      <c r="M1103" s="40"/>
      <c r="U1103" s="35"/>
    </row>
    <row r="1104" spans="2:21" s="13" customFormat="1" ht="12.75" customHeight="1" x14ac:dyDescent="0.2">
      <c r="B1104" s="37"/>
      <c r="C1104" s="37"/>
      <c r="D1104" s="37"/>
      <c r="E1104" s="38"/>
      <c r="F1104" s="39"/>
      <c r="G1104" s="40"/>
      <c r="H1104" s="40"/>
      <c r="I1104" s="40"/>
      <c r="K1104" s="36"/>
      <c r="L1104" s="36"/>
      <c r="M1104" s="40"/>
      <c r="U1104" s="35"/>
    </row>
    <row r="1105" spans="2:21" s="13" customFormat="1" ht="12.75" customHeight="1" x14ac:dyDescent="0.2">
      <c r="B1105" s="37"/>
      <c r="C1105" s="37"/>
      <c r="D1105" s="37"/>
      <c r="E1105" s="38"/>
      <c r="F1105" s="39"/>
      <c r="G1105" s="40"/>
      <c r="H1105" s="40"/>
      <c r="I1105" s="40"/>
      <c r="K1105" s="36"/>
      <c r="L1105" s="36"/>
      <c r="M1105" s="40"/>
      <c r="U1105" s="35"/>
    </row>
    <row r="1106" spans="2:21" s="13" customFormat="1" ht="12.75" customHeight="1" x14ac:dyDescent="0.2">
      <c r="B1106" s="37"/>
      <c r="C1106" s="37"/>
      <c r="D1106" s="37"/>
      <c r="E1106" s="38"/>
      <c r="F1106" s="39"/>
      <c r="G1106" s="40"/>
      <c r="H1106" s="40"/>
      <c r="I1106" s="40"/>
      <c r="K1106" s="36"/>
      <c r="L1106" s="36"/>
      <c r="M1106" s="40"/>
      <c r="U1106" s="35"/>
    </row>
    <row r="1107" spans="2:21" s="13" customFormat="1" ht="12.75" customHeight="1" x14ac:dyDescent="0.2">
      <c r="B1107" s="37"/>
      <c r="C1107" s="37"/>
      <c r="D1107" s="37"/>
      <c r="E1107" s="38"/>
      <c r="F1107" s="39"/>
      <c r="G1107" s="40"/>
      <c r="H1107" s="40"/>
      <c r="I1107" s="40"/>
      <c r="K1107" s="36"/>
      <c r="L1107" s="36"/>
      <c r="M1107" s="40"/>
      <c r="U1107" s="35"/>
    </row>
    <row r="1108" spans="2:21" s="13" customFormat="1" ht="12.75" customHeight="1" x14ac:dyDescent="0.2">
      <c r="B1108" s="37"/>
      <c r="C1108" s="37"/>
      <c r="D1108" s="37"/>
      <c r="E1108" s="38"/>
      <c r="F1108" s="39"/>
      <c r="G1108" s="40"/>
      <c r="H1108" s="40"/>
      <c r="I1108" s="40"/>
      <c r="K1108" s="36"/>
      <c r="L1108" s="36"/>
      <c r="M1108" s="40"/>
      <c r="U1108" s="35"/>
    </row>
    <row r="1109" spans="2:21" s="13" customFormat="1" ht="12.75" customHeight="1" x14ac:dyDescent="0.2">
      <c r="B1109" s="37"/>
      <c r="C1109" s="37"/>
      <c r="D1109" s="37"/>
      <c r="E1109" s="38"/>
      <c r="F1109" s="39"/>
      <c r="G1109" s="40"/>
      <c r="H1109" s="40"/>
      <c r="I1109" s="40"/>
      <c r="K1109" s="36"/>
      <c r="L1109" s="36"/>
      <c r="M1109" s="40"/>
      <c r="U1109" s="35"/>
    </row>
    <row r="1110" spans="2:21" s="13" customFormat="1" ht="12.75" customHeight="1" x14ac:dyDescent="0.2">
      <c r="B1110" s="37"/>
      <c r="C1110" s="37"/>
      <c r="D1110" s="37"/>
      <c r="E1110" s="38"/>
      <c r="F1110" s="39"/>
      <c r="G1110" s="40"/>
      <c r="H1110" s="40"/>
      <c r="I1110" s="40"/>
      <c r="K1110" s="36"/>
      <c r="L1110" s="36"/>
      <c r="M1110" s="40"/>
      <c r="U1110" s="35"/>
    </row>
    <row r="1111" spans="2:21" s="13" customFormat="1" ht="12.75" customHeight="1" x14ac:dyDescent="0.2">
      <c r="B1111" s="37"/>
      <c r="C1111" s="37"/>
      <c r="D1111" s="37"/>
      <c r="E1111" s="38"/>
      <c r="F1111" s="39"/>
      <c r="G1111" s="40"/>
      <c r="H1111" s="40"/>
      <c r="I1111" s="40"/>
      <c r="K1111" s="36"/>
      <c r="L1111" s="36"/>
      <c r="M1111" s="40"/>
      <c r="U1111" s="35"/>
    </row>
    <row r="1112" spans="2:21" s="13" customFormat="1" ht="12.75" customHeight="1" x14ac:dyDescent="0.2">
      <c r="B1112" s="37"/>
      <c r="C1112" s="37"/>
      <c r="D1112" s="37"/>
      <c r="E1112" s="38"/>
      <c r="F1112" s="39"/>
      <c r="G1112" s="40"/>
      <c r="H1112" s="40"/>
      <c r="I1112" s="40"/>
      <c r="K1112" s="36"/>
      <c r="L1112" s="36"/>
      <c r="M1112" s="40"/>
      <c r="U1112" s="35"/>
    </row>
    <row r="1113" spans="2:21" s="13" customFormat="1" ht="12.75" customHeight="1" x14ac:dyDescent="0.2">
      <c r="B1113" s="37"/>
      <c r="C1113" s="37"/>
      <c r="D1113" s="37"/>
      <c r="E1113" s="38"/>
      <c r="F1113" s="39"/>
      <c r="G1113" s="40"/>
      <c r="H1113" s="40"/>
      <c r="I1113" s="40"/>
      <c r="K1113" s="36"/>
      <c r="L1113" s="41"/>
      <c r="M1113" s="40"/>
      <c r="U1113" s="35"/>
    </row>
    <row r="1114" spans="2:21" s="13" customFormat="1" ht="12.75" customHeight="1" x14ac:dyDescent="0.2">
      <c r="B1114" s="42"/>
      <c r="C1114" s="42"/>
      <c r="D1114" s="42"/>
      <c r="E1114" s="43"/>
      <c r="F1114" s="44"/>
      <c r="G1114" s="45"/>
      <c r="H1114" s="45"/>
      <c r="I1114" s="45"/>
      <c r="J1114" s="35"/>
      <c r="K1114" s="41"/>
      <c r="L1114" s="41"/>
      <c r="M1114" s="45"/>
      <c r="N1114" s="35"/>
      <c r="O1114" s="35"/>
      <c r="U1114" s="35"/>
    </row>
    <row r="1115" spans="2:21" s="13" customFormat="1" ht="12.75" customHeight="1" x14ac:dyDescent="0.2">
      <c r="B1115" s="42"/>
      <c r="C1115" s="42"/>
      <c r="D1115" s="42"/>
      <c r="E1115" s="43"/>
      <c r="F1115" s="44"/>
      <c r="G1115" s="45"/>
      <c r="H1115" s="45"/>
      <c r="I1115" s="45"/>
      <c r="J1115" s="35"/>
      <c r="K1115" s="41"/>
      <c r="L1115" s="41"/>
      <c r="M1115" s="45"/>
      <c r="N1115" s="35"/>
      <c r="O1115" s="35"/>
      <c r="P1115" s="35"/>
      <c r="U1115" s="35"/>
    </row>
    <row r="1116" spans="2:21" s="13" customFormat="1" ht="12.75" customHeight="1" x14ac:dyDescent="0.2">
      <c r="B1116" s="42"/>
      <c r="C1116" s="42"/>
      <c r="D1116" s="42"/>
      <c r="E1116" s="43"/>
      <c r="F1116" s="44"/>
      <c r="G1116" s="45"/>
      <c r="H1116" s="45"/>
      <c r="I1116" s="45"/>
      <c r="J1116" s="35"/>
      <c r="K1116" s="41"/>
      <c r="L1116" s="41"/>
      <c r="M1116" s="45"/>
      <c r="N1116" s="35"/>
      <c r="O1116" s="35"/>
      <c r="P1116" s="35"/>
      <c r="U1116" s="35"/>
    </row>
    <row r="1117" spans="2:21" s="13" customFormat="1" ht="12.75" customHeight="1" x14ac:dyDescent="0.2">
      <c r="B1117" s="42"/>
      <c r="C1117" s="42"/>
      <c r="D1117" s="42"/>
      <c r="E1117" s="43"/>
      <c r="F1117" s="44"/>
      <c r="G1117" s="45"/>
      <c r="H1117" s="45"/>
      <c r="I1117" s="45"/>
      <c r="J1117" s="35"/>
      <c r="K1117" s="41"/>
      <c r="L1117" s="41"/>
      <c r="M1117" s="45"/>
      <c r="N1117" s="35"/>
      <c r="O1117" s="35"/>
      <c r="P1117" s="35"/>
      <c r="U1117" s="35"/>
    </row>
    <row r="1118" spans="2:21" s="13" customFormat="1" ht="12.75" customHeight="1" x14ac:dyDescent="0.2">
      <c r="B1118" s="42"/>
      <c r="C1118" s="42"/>
      <c r="D1118" s="42"/>
      <c r="E1118" s="43"/>
      <c r="F1118" s="44"/>
      <c r="G1118" s="45"/>
      <c r="H1118" s="45"/>
      <c r="I1118" s="45"/>
      <c r="J1118" s="35"/>
      <c r="K1118" s="41"/>
      <c r="L1118" s="41"/>
      <c r="M1118" s="45"/>
      <c r="N1118" s="35"/>
      <c r="O1118" s="35"/>
      <c r="P1118" s="35"/>
      <c r="U1118" s="35"/>
    </row>
    <row r="1119" spans="2:21" s="13" customFormat="1" ht="12.75" customHeight="1" x14ac:dyDescent="0.2">
      <c r="B1119" s="42"/>
      <c r="C1119" s="42"/>
      <c r="D1119" s="42"/>
      <c r="E1119" s="43"/>
      <c r="F1119" s="44"/>
      <c r="G1119" s="45"/>
      <c r="H1119" s="45"/>
      <c r="I1119" s="45"/>
      <c r="J1119" s="35"/>
      <c r="K1119" s="41"/>
      <c r="L1119" s="41"/>
      <c r="M1119" s="45"/>
      <c r="N1119" s="35"/>
      <c r="O1119" s="35"/>
      <c r="P1119" s="35"/>
      <c r="U1119" s="35"/>
    </row>
    <row r="1120" spans="2:21" s="13" customFormat="1" ht="12.75" customHeight="1" x14ac:dyDescent="0.2">
      <c r="B1120" s="42"/>
      <c r="C1120" s="42"/>
      <c r="D1120" s="42"/>
      <c r="E1120" s="43"/>
      <c r="F1120" s="44"/>
      <c r="G1120" s="45"/>
      <c r="H1120" s="45"/>
      <c r="I1120" s="45"/>
      <c r="J1120" s="35"/>
      <c r="K1120" s="41"/>
      <c r="L1120" s="41"/>
      <c r="M1120" s="45"/>
      <c r="N1120" s="35"/>
      <c r="O1120" s="35"/>
      <c r="P1120" s="35"/>
      <c r="U1120" s="35"/>
    </row>
    <row r="1121" spans="1:90" s="13" customFormat="1" ht="12.75" customHeight="1" x14ac:dyDescent="0.2">
      <c r="B1121" s="42"/>
      <c r="C1121" s="42"/>
      <c r="D1121" s="42"/>
      <c r="E1121" s="43"/>
      <c r="F1121" s="44"/>
      <c r="G1121" s="45"/>
      <c r="H1121" s="45"/>
      <c r="I1121" s="45"/>
      <c r="J1121" s="35"/>
      <c r="K1121" s="41"/>
      <c r="L1121" s="41"/>
      <c r="M1121" s="45"/>
      <c r="N1121" s="35"/>
      <c r="O1121" s="35"/>
      <c r="P1121" s="35"/>
      <c r="Q1121" s="35"/>
      <c r="R1121" s="35"/>
      <c r="S1121" s="35"/>
      <c r="T1121" s="35"/>
      <c r="U1121" s="35"/>
    </row>
    <row r="1122" spans="1:90" s="13" customFormat="1" ht="12.75" customHeight="1" x14ac:dyDescent="0.2">
      <c r="B1122" s="42"/>
      <c r="C1122" s="42"/>
      <c r="D1122" s="42"/>
      <c r="E1122" s="43"/>
      <c r="F1122" s="44"/>
      <c r="G1122" s="45"/>
      <c r="H1122" s="45"/>
      <c r="I1122" s="45"/>
      <c r="J1122" s="35"/>
      <c r="K1122" s="41"/>
      <c r="L1122" s="41"/>
      <c r="M1122" s="45"/>
      <c r="N1122" s="35"/>
      <c r="O1122" s="35"/>
      <c r="P1122" s="35"/>
      <c r="Q1122" s="35"/>
      <c r="R1122" s="35"/>
      <c r="S1122" s="35"/>
      <c r="T1122" s="35"/>
      <c r="U1122" s="35"/>
    </row>
    <row r="1123" spans="1:90" s="13" customFormat="1" ht="12.75" customHeight="1" x14ac:dyDescent="0.2">
      <c r="B1123" s="42"/>
      <c r="C1123" s="42"/>
      <c r="D1123" s="42"/>
      <c r="E1123" s="43"/>
      <c r="F1123" s="44"/>
      <c r="G1123" s="45"/>
      <c r="H1123" s="45"/>
      <c r="I1123" s="45"/>
      <c r="J1123" s="35"/>
      <c r="K1123" s="41"/>
      <c r="L1123" s="41"/>
      <c r="M1123" s="45"/>
      <c r="N1123" s="35"/>
      <c r="O1123" s="35"/>
      <c r="P1123" s="35"/>
      <c r="Q1123" s="35"/>
      <c r="R1123" s="35"/>
      <c r="S1123" s="35"/>
      <c r="T1123" s="35"/>
      <c r="U1123" s="35"/>
    </row>
    <row r="1124" spans="1:90" s="13" customFormat="1" ht="12.75" customHeight="1" x14ac:dyDescent="0.2">
      <c r="A1124" s="35"/>
      <c r="B1124" s="42"/>
      <c r="C1124" s="42"/>
      <c r="D1124" s="42"/>
      <c r="E1124" s="43"/>
      <c r="F1124" s="44"/>
      <c r="G1124" s="45"/>
      <c r="H1124" s="45"/>
      <c r="I1124" s="45"/>
      <c r="J1124" s="35"/>
      <c r="K1124" s="41"/>
      <c r="L1124" s="41"/>
      <c r="M1124" s="45"/>
      <c r="N1124" s="35"/>
      <c r="O1124" s="35"/>
      <c r="P1124" s="35"/>
      <c r="Q1124" s="35"/>
      <c r="R1124" s="35"/>
      <c r="S1124" s="35"/>
      <c r="T1124" s="35"/>
      <c r="U1124" s="35"/>
      <c r="V1124" s="35"/>
      <c r="W1124" s="35"/>
    </row>
    <row r="1125" spans="1:90" ht="12.75" customHeight="1" x14ac:dyDescent="0.2">
      <c r="CL1125" s="13"/>
    </row>
    <row r="1126" spans="1:90" ht="12.75" customHeight="1" x14ac:dyDescent="0.2"/>
    <row r="1127" spans="1:90" ht="12.75" customHeight="1" x14ac:dyDescent="0.2"/>
    <row r="1128" spans="1:90" ht="12.75" customHeight="1" x14ac:dyDescent="0.2"/>
    <row r="1129" spans="1:90" ht="12.75" customHeight="1" x14ac:dyDescent="0.2"/>
    <row r="1130" spans="1:90" ht="12.75" customHeight="1" x14ac:dyDescent="0.2"/>
    <row r="1131" spans="1:90" ht="12.75" customHeight="1" x14ac:dyDescent="0.2"/>
    <row r="1132" spans="1:90" ht="12.75" customHeight="1" x14ac:dyDescent="0.2"/>
    <row r="1133" spans="1:90" ht="12.75" customHeight="1" x14ac:dyDescent="0.2"/>
    <row r="1134" spans="1:90" ht="12.75" customHeight="1" x14ac:dyDescent="0.2"/>
    <row r="1135" spans="1:90" ht="12.75" customHeight="1" x14ac:dyDescent="0.2"/>
    <row r="1136" spans="1:90" ht="12.75" customHeight="1" x14ac:dyDescent="0.2"/>
    <row r="1137" ht="12.75" customHeight="1" x14ac:dyDescent="0.2"/>
    <row r="1138" ht="12.75" customHeight="1" x14ac:dyDescent="0.2"/>
    <row r="1139" ht="12.75" customHeight="1" x14ac:dyDescent="0.2"/>
    <row r="1140" ht="12.75" customHeight="1" x14ac:dyDescent="0.2"/>
    <row r="1141" ht="12.75" customHeight="1" x14ac:dyDescent="0.2"/>
    <row r="1142" ht="12.75" customHeight="1" x14ac:dyDescent="0.2"/>
    <row r="1143" ht="12.75" customHeight="1" x14ac:dyDescent="0.2"/>
    <row r="1144" ht="12.75" customHeight="1" x14ac:dyDescent="0.2"/>
    <row r="1145" ht="12.75" customHeight="1" x14ac:dyDescent="0.2"/>
    <row r="1146" ht="12.75" customHeight="1" x14ac:dyDescent="0.2"/>
    <row r="1147" ht="12.75" customHeight="1" x14ac:dyDescent="0.2"/>
    <row r="1148" ht="12.75" customHeight="1" x14ac:dyDescent="0.2"/>
    <row r="1149" ht="12.75" customHeight="1" x14ac:dyDescent="0.2"/>
    <row r="1150" ht="12.75" customHeight="1" x14ac:dyDescent="0.2"/>
    <row r="1151" ht="12.75" customHeight="1" x14ac:dyDescent="0.2"/>
    <row r="1152" ht="12.75" customHeight="1" x14ac:dyDescent="0.2"/>
    <row r="1153" ht="12.75" customHeight="1" x14ac:dyDescent="0.2"/>
    <row r="1154" ht="12.75" customHeight="1" x14ac:dyDescent="0.2"/>
    <row r="1155" ht="12.75" customHeight="1" x14ac:dyDescent="0.2"/>
    <row r="1156" ht="12.75" customHeight="1" x14ac:dyDescent="0.2"/>
    <row r="1157" ht="12.75" customHeight="1" x14ac:dyDescent="0.2"/>
    <row r="1158" ht="12.75" customHeight="1" x14ac:dyDescent="0.2"/>
    <row r="1159" ht="12.75" customHeight="1" x14ac:dyDescent="0.2"/>
    <row r="1160" ht="12.75" customHeight="1" x14ac:dyDescent="0.2"/>
    <row r="1161" ht="12.75" customHeight="1" x14ac:dyDescent="0.2"/>
    <row r="1162" ht="12.75" customHeight="1" x14ac:dyDescent="0.2"/>
    <row r="1163" ht="12.75" customHeight="1" x14ac:dyDescent="0.2"/>
    <row r="1164" ht="12.75" customHeight="1" x14ac:dyDescent="0.2"/>
    <row r="1165" ht="12.75" customHeight="1" x14ac:dyDescent="0.2"/>
    <row r="1166" ht="12.75" customHeight="1" x14ac:dyDescent="0.2"/>
    <row r="1167" ht="12.75" customHeight="1" x14ac:dyDescent="0.2"/>
    <row r="1168" ht="12.75" customHeight="1" x14ac:dyDescent="0.2"/>
    <row r="1169" ht="12.75" customHeight="1" x14ac:dyDescent="0.2"/>
    <row r="1170" ht="12.75" customHeight="1" x14ac:dyDescent="0.2"/>
    <row r="1171" ht="12.75" customHeight="1" x14ac:dyDescent="0.2"/>
    <row r="1172" ht="12.75" customHeight="1" x14ac:dyDescent="0.2"/>
    <row r="1173" ht="12.75" customHeight="1" x14ac:dyDescent="0.2"/>
    <row r="1174" ht="12.75" customHeight="1" x14ac:dyDescent="0.2"/>
    <row r="1175" ht="12.75" customHeight="1" x14ac:dyDescent="0.2"/>
    <row r="1176" ht="12.75" customHeight="1" x14ac:dyDescent="0.2"/>
    <row r="1177" ht="12.75" customHeight="1" x14ac:dyDescent="0.2"/>
    <row r="1178" ht="12.75" customHeight="1" x14ac:dyDescent="0.2"/>
    <row r="1179" ht="12.75" customHeight="1" x14ac:dyDescent="0.2"/>
    <row r="1180" ht="12.75" customHeight="1" x14ac:dyDescent="0.2"/>
    <row r="1181" ht="12.75" customHeight="1" x14ac:dyDescent="0.2"/>
    <row r="1182" ht="12.75" customHeight="1" x14ac:dyDescent="0.2"/>
    <row r="1183" ht="12.75" customHeight="1" x14ac:dyDescent="0.2"/>
    <row r="1184" ht="12.75" customHeight="1" x14ac:dyDescent="0.2"/>
    <row r="1185" ht="12.75" customHeight="1" x14ac:dyDescent="0.2"/>
    <row r="1186" ht="12.75" customHeight="1" x14ac:dyDescent="0.2"/>
    <row r="1187" ht="12.75" customHeight="1" x14ac:dyDescent="0.2"/>
    <row r="1188" ht="12.75" customHeight="1" x14ac:dyDescent="0.2"/>
    <row r="1189" ht="12.75" customHeight="1" x14ac:dyDescent="0.2"/>
    <row r="1190" ht="12.75" customHeight="1" x14ac:dyDescent="0.2"/>
    <row r="1191" ht="12.75" customHeight="1" x14ac:dyDescent="0.2"/>
    <row r="1192" ht="12.75" customHeight="1" x14ac:dyDescent="0.2"/>
    <row r="1193" ht="12.75" customHeight="1" x14ac:dyDescent="0.2"/>
    <row r="1194" ht="12.75" customHeight="1" x14ac:dyDescent="0.2"/>
    <row r="1195" ht="12.75" customHeight="1" x14ac:dyDescent="0.2"/>
    <row r="1196" ht="12.75" customHeight="1" x14ac:dyDescent="0.2"/>
    <row r="1197" ht="12.75" customHeight="1" x14ac:dyDescent="0.2"/>
    <row r="1198" ht="12.75" customHeight="1" x14ac:dyDescent="0.2"/>
    <row r="1199" ht="12.75" customHeight="1" x14ac:dyDescent="0.2"/>
    <row r="1200" ht="12.75" customHeight="1" x14ac:dyDescent="0.2"/>
    <row r="1201" ht="12.75" customHeight="1" x14ac:dyDescent="0.2"/>
    <row r="1202" ht="12.75" customHeight="1" x14ac:dyDescent="0.2"/>
    <row r="1203" ht="12.75" customHeight="1" x14ac:dyDescent="0.2"/>
    <row r="1204" ht="12.75" customHeight="1" x14ac:dyDescent="0.2"/>
    <row r="1205" ht="12.75" customHeight="1" x14ac:dyDescent="0.2"/>
    <row r="1206" ht="12.75" customHeight="1" x14ac:dyDescent="0.2"/>
    <row r="1207" ht="12.75" customHeight="1" x14ac:dyDescent="0.2"/>
    <row r="1208" ht="12.75" customHeight="1" x14ac:dyDescent="0.2"/>
    <row r="1209" ht="12.75" customHeight="1" x14ac:dyDescent="0.2"/>
    <row r="1210" ht="12.75" customHeight="1" x14ac:dyDescent="0.2"/>
    <row r="1211" ht="12.75" customHeight="1" x14ac:dyDescent="0.2"/>
    <row r="1212" ht="12.75" customHeight="1" x14ac:dyDescent="0.2"/>
    <row r="1213" ht="12.75" customHeight="1" x14ac:dyDescent="0.2"/>
    <row r="1214" ht="12.75" customHeight="1" x14ac:dyDescent="0.2"/>
    <row r="1215" ht="12.75" customHeight="1" x14ac:dyDescent="0.2"/>
    <row r="1216" ht="12.75" customHeight="1" x14ac:dyDescent="0.2"/>
    <row r="1217" ht="12.75" customHeight="1" x14ac:dyDescent="0.2"/>
    <row r="1218" ht="12.75" customHeight="1" x14ac:dyDescent="0.2"/>
    <row r="1219" ht="12.75" customHeight="1" x14ac:dyDescent="0.2"/>
    <row r="1220" ht="12.75" customHeight="1" x14ac:dyDescent="0.2"/>
    <row r="1221" ht="12.75" customHeight="1" x14ac:dyDescent="0.2"/>
    <row r="1222" ht="12.75" customHeight="1" x14ac:dyDescent="0.2"/>
    <row r="1223" ht="12.75" customHeight="1" x14ac:dyDescent="0.2"/>
    <row r="1224" ht="12.75" customHeight="1" x14ac:dyDescent="0.2"/>
    <row r="1225" ht="12.75" customHeight="1" x14ac:dyDescent="0.2"/>
    <row r="1226" ht="12.75" customHeight="1" x14ac:dyDescent="0.2"/>
    <row r="1227" ht="12.75" customHeight="1" x14ac:dyDescent="0.2"/>
    <row r="1228" ht="12.75" customHeight="1" x14ac:dyDescent="0.2"/>
    <row r="1229" ht="12.75" customHeight="1" x14ac:dyDescent="0.2"/>
    <row r="1230" ht="12.75" customHeight="1" x14ac:dyDescent="0.2"/>
    <row r="1231" ht="12.75" customHeight="1" x14ac:dyDescent="0.2"/>
    <row r="1232" ht="12.75" customHeight="1" x14ac:dyDescent="0.2"/>
    <row r="1233" ht="12.75" customHeight="1" x14ac:dyDescent="0.2"/>
    <row r="1234" ht="12.75" customHeight="1" x14ac:dyDescent="0.2"/>
    <row r="1235" ht="12.75" customHeight="1" x14ac:dyDescent="0.2"/>
    <row r="1236" ht="12.75" customHeight="1" x14ac:dyDescent="0.2"/>
    <row r="1237" ht="12.75" customHeight="1" x14ac:dyDescent="0.2"/>
    <row r="1238" ht="12.75" customHeight="1" x14ac:dyDescent="0.2"/>
    <row r="1239" ht="12.75" customHeight="1" x14ac:dyDescent="0.2"/>
    <row r="1240" ht="12.75" customHeight="1" x14ac:dyDescent="0.2"/>
    <row r="1241" ht="12.75" customHeight="1" x14ac:dyDescent="0.2"/>
    <row r="1242" ht="12.75" customHeight="1" x14ac:dyDescent="0.2"/>
    <row r="1243" ht="12.75" customHeight="1" x14ac:dyDescent="0.2"/>
    <row r="1244" ht="12.75" customHeight="1" x14ac:dyDescent="0.2"/>
    <row r="1245" ht="12.75" customHeight="1" x14ac:dyDescent="0.2"/>
    <row r="1246" ht="12.75" customHeight="1" x14ac:dyDescent="0.2"/>
    <row r="1247" ht="12.75" customHeight="1" x14ac:dyDescent="0.2"/>
    <row r="1248" ht="12.75" customHeight="1" x14ac:dyDescent="0.2"/>
    <row r="1249" ht="12.75" customHeight="1" x14ac:dyDescent="0.2"/>
    <row r="1250" ht="12.75" customHeight="1" x14ac:dyDescent="0.2"/>
    <row r="1251" ht="12.75" customHeight="1" x14ac:dyDescent="0.2"/>
    <row r="1252" ht="12.75" customHeight="1" x14ac:dyDescent="0.2"/>
    <row r="1253" ht="12.75" customHeight="1" x14ac:dyDescent="0.2"/>
    <row r="1254" ht="12.75" customHeight="1" x14ac:dyDescent="0.2"/>
    <row r="1255" ht="12.75" customHeight="1" x14ac:dyDescent="0.2"/>
    <row r="1256" ht="12.75" customHeight="1" x14ac:dyDescent="0.2"/>
    <row r="1257" ht="12.75" customHeight="1" x14ac:dyDescent="0.2"/>
    <row r="1258" ht="12.75" customHeight="1" x14ac:dyDescent="0.2"/>
    <row r="1259" ht="12.75" customHeight="1" x14ac:dyDescent="0.2"/>
    <row r="1260" ht="12.75" customHeight="1" x14ac:dyDescent="0.2"/>
    <row r="1261" ht="12.75" customHeight="1" x14ac:dyDescent="0.2"/>
    <row r="1262" ht="12.75" customHeight="1" x14ac:dyDescent="0.2"/>
    <row r="1263" ht="12.75" customHeight="1" x14ac:dyDescent="0.2"/>
    <row r="1264" ht="12.75" customHeight="1" x14ac:dyDescent="0.2"/>
    <row r="1265" ht="12.75" customHeight="1" x14ac:dyDescent="0.2"/>
    <row r="1266" ht="12.75" customHeight="1" x14ac:dyDescent="0.2"/>
    <row r="1267" ht="12.75" customHeight="1" x14ac:dyDescent="0.2"/>
    <row r="1268" ht="12.75" customHeight="1" x14ac:dyDescent="0.2"/>
    <row r="1269" ht="12.75" customHeight="1" x14ac:dyDescent="0.2"/>
    <row r="1270" ht="12.75" customHeight="1" x14ac:dyDescent="0.2"/>
    <row r="1271" ht="12.75" customHeight="1" x14ac:dyDescent="0.2"/>
    <row r="1272" ht="12.75" customHeight="1" x14ac:dyDescent="0.2"/>
    <row r="1273" ht="12.75" customHeight="1" x14ac:dyDescent="0.2"/>
    <row r="1274" ht="12.75" customHeight="1" x14ac:dyDescent="0.2"/>
    <row r="1275" ht="12.75" customHeight="1" x14ac:dyDescent="0.2"/>
    <row r="1276" ht="12.75" customHeight="1" x14ac:dyDescent="0.2"/>
    <row r="1277" ht="12.75" customHeight="1" x14ac:dyDescent="0.2"/>
    <row r="1278" ht="12.75" customHeight="1" x14ac:dyDescent="0.2"/>
    <row r="1279" ht="12.75" customHeight="1" x14ac:dyDescent="0.2"/>
    <row r="1280" ht="12.75" customHeight="1" x14ac:dyDescent="0.2"/>
    <row r="1281" ht="12.75" customHeight="1" x14ac:dyDescent="0.2"/>
    <row r="1282" ht="12.75" customHeight="1" x14ac:dyDescent="0.2"/>
    <row r="1283" ht="12.75" customHeight="1" x14ac:dyDescent="0.2"/>
    <row r="1284" ht="12.75" customHeight="1" x14ac:dyDescent="0.2"/>
    <row r="1285" ht="12.75" customHeight="1" x14ac:dyDescent="0.2"/>
    <row r="1286" ht="12.75" customHeight="1" x14ac:dyDescent="0.2"/>
    <row r="1287" ht="12.75" customHeight="1" x14ac:dyDescent="0.2"/>
    <row r="1288" ht="12.75" customHeight="1" x14ac:dyDescent="0.2"/>
    <row r="1289" ht="12.75" customHeight="1" x14ac:dyDescent="0.2"/>
    <row r="1290" ht="12.75" customHeight="1" x14ac:dyDescent="0.2"/>
    <row r="1291" ht="12.75" customHeight="1" x14ac:dyDescent="0.2"/>
    <row r="1292" ht="12.75" customHeight="1" x14ac:dyDescent="0.2"/>
    <row r="1293" ht="12.75" customHeight="1" x14ac:dyDescent="0.2"/>
    <row r="1294" ht="12.75" customHeight="1" x14ac:dyDescent="0.2"/>
    <row r="1295" ht="12.75" customHeight="1" x14ac:dyDescent="0.2"/>
    <row r="1296" ht="12.75" customHeight="1" x14ac:dyDescent="0.2"/>
    <row r="1297" ht="12.75" customHeight="1" x14ac:dyDescent="0.2"/>
    <row r="1298" ht="12.75" customHeight="1" x14ac:dyDescent="0.2"/>
    <row r="1299" ht="12.75" customHeight="1" x14ac:dyDescent="0.2"/>
    <row r="1300" ht="12.75" customHeight="1" x14ac:dyDescent="0.2"/>
    <row r="1301" ht="12.75" customHeight="1" x14ac:dyDescent="0.2"/>
    <row r="1302" ht="12.75" customHeight="1" x14ac:dyDescent="0.2"/>
    <row r="1303" ht="12.75" customHeight="1" x14ac:dyDescent="0.2"/>
    <row r="1304" ht="12.75" customHeight="1" x14ac:dyDescent="0.2"/>
    <row r="1305" ht="12.75" customHeight="1" x14ac:dyDescent="0.2"/>
    <row r="1306" ht="12.75" customHeight="1" x14ac:dyDescent="0.2"/>
    <row r="1307" ht="12.75" customHeight="1" x14ac:dyDescent="0.2"/>
    <row r="1308" ht="12.75" customHeight="1" x14ac:dyDescent="0.2"/>
    <row r="1309" ht="12.75" customHeight="1" x14ac:dyDescent="0.2"/>
    <row r="1310" ht="12.75" customHeight="1" x14ac:dyDescent="0.2"/>
    <row r="1311" ht="12.75" customHeight="1" x14ac:dyDescent="0.2"/>
    <row r="1312" ht="12.75" customHeight="1" x14ac:dyDescent="0.2"/>
    <row r="1313" ht="12.75" customHeight="1" x14ac:dyDescent="0.2"/>
    <row r="1314" ht="12.75" customHeight="1" x14ac:dyDescent="0.2"/>
    <row r="1315" ht="12.75" customHeight="1" x14ac:dyDescent="0.2"/>
    <row r="1316" ht="12.75" customHeight="1" x14ac:dyDescent="0.2"/>
    <row r="1317" ht="12.75" customHeight="1" x14ac:dyDescent="0.2"/>
    <row r="1318" ht="12.75" customHeight="1" x14ac:dyDescent="0.2"/>
    <row r="1319" ht="12.75" customHeight="1" x14ac:dyDescent="0.2"/>
    <row r="1320" ht="12.75" customHeight="1" x14ac:dyDescent="0.2"/>
    <row r="1321" ht="12.75" customHeight="1" x14ac:dyDescent="0.2"/>
    <row r="1322" ht="12.75" customHeight="1" x14ac:dyDescent="0.2"/>
    <row r="1323" ht="12.75" customHeight="1" x14ac:dyDescent="0.2"/>
    <row r="1324" ht="12.75" customHeight="1" x14ac:dyDescent="0.2"/>
    <row r="1325" ht="12.75" customHeight="1" x14ac:dyDescent="0.2"/>
    <row r="1326" ht="12.75" customHeight="1" x14ac:dyDescent="0.2"/>
    <row r="1327" ht="12.75" customHeight="1" x14ac:dyDescent="0.2"/>
    <row r="1328" ht="12.75" customHeight="1" x14ac:dyDescent="0.2"/>
    <row r="1329" ht="12.75" customHeight="1" x14ac:dyDescent="0.2"/>
    <row r="1330" ht="12.75" customHeight="1" x14ac:dyDescent="0.2"/>
    <row r="1331" ht="12.75" customHeight="1" x14ac:dyDescent="0.2"/>
    <row r="1332" ht="12.75" customHeight="1" x14ac:dyDescent="0.2"/>
    <row r="1333" ht="12.75" customHeight="1" x14ac:dyDescent="0.2"/>
    <row r="1334" ht="12.75" customHeight="1" x14ac:dyDescent="0.2"/>
    <row r="1335" ht="12.75" customHeight="1" x14ac:dyDescent="0.2"/>
    <row r="1336" ht="12.75" customHeight="1" x14ac:dyDescent="0.2"/>
    <row r="1337" ht="12.75" customHeight="1" x14ac:dyDescent="0.2"/>
    <row r="1338" ht="12.75" customHeight="1" x14ac:dyDescent="0.2"/>
    <row r="1339" ht="12.75" customHeight="1" x14ac:dyDescent="0.2"/>
    <row r="1340" ht="12.75" customHeight="1" x14ac:dyDescent="0.2"/>
    <row r="1341" ht="12.75" customHeight="1" x14ac:dyDescent="0.2"/>
    <row r="1342" ht="12.75" customHeight="1" x14ac:dyDescent="0.2"/>
    <row r="1343" ht="12.75" customHeight="1" x14ac:dyDescent="0.2"/>
    <row r="1344" ht="12.75" customHeight="1" x14ac:dyDescent="0.2"/>
    <row r="1345" ht="12.75" customHeight="1" x14ac:dyDescent="0.2"/>
    <row r="1346" ht="12.75" customHeight="1" x14ac:dyDescent="0.2"/>
    <row r="1347" ht="12.75" customHeight="1" x14ac:dyDescent="0.2"/>
    <row r="1348" ht="12.75" customHeight="1" x14ac:dyDescent="0.2"/>
    <row r="1349" ht="12.75" customHeight="1" x14ac:dyDescent="0.2"/>
    <row r="1350" ht="12.75" customHeight="1" x14ac:dyDescent="0.2"/>
    <row r="1351" ht="12.75" customHeight="1" x14ac:dyDescent="0.2"/>
    <row r="1352" ht="12.75" customHeight="1" x14ac:dyDescent="0.2"/>
    <row r="1353" ht="12.75" customHeight="1" x14ac:dyDescent="0.2"/>
    <row r="1354" ht="12.75" customHeight="1" x14ac:dyDescent="0.2"/>
    <row r="1355" ht="12.75" customHeight="1" x14ac:dyDescent="0.2"/>
    <row r="1356" ht="12.75" customHeight="1" x14ac:dyDescent="0.2"/>
    <row r="1357" ht="12.75" customHeight="1" x14ac:dyDescent="0.2"/>
    <row r="1358" ht="12.75" customHeight="1" x14ac:dyDescent="0.2"/>
    <row r="1359" ht="12.75" customHeight="1" x14ac:dyDescent="0.2"/>
    <row r="1360" ht="12.75" customHeight="1" x14ac:dyDescent="0.2"/>
    <row r="1361" ht="12.75" customHeight="1" x14ac:dyDescent="0.2"/>
    <row r="1362" ht="12.75" customHeight="1" x14ac:dyDescent="0.2"/>
    <row r="1363" ht="12.75" customHeight="1" x14ac:dyDescent="0.2"/>
    <row r="1364" ht="12.75" customHeight="1" x14ac:dyDescent="0.2"/>
    <row r="1365" ht="12.75" customHeight="1" x14ac:dyDescent="0.2"/>
    <row r="1366" ht="12.75" customHeight="1" x14ac:dyDescent="0.2"/>
    <row r="1367" ht="12.75" customHeight="1" x14ac:dyDescent="0.2"/>
    <row r="1368" ht="12.75" customHeight="1" x14ac:dyDescent="0.2"/>
    <row r="1369" ht="12.75" customHeight="1" x14ac:dyDescent="0.2"/>
    <row r="1370" ht="12.75" customHeight="1" x14ac:dyDescent="0.2"/>
    <row r="1371" ht="12.75" customHeight="1" x14ac:dyDescent="0.2"/>
    <row r="1372" ht="12.75" customHeight="1" x14ac:dyDescent="0.2"/>
    <row r="1373" ht="12.75" customHeight="1" x14ac:dyDescent="0.2"/>
    <row r="1374" ht="12.75" customHeight="1" x14ac:dyDescent="0.2"/>
    <row r="1375" ht="12.75" customHeight="1" x14ac:dyDescent="0.2"/>
    <row r="1376" ht="12.75" customHeight="1" x14ac:dyDescent="0.2"/>
    <row r="1377" ht="12.75" customHeight="1" x14ac:dyDescent="0.2"/>
    <row r="1378" ht="12.75" customHeight="1" x14ac:dyDescent="0.2"/>
    <row r="1379" ht="12.75" customHeight="1" x14ac:dyDescent="0.2"/>
    <row r="1380" ht="12.75" customHeight="1" x14ac:dyDescent="0.2"/>
    <row r="1381" ht="12.75" customHeight="1" x14ac:dyDescent="0.2"/>
    <row r="1382" ht="12.75" customHeight="1" x14ac:dyDescent="0.2"/>
    <row r="1383" ht="12.75" customHeight="1" x14ac:dyDescent="0.2"/>
    <row r="1384" ht="12.75" customHeight="1" x14ac:dyDescent="0.2"/>
    <row r="1385" ht="12.75" customHeight="1" x14ac:dyDescent="0.2"/>
    <row r="1386" ht="12.75" customHeight="1" x14ac:dyDescent="0.2"/>
    <row r="1387" ht="12.75" customHeight="1" x14ac:dyDescent="0.2"/>
    <row r="1388" ht="12.75" customHeight="1" x14ac:dyDescent="0.2"/>
    <row r="1389" ht="12.75" customHeight="1" x14ac:dyDescent="0.2"/>
    <row r="1390" ht="12.75" customHeight="1" x14ac:dyDescent="0.2"/>
    <row r="1391" ht="12.75" customHeight="1" x14ac:dyDescent="0.2"/>
    <row r="1392" ht="12.75" customHeight="1" x14ac:dyDescent="0.2"/>
    <row r="1393" ht="12.75" customHeight="1" x14ac:dyDescent="0.2"/>
    <row r="1394" ht="12.75" customHeight="1" x14ac:dyDescent="0.2"/>
    <row r="1395" ht="12.75" customHeight="1" x14ac:dyDescent="0.2"/>
    <row r="1396" ht="12.75" customHeight="1" x14ac:dyDescent="0.2"/>
    <row r="1397" ht="12.75" customHeight="1" x14ac:dyDescent="0.2"/>
    <row r="1398" ht="12.75" customHeight="1" x14ac:dyDescent="0.2"/>
    <row r="1399" ht="12.75" customHeight="1" x14ac:dyDescent="0.2"/>
    <row r="1400" ht="12.75" customHeight="1" x14ac:dyDescent="0.2"/>
    <row r="1401" ht="12.75" customHeight="1" x14ac:dyDescent="0.2"/>
    <row r="1402" ht="12.75" customHeight="1" x14ac:dyDescent="0.2"/>
    <row r="1403" ht="12.75" customHeight="1" x14ac:dyDescent="0.2"/>
    <row r="1404" ht="12.75" customHeight="1" x14ac:dyDescent="0.2"/>
    <row r="1405" ht="12.75" customHeight="1" x14ac:dyDescent="0.2"/>
    <row r="1406" ht="12.75" customHeight="1" x14ac:dyDescent="0.2"/>
    <row r="1407" ht="12.75" customHeight="1" x14ac:dyDescent="0.2"/>
    <row r="1408" ht="12.75" customHeight="1" x14ac:dyDescent="0.2"/>
    <row r="1409" ht="12.75" customHeight="1" x14ac:dyDescent="0.2"/>
    <row r="1410" ht="12.75" customHeight="1" x14ac:dyDescent="0.2"/>
    <row r="1411" ht="12.75" customHeight="1" x14ac:dyDescent="0.2"/>
    <row r="1412" ht="12.75" customHeight="1" x14ac:dyDescent="0.2"/>
    <row r="1413" ht="12.75" customHeight="1" x14ac:dyDescent="0.2"/>
    <row r="1414" ht="12.75" customHeight="1" x14ac:dyDescent="0.2"/>
    <row r="1415" ht="12.75" customHeight="1" x14ac:dyDescent="0.2"/>
    <row r="1416" ht="12.75" customHeight="1" x14ac:dyDescent="0.2"/>
    <row r="1417" ht="12.75" customHeight="1" x14ac:dyDescent="0.2"/>
    <row r="1418" ht="12.75" customHeight="1" x14ac:dyDescent="0.2"/>
    <row r="1419" ht="12.75" customHeight="1" x14ac:dyDescent="0.2"/>
    <row r="1420" ht="12.75" customHeight="1" x14ac:dyDescent="0.2"/>
    <row r="1421" ht="12.75" customHeight="1" x14ac:dyDescent="0.2"/>
    <row r="1422" ht="12.75" customHeight="1" x14ac:dyDescent="0.2"/>
    <row r="1423" ht="12.75" customHeight="1" x14ac:dyDescent="0.2"/>
    <row r="1424" ht="12.75" customHeight="1" x14ac:dyDescent="0.2"/>
    <row r="1425" ht="12.75" customHeight="1" x14ac:dyDescent="0.2"/>
    <row r="1426" ht="12.75" customHeight="1" x14ac:dyDescent="0.2"/>
    <row r="1427" ht="12.75" customHeight="1" x14ac:dyDescent="0.2"/>
    <row r="1428" ht="12.75" customHeight="1" x14ac:dyDescent="0.2"/>
    <row r="1429" ht="12.75" customHeight="1" x14ac:dyDescent="0.2"/>
    <row r="1430" ht="12.75" customHeight="1" x14ac:dyDescent="0.2"/>
    <row r="1431" ht="12.75" customHeight="1" x14ac:dyDescent="0.2"/>
    <row r="1432" ht="12.75" customHeight="1" x14ac:dyDescent="0.2"/>
    <row r="1433" ht="12.75" customHeight="1" x14ac:dyDescent="0.2"/>
    <row r="1434" ht="12.75" customHeight="1" x14ac:dyDescent="0.2"/>
    <row r="1435" ht="12.75" customHeight="1" x14ac:dyDescent="0.2"/>
    <row r="1436" ht="12.75" customHeight="1" x14ac:dyDescent="0.2"/>
    <row r="1437" ht="12.75" customHeight="1" x14ac:dyDescent="0.2"/>
    <row r="1438" ht="12.75" customHeight="1" x14ac:dyDescent="0.2"/>
    <row r="1439" ht="12.75" customHeight="1" x14ac:dyDescent="0.2"/>
    <row r="1440" ht="12.75" customHeight="1" x14ac:dyDescent="0.2"/>
    <row r="1441" ht="12.75" customHeight="1" x14ac:dyDescent="0.2"/>
    <row r="1442" ht="12.75" customHeight="1" x14ac:dyDescent="0.2"/>
    <row r="1443" ht="12.75" customHeight="1" x14ac:dyDescent="0.2"/>
    <row r="1444" ht="12.75" customHeight="1" x14ac:dyDescent="0.2"/>
    <row r="1445" ht="12.75" customHeight="1" x14ac:dyDescent="0.2"/>
    <row r="1446" ht="12.75" customHeight="1" x14ac:dyDescent="0.2"/>
    <row r="1447" ht="12.75" customHeight="1" x14ac:dyDescent="0.2"/>
    <row r="1448" ht="12.75" customHeight="1" x14ac:dyDescent="0.2"/>
    <row r="1449" ht="12.75" customHeight="1" x14ac:dyDescent="0.2"/>
    <row r="1450" ht="12.75" customHeight="1" x14ac:dyDescent="0.2"/>
    <row r="1451" ht="12.75" customHeight="1" x14ac:dyDescent="0.2"/>
    <row r="1452" ht="12.75" customHeight="1" x14ac:dyDescent="0.2"/>
    <row r="1453" ht="12.75" customHeight="1" x14ac:dyDescent="0.2"/>
    <row r="1454" ht="12.75" customHeight="1" x14ac:dyDescent="0.2"/>
    <row r="1455" ht="12.75" customHeight="1" x14ac:dyDescent="0.2"/>
    <row r="1456" ht="12.75" customHeight="1" x14ac:dyDescent="0.2"/>
    <row r="1457" ht="12.75" customHeight="1" x14ac:dyDescent="0.2"/>
    <row r="1458" ht="12.75" customHeight="1" x14ac:dyDescent="0.2"/>
    <row r="1459" ht="12.75" customHeight="1" x14ac:dyDescent="0.2"/>
    <row r="1460" ht="12.75" customHeight="1" x14ac:dyDescent="0.2"/>
    <row r="1461" ht="12.75" customHeight="1" x14ac:dyDescent="0.2"/>
    <row r="1462" ht="12.75" customHeight="1" x14ac:dyDescent="0.2"/>
    <row r="1463" ht="12.75" customHeight="1" x14ac:dyDescent="0.2"/>
    <row r="1464" ht="12.75" customHeight="1" x14ac:dyDescent="0.2"/>
    <row r="1465" ht="12.75" customHeight="1" x14ac:dyDescent="0.2"/>
    <row r="1466" ht="12.75" customHeight="1" x14ac:dyDescent="0.2"/>
    <row r="1467" ht="12.75" customHeight="1" x14ac:dyDescent="0.2"/>
    <row r="1468" ht="12.75" customHeight="1" x14ac:dyDescent="0.2"/>
    <row r="1469" ht="12.75" customHeight="1" x14ac:dyDescent="0.2"/>
    <row r="1470" ht="12.75" customHeight="1" x14ac:dyDescent="0.2"/>
    <row r="1471" ht="12.75" customHeight="1" x14ac:dyDescent="0.2"/>
    <row r="1472" ht="12.75" customHeight="1" x14ac:dyDescent="0.2"/>
    <row r="1473" ht="12.75" customHeight="1" x14ac:dyDescent="0.2"/>
    <row r="1474" ht="12.75" customHeight="1" x14ac:dyDescent="0.2"/>
    <row r="1475" ht="12.75" customHeight="1" x14ac:dyDescent="0.2"/>
    <row r="1476" ht="12.75" customHeight="1" x14ac:dyDescent="0.2"/>
    <row r="1477" ht="12.75" customHeight="1" x14ac:dyDescent="0.2"/>
    <row r="1478" ht="12.75" customHeight="1" x14ac:dyDescent="0.2"/>
    <row r="1479" ht="12.75" customHeight="1" x14ac:dyDescent="0.2"/>
    <row r="1480" ht="12.75" customHeight="1" x14ac:dyDescent="0.2"/>
    <row r="1481" ht="12.75" customHeight="1" x14ac:dyDescent="0.2"/>
    <row r="1482" ht="12.75" customHeight="1" x14ac:dyDescent="0.2"/>
    <row r="1483" ht="12.75" customHeight="1" x14ac:dyDescent="0.2"/>
    <row r="1484" ht="12.75" customHeight="1" x14ac:dyDescent="0.2"/>
    <row r="1485" ht="12.75" customHeight="1" x14ac:dyDescent="0.2"/>
    <row r="1486" ht="12.75" customHeight="1" x14ac:dyDescent="0.2"/>
    <row r="1487" ht="12.75" customHeight="1" x14ac:dyDescent="0.2"/>
    <row r="1488" ht="12.75" customHeight="1" x14ac:dyDescent="0.2"/>
    <row r="1489" spans="27:27" ht="12.75" customHeight="1" x14ac:dyDescent="0.2"/>
    <row r="1490" spans="27:27" ht="12.75" customHeight="1" x14ac:dyDescent="0.2"/>
    <row r="1491" spans="27:27" ht="12.75" customHeight="1" x14ac:dyDescent="0.2"/>
    <row r="1492" spans="27:27" ht="12.75" customHeight="1" x14ac:dyDescent="0.2"/>
    <row r="1493" spans="27:27" ht="12.75" customHeight="1" x14ac:dyDescent="0.2"/>
    <row r="1494" spans="27:27" ht="12.75" customHeight="1" x14ac:dyDescent="0.2"/>
    <row r="1495" spans="27:27" ht="12.75" customHeight="1" x14ac:dyDescent="0.2"/>
    <row r="1496" spans="27:27" ht="12.75" customHeight="1" x14ac:dyDescent="0.2">
      <c r="AA1496" s="35" t="s">
        <v>22</v>
      </c>
    </row>
    <row r="1497" spans="27:27" ht="12.75" customHeight="1" x14ac:dyDescent="0.2"/>
    <row r="1498" spans="27:27" ht="12.75" customHeight="1" x14ac:dyDescent="0.2"/>
    <row r="1499" spans="27:27" ht="12.75" customHeight="1" x14ac:dyDescent="0.2"/>
    <row r="1500" spans="27:27" ht="12.75" customHeight="1" x14ac:dyDescent="0.2"/>
    <row r="1501" spans="27:27" ht="12.75" customHeight="1" x14ac:dyDescent="0.2"/>
    <row r="1502" spans="27:27" ht="12.75" customHeight="1" x14ac:dyDescent="0.2"/>
    <row r="1503" spans="27:27" ht="12.75" customHeight="1" x14ac:dyDescent="0.2"/>
    <row r="1504" spans="27:27" ht="12.75" customHeight="1" x14ac:dyDescent="0.2"/>
    <row r="1505" ht="12.75" customHeight="1" x14ac:dyDescent="0.2"/>
    <row r="1506" ht="12.75" customHeight="1" x14ac:dyDescent="0.2"/>
    <row r="1507" ht="12.75" customHeight="1" x14ac:dyDescent="0.2"/>
    <row r="1508" ht="12.75" customHeight="1" x14ac:dyDescent="0.2"/>
    <row r="1509" ht="12.75" customHeight="1" x14ac:dyDescent="0.2"/>
    <row r="1510" ht="12.75" customHeight="1" x14ac:dyDescent="0.2"/>
    <row r="1511" ht="12.75" customHeight="1" x14ac:dyDescent="0.2"/>
    <row r="1512" ht="12.75" customHeight="1" x14ac:dyDescent="0.2"/>
    <row r="1513" ht="12.75" customHeight="1" x14ac:dyDescent="0.2"/>
    <row r="1514" ht="12.75" customHeight="1" x14ac:dyDescent="0.2"/>
    <row r="1515" ht="12.75" customHeight="1" x14ac:dyDescent="0.2"/>
    <row r="1516" ht="12.75" customHeight="1" x14ac:dyDescent="0.2"/>
    <row r="1517" ht="12.75" customHeight="1" x14ac:dyDescent="0.2"/>
    <row r="1518" ht="12.75" customHeight="1" x14ac:dyDescent="0.2"/>
    <row r="1519" ht="12.75" customHeight="1" x14ac:dyDescent="0.2"/>
    <row r="1520" ht="12.75" customHeight="1" x14ac:dyDescent="0.2"/>
    <row r="1521" ht="12.75" customHeight="1" x14ac:dyDescent="0.2"/>
    <row r="1522" ht="12.75" customHeight="1" x14ac:dyDescent="0.2"/>
    <row r="1523" ht="12.75" customHeight="1" x14ac:dyDescent="0.2"/>
    <row r="1524" ht="12.75" customHeight="1" x14ac:dyDescent="0.2"/>
    <row r="1525" ht="12.75" customHeight="1" x14ac:dyDescent="0.2"/>
    <row r="1526" ht="12.75" customHeight="1" x14ac:dyDescent="0.2"/>
    <row r="1527" ht="12.75" customHeight="1" x14ac:dyDescent="0.2"/>
    <row r="1528" ht="12.75" customHeight="1" x14ac:dyDescent="0.2"/>
    <row r="1529" ht="12.75" customHeight="1" x14ac:dyDescent="0.2"/>
    <row r="1530" ht="12.75" customHeight="1" x14ac:dyDescent="0.2"/>
    <row r="1531" ht="12.75" customHeight="1" x14ac:dyDescent="0.2"/>
    <row r="1532" ht="12.75" customHeight="1" x14ac:dyDescent="0.2"/>
    <row r="1533" ht="12.75" customHeight="1" x14ac:dyDescent="0.2"/>
    <row r="1534" ht="12.75" customHeight="1" x14ac:dyDescent="0.2"/>
    <row r="1535" ht="12.75" customHeight="1" x14ac:dyDescent="0.2"/>
    <row r="1536" ht="12.75" customHeight="1" x14ac:dyDescent="0.2"/>
    <row r="1537" ht="12.75" customHeight="1" x14ac:dyDescent="0.2"/>
    <row r="1538" ht="12.75" customHeight="1" x14ac:dyDescent="0.2"/>
    <row r="1539" ht="12.75" customHeight="1" x14ac:dyDescent="0.2"/>
    <row r="1540" ht="12.75" customHeight="1" x14ac:dyDescent="0.2"/>
    <row r="1541" ht="12.75" customHeight="1" x14ac:dyDescent="0.2"/>
    <row r="1542" ht="12.75" customHeight="1" x14ac:dyDescent="0.2"/>
    <row r="1543" ht="12.75" customHeight="1" x14ac:dyDescent="0.2"/>
    <row r="1544" ht="12.75" customHeight="1" x14ac:dyDescent="0.2"/>
    <row r="1545" ht="12.75" customHeight="1" x14ac:dyDescent="0.2"/>
    <row r="1546" ht="12.75" customHeight="1" x14ac:dyDescent="0.2"/>
    <row r="1547" ht="12.75" customHeight="1" x14ac:dyDescent="0.2"/>
    <row r="1548" ht="12.75" customHeight="1" x14ac:dyDescent="0.2"/>
    <row r="1549" ht="12.75" customHeight="1" x14ac:dyDescent="0.2"/>
    <row r="1550" ht="12.75" customHeight="1" x14ac:dyDescent="0.2"/>
    <row r="1551" ht="12.75" customHeight="1" x14ac:dyDescent="0.2"/>
    <row r="1552" ht="12.75" customHeight="1" x14ac:dyDescent="0.2"/>
    <row r="1553" ht="12.75" customHeight="1" x14ac:dyDescent="0.2"/>
    <row r="1554" ht="12.75" customHeight="1" x14ac:dyDescent="0.2"/>
    <row r="1555" ht="12.75" customHeight="1" x14ac:dyDescent="0.2"/>
    <row r="1556" ht="12.75" customHeight="1" x14ac:dyDescent="0.2"/>
    <row r="1557" ht="12.75" customHeight="1" x14ac:dyDescent="0.2"/>
    <row r="1558" ht="12.75" customHeight="1" x14ac:dyDescent="0.2"/>
    <row r="1559" ht="12.75" customHeight="1" x14ac:dyDescent="0.2"/>
    <row r="1560" ht="12.75" customHeight="1" x14ac:dyDescent="0.2"/>
    <row r="1561" ht="12.75" customHeight="1" x14ac:dyDescent="0.2"/>
    <row r="1562" ht="12.75" customHeight="1" x14ac:dyDescent="0.2"/>
    <row r="1563" ht="12.75" customHeight="1" x14ac:dyDescent="0.2"/>
    <row r="1564" ht="12.75" customHeight="1" x14ac:dyDescent="0.2"/>
    <row r="1565" ht="12.75" customHeight="1" x14ac:dyDescent="0.2"/>
    <row r="1566" ht="12.75" customHeight="1" x14ac:dyDescent="0.2"/>
    <row r="1567" ht="12.75" customHeight="1" x14ac:dyDescent="0.2"/>
    <row r="1568" ht="12.75" customHeight="1" x14ac:dyDescent="0.2"/>
    <row r="1569" ht="12.75" customHeight="1" x14ac:dyDescent="0.2"/>
    <row r="1570" ht="12.75" customHeight="1" x14ac:dyDescent="0.2"/>
    <row r="1571" ht="12.75" customHeight="1" x14ac:dyDescent="0.2"/>
    <row r="1572" ht="12.75" customHeight="1" x14ac:dyDescent="0.2"/>
    <row r="1573" ht="12.75" customHeight="1" x14ac:dyDescent="0.2"/>
    <row r="1574" ht="12.75" customHeight="1" x14ac:dyDescent="0.2"/>
    <row r="1575" ht="12.75" customHeight="1" x14ac:dyDescent="0.2"/>
    <row r="1576" ht="12.75" customHeight="1" x14ac:dyDescent="0.2"/>
    <row r="1577" ht="12.75" customHeight="1" x14ac:dyDescent="0.2"/>
    <row r="1578" ht="12.75" customHeight="1" x14ac:dyDescent="0.2"/>
    <row r="1579" ht="12.75" customHeight="1" x14ac:dyDescent="0.2"/>
    <row r="1580" ht="12.75" customHeight="1" x14ac:dyDescent="0.2"/>
    <row r="1581" ht="12.75" customHeight="1" x14ac:dyDescent="0.2"/>
    <row r="1582" ht="12.75" customHeight="1" x14ac:dyDescent="0.2"/>
    <row r="1583" ht="12.75" customHeight="1" x14ac:dyDescent="0.2"/>
    <row r="1584" ht="12.75" customHeight="1" x14ac:dyDescent="0.2"/>
    <row r="1585" ht="12.75" customHeight="1" x14ac:dyDescent="0.2"/>
    <row r="1586" ht="12.75" customHeight="1" x14ac:dyDescent="0.2"/>
    <row r="1587" ht="12.75" customHeight="1" x14ac:dyDescent="0.2"/>
    <row r="1588" ht="12.75" customHeight="1" x14ac:dyDescent="0.2"/>
    <row r="1589" ht="12.75" customHeight="1" x14ac:dyDescent="0.2"/>
    <row r="1590" ht="12.75" customHeight="1" x14ac:dyDescent="0.2"/>
    <row r="1591" ht="12.75" customHeight="1" x14ac:dyDescent="0.2"/>
    <row r="1592" ht="12.75" customHeight="1" x14ac:dyDescent="0.2"/>
    <row r="1593" ht="12.75" customHeight="1" x14ac:dyDescent="0.2"/>
    <row r="1594" ht="12.75" customHeight="1" x14ac:dyDescent="0.2"/>
    <row r="1595" ht="12.75" customHeight="1" x14ac:dyDescent="0.2"/>
    <row r="1596" ht="12.75" customHeight="1" x14ac:dyDescent="0.2"/>
    <row r="1597" ht="12.75" customHeight="1" x14ac:dyDescent="0.2"/>
    <row r="1598" ht="12.75" customHeight="1" x14ac:dyDescent="0.2"/>
    <row r="1599" ht="12.75" customHeight="1" x14ac:dyDescent="0.2"/>
    <row r="1600" ht="12.75" customHeight="1" x14ac:dyDescent="0.2"/>
    <row r="1601" ht="12.75" customHeight="1" x14ac:dyDescent="0.2"/>
    <row r="1602" ht="12.75" customHeight="1" x14ac:dyDescent="0.2"/>
    <row r="1603" ht="12.75" customHeight="1" x14ac:dyDescent="0.2"/>
    <row r="1604" ht="12.75" customHeight="1" x14ac:dyDescent="0.2"/>
    <row r="1605" ht="12.75" customHeight="1" x14ac:dyDescent="0.2"/>
    <row r="1606" ht="12.75" customHeight="1" x14ac:dyDescent="0.2"/>
    <row r="1607" ht="12.75" customHeight="1" x14ac:dyDescent="0.2"/>
    <row r="1608" ht="12.75" customHeight="1" x14ac:dyDescent="0.2"/>
    <row r="1609" ht="12.75" customHeight="1" x14ac:dyDescent="0.2"/>
    <row r="1610" ht="12.75" customHeight="1" x14ac:dyDescent="0.2"/>
    <row r="1611" ht="12.75" customHeight="1" x14ac:dyDescent="0.2"/>
    <row r="1612" ht="12.75" customHeight="1" x14ac:dyDescent="0.2"/>
    <row r="1613" ht="12.75" customHeight="1" x14ac:dyDescent="0.2"/>
    <row r="1614" ht="12.75" customHeight="1" x14ac:dyDescent="0.2"/>
    <row r="1615" ht="12.75" customHeight="1" x14ac:dyDescent="0.2"/>
    <row r="1616" ht="12.75" customHeight="1" x14ac:dyDescent="0.2"/>
    <row r="1617" ht="12.75" customHeight="1" x14ac:dyDescent="0.2"/>
    <row r="1618" ht="12.75" customHeight="1" x14ac:dyDescent="0.2"/>
    <row r="1619" ht="12.75" customHeight="1" x14ac:dyDescent="0.2"/>
    <row r="1620" ht="12.75" customHeight="1" x14ac:dyDescent="0.2"/>
    <row r="1621" ht="12.75" customHeight="1" x14ac:dyDescent="0.2"/>
    <row r="1622" ht="12.75" customHeight="1" x14ac:dyDescent="0.2"/>
    <row r="1623" ht="12.75" customHeight="1" x14ac:dyDescent="0.2"/>
    <row r="1624" ht="12.75" customHeight="1" x14ac:dyDescent="0.2"/>
    <row r="1625" ht="12.75" customHeight="1" x14ac:dyDescent="0.2"/>
    <row r="1626" ht="12.75" customHeight="1" x14ac:dyDescent="0.2"/>
    <row r="1627" ht="12.75" customHeight="1" x14ac:dyDescent="0.2"/>
    <row r="1628" ht="12.75" customHeight="1" x14ac:dyDescent="0.2"/>
    <row r="1629" ht="12.75" customHeight="1" x14ac:dyDescent="0.2"/>
    <row r="1630" ht="12.75" customHeight="1" x14ac:dyDescent="0.2"/>
    <row r="1631" ht="12.75" customHeight="1" x14ac:dyDescent="0.2"/>
    <row r="1632" ht="12.75" customHeight="1" x14ac:dyDescent="0.2"/>
    <row r="1633" ht="12.75" customHeight="1" x14ac:dyDescent="0.2"/>
    <row r="1634" ht="12.75" customHeight="1" x14ac:dyDescent="0.2"/>
    <row r="1635" ht="12.75" customHeight="1" x14ac:dyDescent="0.2"/>
    <row r="1636" ht="12.75" customHeight="1" x14ac:dyDescent="0.2"/>
    <row r="1637" ht="12.75" customHeight="1" x14ac:dyDescent="0.2"/>
    <row r="1638" ht="12.75" customHeight="1" x14ac:dyDescent="0.2"/>
    <row r="1639" ht="12.75" customHeight="1" x14ac:dyDescent="0.2"/>
    <row r="1640" ht="12.75" customHeight="1" x14ac:dyDescent="0.2"/>
    <row r="1641" ht="12.75" customHeight="1" x14ac:dyDescent="0.2"/>
    <row r="1642" ht="12.75" customHeight="1" x14ac:dyDescent="0.2"/>
    <row r="1643" ht="12.75" customHeight="1" x14ac:dyDescent="0.2"/>
    <row r="1644" ht="12.75" customHeight="1" x14ac:dyDescent="0.2"/>
    <row r="1645" ht="12.75" customHeight="1" x14ac:dyDescent="0.2"/>
    <row r="1646" ht="12.75" customHeight="1" x14ac:dyDescent="0.2"/>
    <row r="1647" ht="12.75" customHeight="1" x14ac:dyDescent="0.2"/>
    <row r="1648" ht="12.75" customHeight="1" x14ac:dyDescent="0.2"/>
    <row r="1649" ht="12.75" customHeight="1" x14ac:dyDescent="0.2"/>
    <row r="1650" ht="12.75" customHeight="1" x14ac:dyDescent="0.2"/>
    <row r="1651" ht="12.75" customHeight="1" x14ac:dyDescent="0.2"/>
    <row r="1652" ht="12.75" customHeight="1" x14ac:dyDescent="0.2"/>
    <row r="1653" ht="12.75" customHeight="1" x14ac:dyDescent="0.2"/>
    <row r="1654" ht="12.75" customHeight="1" x14ac:dyDescent="0.2"/>
    <row r="1655" ht="12.75" customHeight="1" x14ac:dyDescent="0.2"/>
    <row r="1656" ht="12.75" customHeight="1" x14ac:dyDescent="0.2"/>
    <row r="1657" ht="12.75" customHeight="1" x14ac:dyDescent="0.2"/>
    <row r="1658" ht="12.75" customHeight="1" x14ac:dyDescent="0.2"/>
    <row r="1659" ht="12.75" customHeight="1" x14ac:dyDescent="0.2"/>
    <row r="1660" ht="12.75" customHeight="1" x14ac:dyDescent="0.2"/>
    <row r="1661" ht="12.75" customHeight="1" x14ac:dyDescent="0.2"/>
    <row r="1662" ht="12.75" customHeight="1" x14ac:dyDescent="0.2"/>
    <row r="1663" ht="12.75" customHeight="1" x14ac:dyDescent="0.2"/>
    <row r="1664" ht="12.75" customHeight="1" x14ac:dyDescent="0.2"/>
    <row r="1665" ht="12.75" customHeight="1" x14ac:dyDescent="0.2"/>
    <row r="1666" ht="12.75" customHeight="1" x14ac:dyDescent="0.2"/>
    <row r="1667" ht="12.75" customHeight="1" x14ac:dyDescent="0.2"/>
    <row r="1668" ht="12.75" customHeight="1" x14ac:dyDescent="0.2"/>
    <row r="1669" ht="12.75" customHeight="1" x14ac:dyDescent="0.2"/>
    <row r="1670" ht="12.75" customHeight="1" x14ac:dyDescent="0.2"/>
    <row r="1671" ht="12.75" customHeight="1" x14ac:dyDescent="0.2"/>
    <row r="1672" ht="12.75" customHeight="1" x14ac:dyDescent="0.2"/>
    <row r="1673" ht="12.75" customHeight="1" x14ac:dyDescent="0.2"/>
    <row r="1674" ht="12.75" customHeight="1" x14ac:dyDescent="0.2"/>
    <row r="1675" ht="12.75" customHeight="1" x14ac:dyDescent="0.2"/>
    <row r="1676" ht="12.75" customHeight="1" x14ac:dyDescent="0.2"/>
    <row r="1677" ht="12.75" customHeight="1" x14ac:dyDescent="0.2"/>
    <row r="1678" ht="12.75" customHeight="1" x14ac:dyDescent="0.2"/>
    <row r="1679" ht="12.75" customHeight="1" x14ac:dyDescent="0.2"/>
    <row r="1680" ht="12.75" customHeight="1" x14ac:dyDescent="0.2"/>
    <row r="1681" ht="12.75" customHeight="1" x14ac:dyDescent="0.2"/>
    <row r="1682" ht="12.75" customHeight="1" x14ac:dyDescent="0.2"/>
    <row r="1683" ht="12.75" customHeight="1" x14ac:dyDescent="0.2"/>
    <row r="1684" ht="12.75" customHeight="1" x14ac:dyDescent="0.2"/>
    <row r="1685" ht="12.75" customHeight="1" x14ac:dyDescent="0.2"/>
    <row r="1686" ht="12.75" customHeight="1" x14ac:dyDescent="0.2"/>
    <row r="1687" ht="12.75" customHeight="1" x14ac:dyDescent="0.2"/>
    <row r="1688" ht="12.75" customHeight="1" x14ac:dyDescent="0.2"/>
    <row r="1689" ht="12.75" customHeight="1" x14ac:dyDescent="0.2"/>
    <row r="1690" ht="12.75" customHeight="1" x14ac:dyDescent="0.2"/>
    <row r="1691" ht="12.75" customHeight="1" x14ac:dyDescent="0.2"/>
    <row r="1692" ht="12.75" customHeight="1" x14ac:dyDescent="0.2"/>
    <row r="1693" ht="12.75" customHeight="1" x14ac:dyDescent="0.2"/>
    <row r="1694" ht="12.75" customHeight="1" x14ac:dyDescent="0.2"/>
    <row r="1695" ht="12.75" customHeight="1" x14ac:dyDescent="0.2"/>
    <row r="1696" ht="12.75" customHeight="1" x14ac:dyDescent="0.2"/>
    <row r="1697" ht="12.75" customHeight="1" x14ac:dyDescent="0.2"/>
    <row r="1698" ht="12.75" customHeight="1" x14ac:dyDescent="0.2"/>
    <row r="1699" ht="12.75" customHeight="1" x14ac:dyDescent="0.2"/>
    <row r="1700" ht="12.75" customHeight="1" x14ac:dyDescent="0.2"/>
    <row r="1701" ht="12.75" customHeight="1" x14ac:dyDescent="0.2"/>
    <row r="1702" ht="12.75" customHeight="1" x14ac:dyDescent="0.2"/>
    <row r="1703" ht="12.75" customHeight="1" x14ac:dyDescent="0.2"/>
    <row r="1704" ht="12.75" customHeight="1" x14ac:dyDescent="0.2"/>
    <row r="1705" ht="12.75" customHeight="1" x14ac:dyDescent="0.2"/>
    <row r="1706" ht="12.75" customHeight="1" x14ac:dyDescent="0.2"/>
    <row r="1707" ht="12.75" customHeight="1" x14ac:dyDescent="0.2"/>
    <row r="1708" ht="12.75" customHeight="1" x14ac:dyDescent="0.2"/>
    <row r="1709" ht="12.75" customHeight="1" x14ac:dyDescent="0.2"/>
    <row r="1710" ht="12.75" customHeight="1" x14ac:dyDescent="0.2"/>
    <row r="1711" ht="12.75" customHeight="1" x14ac:dyDescent="0.2"/>
    <row r="1712" ht="12.75" customHeight="1" x14ac:dyDescent="0.2"/>
    <row r="1713" ht="12.75" customHeight="1" x14ac:dyDescent="0.2"/>
    <row r="1714" ht="12.75" customHeight="1" x14ac:dyDescent="0.2"/>
    <row r="1715" ht="12.75" customHeight="1" x14ac:dyDescent="0.2"/>
    <row r="1716" ht="12.75" customHeight="1" x14ac:dyDescent="0.2"/>
    <row r="1717" ht="12.75" customHeight="1" x14ac:dyDescent="0.2"/>
    <row r="1718" ht="12.75" customHeight="1" x14ac:dyDescent="0.2"/>
    <row r="1719" ht="12.75" customHeight="1" x14ac:dyDescent="0.2"/>
    <row r="1720" ht="12.75" customHeight="1" x14ac:dyDescent="0.2"/>
    <row r="1721" ht="12.75" customHeight="1" x14ac:dyDescent="0.2"/>
    <row r="1722" ht="12.75" customHeight="1" x14ac:dyDescent="0.2"/>
    <row r="1723" ht="12.75" customHeight="1" x14ac:dyDescent="0.2"/>
    <row r="1724" ht="12.75" customHeight="1" x14ac:dyDescent="0.2"/>
    <row r="1725" ht="12.75" customHeight="1" x14ac:dyDescent="0.2"/>
    <row r="1726" ht="12.75" customHeight="1" x14ac:dyDescent="0.2"/>
    <row r="1727" ht="12.75" customHeight="1" x14ac:dyDescent="0.2"/>
    <row r="1728" ht="12.75" customHeight="1" x14ac:dyDescent="0.2"/>
    <row r="1729" ht="12.75" customHeight="1" x14ac:dyDescent="0.2"/>
    <row r="1730" ht="12.75" customHeight="1" x14ac:dyDescent="0.2"/>
    <row r="1731" ht="12.75" customHeight="1" x14ac:dyDescent="0.2"/>
    <row r="1732" ht="12.75" customHeight="1" x14ac:dyDescent="0.2"/>
    <row r="1733" ht="12.75" customHeight="1" x14ac:dyDescent="0.2"/>
    <row r="1734" ht="12.75" customHeight="1" x14ac:dyDescent="0.2"/>
    <row r="1735" ht="12.75" customHeight="1" x14ac:dyDescent="0.2"/>
    <row r="1736" ht="12.75" customHeight="1" x14ac:dyDescent="0.2"/>
    <row r="1737" ht="12.75" customHeight="1" x14ac:dyDescent="0.2"/>
    <row r="1738" ht="12.75" customHeight="1" x14ac:dyDescent="0.2"/>
    <row r="1739" ht="12.75" customHeight="1" x14ac:dyDescent="0.2"/>
  </sheetData>
  <dataConsolidate/>
  <mergeCells count="2">
    <mergeCell ref="L5:L6"/>
    <mergeCell ref="M5:M6"/>
  </mergeCells>
  <phoneticPr fontId="0" type="noConversion"/>
  <printOptions gridLinesSet="0"/>
  <pageMargins left="0" right="0" top="0.56000000000000005" bottom="0" header="0" footer="0"/>
  <pageSetup paperSize="9" scale="10" orientation="landscape" horizontalDpi="4294967292" r:id="rId1"/>
  <headerFooter alignWithMargins="0">
    <oddHeader>&amp;A</oddHeader>
    <oddFooter>Page 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btnSpecialRequest">
          <controlPr defaultSize="0" autoLine="0" r:id="rId5">
            <anchor moveWithCells="1" sizeWithCells="1">
              <from>
                <xdr:col>20</xdr:col>
                <xdr:colOff>9525</xdr:colOff>
                <xdr:row>5</xdr:row>
                <xdr:rowOff>0</xdr:rowOff>
              </from>
              <to>
                <xdr:col>21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2049" r:id="rId4" name="btnSpecialRequest"/>
      </mc:Fallback>
    </mc:AlternateContent>
    <mc:AlternateContent xmlns:mc="http://schemas.openxmlformats.org/markup-compatibility/2006">
      <mc:Choice Requires="x14">
        <control shapeId="2050" r:id="rId6" name="btnOnOff">
          <controlPr defaultSize="0" autoLine="0" r:id="rId7">
            <anchor moveWithCells="1" sizeWithCells="1">
              <from>
                <xdr:col>19</xdr:col>
                <xdr:colOff>0</xdr:colOff>
                <xdr:row>5</xdr:row>
                <xdr:rowOff>0</xdr:rowOff>
              </from>
              <to>
                <xdr:col>20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2050" r:id="rId6" name="btnOnOff"/>
      </mc:Fallback>
    </mc:AlternateContent>
    <mc:AlternateContent xmlns:mc="http://schemas.openxmlformats.org/markup-compatibility/2006">
      <mc:Choice Requires="x14">
        <control shapeId="2051" r:id="rId8" name="btnDataDest">
          <controlPr defaultSize="0" autoLine="0" r:id="rId9">
            <anchor moveWithCells="1" sizeWithCells="1">
              <from>
                <xdr:col>9</xdr:col>
                <xdr:colOff>0</xdr:colOff>
                <xdr:row>3</xdr:row>
                <xdr:rowOff>190500</xdr:rowOff>
              </from>
              <to>
                <xdr:col>11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2051" r:id="rId8" name="btnDataDest"/>
      </mc:Fallback>
    </mc:AlternateContent>
    <mc:AlternateContent xmlns:mc="http://schemas.openxmlformats.org/markup-compatibility/2006">
      <mc:Choice Requires="x14">
        <control shapeId="2052" r:id="rId10" name="lstFreq">
          <controlPr defaultSize="0" autoLine="0" autoPict="0" r:id="rId11">
            <anchor moveWithCells="1" sizeWithCells="1">
              <from>
                <xdr:col>7</xdr:col>
                <xdr:colOff>752475</xdr:colOff>
                <xdr:row>5</xdr:row>
                <xdr:rowOff>28575</xdr:rowOff>
              </from>
              <to>
                <xdr:col>10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052" r:id="rId10" name="lstFreq"/>
      </mc:Fallback>
    </mc:AlternateContent>
    <mc:AlternateContent xmlns:mc="http://schemas.openxmlformats.org/markup-compatibility/2006">
      <mc:Choice Requires="x14">
        <control shapeId="2053" r:id="rId12" name="btnSCHLookup">
          <controlPr defaultSize="0" autoLine="0" r:id="rId13">
            <anchor moveWithCells="1" sizeWithCells="1">
              <from>
                <xdr:col>5</xdr:col>
                <xdr:colOff>2295525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19050</xdr:rowOff>
              </to>
            </anchor>
          </controlPr>
        </control>
      </mc:Choice>
      <mc:Fallback>
        <control shapeId="2053" r:id="rId12" name="btnSCHLookup"/>
      </mc:Fallback>
    </mc:AlternateContent>
    <mc:AlternateContent xmlns:mc="http://schemas.openxmlformats.org/markup-compatibility/2006">
      <mc:Choice Requires="x14">
        <control shapeId="2054" r:id="rId14" name="btnCAFLookup">
          <controlPr defaultSize="0" autoLine="0" r:id="rId15">
            <anchor moveWithCells="1" sizeWithCells="1">
              <from>
                <xdr:col>5</xdr:col>
                <xdr:colOff>1514475</xdr:colOff>
                <xdr:row>5</xdr:row>
                <xdr:rowOff>0</xdr:rowOff>
              </from>
              <to>
                <xdr:col>5</xdr:col>
                <xdr:colOff>2295525</xdr:colOff>
                <xdr:row>6</xdr:row>
                <xdr:rowOff>19050</xdr:rowOff>
              </to>
            </anchor>
          </controlPr>
        </control>
      </mc:Choice>
      <mc:Fallback>
        <control shapeId="2054" r:id="rId14" name="btnCAFLookup"/>
      </mc:Fallback>
    </mc:AlternateContent>
    <mc:AlternateContent xmlns:mc="http://schemas.openxmlformats.org/markup-compatibility/2006">
      <mc:Choice Requires="x14">
        <control shapeId="2055" r:id="rId16" name="btnExpressionsLookup">
          <controlPr defaultSize="0" autoLine="0" r:id="rId17">
            <anchor moveWithCells="1" sizeWithCells="1">
              <from>
                <xdr:col>5</xdr:col>
                <xdr:colOff>742950</xdr:colOff>
                <xdr:row>5</xdr:row>
                <xdr:rowOff>0</xdr:rowOff>
              </from>
              <to>
                <xdr:col>5</xdr:col>
                <xdr:colOff>1524000</xdr:colOff>
                <xdr:row>6</xdr:row>
                <xdr:rowOff>19050</xdr:rowOff>
              </to>
            </anchor>
          </controlPr>
        </control>
      </mc:Choice>
      <mc:Fallback>
        <control shapeId="2055" r:id="rId16" name="btnExpressionsLookup"/>
      </mc:Fallback>
    </mc:AlternateContent>
    <mc:AlternateContent xmlns:mc="http://schemas.openxmlformats.org/markup-compatibility/2006">
      <mc:Choice Requires="x14">
        <control shapeId="2056" r:id="rId18" name="btnDatatype">
          <controlPr defaultSize="0" autoLine="0" r:id="rId19">
            <anchor moveWithCells="1" sizeWithCells="1">
              <from>
                <xdr:col>4</xdr:col>
                <xdr:colOff>2343150</xdr:colOff>
                <xdr:row>5</xdr:row>
                <xdr:rowOff>0</xdr:rowOff>
              </from>
              <to>
                <xdr:col>5</xdr:col>
                <xdr:colOff>762000</xdr:colOff>
                <xdr:row>6</xdr:row>
                <xdr:rowOff>19050</xdr:rowOff>
              </to>
            </anchor>
          </controlPr>
        </control>
      </mc:Choice>
      <mc:Fallback>
        <control shapeId="2056" r:id="rId18" name="btnDatatype"/>
      </mc:Fallback>
    </mc:AlternateContent>
    <mc:AlternateContent xmlns:mc="http://schemas.openxmlformats.org/markup-compatibility/2006">
      <mc:Choice Requires="x14">
        <control shapeId="2057" r:id="rId20" name="btnListViewerLookup">
          <controlPr defaultSize="0" autoFill="0" autoLine="0" r:id="rId21">
            <anchor moveWithCells="1" sizeWithCells="1">
              <from>
                <xdr:col>4</xdr:col>
                <xdr:colOff>1190625</xdr:colOff>
                <xdr:row>5</xdr:row>
                <xdr:rowOff>0</xdr:rowOff>
              </from>
              <to>
                <xdr:col>5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2057" r:id="rId20" name="btnListViewerLookup"/>
      </mc:Fallback>
    </mc:AlternateContent>
    <mc:AlternateContent xmlns:mc="http://schemas.openxmlformats.org/markup-compatibility/2006">
      <mc:Choice Requires="x14">
        <control shapeId="2058" r:id="rId22" name="btnSeriesLookup">
          <controlPr defaultSize="0" autoLine="0" r:id="rId23">
            <anchor moveWithCells="1" sizeWithCells="1">
              <from>
                <xdr:col>4</xdr:col>
                <xdr:colOff>0</xdr:colOff>
                <xdr:row>5</xdr:row>
                <xdr:rowOff>0</xdr:rowOff>
              </from>
              <to>
                <xdr:col>4</xdr:col>
                <xdr:colOff>1190625</xdr:colOff>
                <xdr:row>6</xdr:row>
                <xdr:rowOff>19050</xdr:rowOff>
              </to>
            </anchor>
          </controlPr>
        </control>
      </mc:Choice>
      <mc:Fallback>
        <control shapeId="2058" r:id="rId22" name="btnSeriesLookup"/>
      </mc:Fallback>
    </mc:AlternateContent>
    <mc:AlternateContent xmlns:mc="http://schemas.openxmlformats.org/markup-compatibility/2006">
      <mc:Choice Requires="x14">
        <control shapeId="2059" r:id="rId24" name="btnSelectFormat">
          <controlPr defaultSize="0" autoLine="0" r:id="rId25">
            <anchor moveWithCells="1" sizeWithCells="1">
              <from>
                <xdr:col>2</xdr:col>
                <xdr:colOff>1752600</xdr:colOff>
                <xdr:row>5</xdr:row>
                <xdr:rowOff>0</xdr:rowOff>
              </from>
              <to>
                <xdr:col>4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2059" r:id="rId24" name="btnSelectFormat"/>
      </mc:Fallback>
    </mc:AlternateContent>
    <mc:AlternateContent xmlns:mc="http://schemas.openxmlformats.org/markup-compatibility/2006">
      <mc:Choice Requires="x14">
        <control shapeId="2060" r:id="rId26" name="btnSCH">
          <controlPr defaultSize="0" autoLine="0" r:id="rId27">
            <anchor moveWithCells="1" sizeWithCells="1">
              <from>
                <xdr:col>2</xdr:col>
                <xdr:colOff>1457325</xdr:colOff>
                <xdr:row>5</xdr:row>
                <xdr:rowOff>0</xdr:rowOff>
              </from>
              <to>
                <xdr:col>3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2060" r:id="rId26" name="btnSCH"/>
      </mc:Fallback>
    </mc:AlternateContent>
    <mc:AlternateContent xmlns:mc="http://schemas.openxmlformats.org/markup-compatibility/2006">
      <mc:Choice Requires="x14">
        <control shapeId="2061" r:id="rId28" name="btnCH">
          <controlPr defaultSize="0" autoLine="0" r:id="rId29">
            <anchor moveWithCells="1" sizeWithCells="1">
              <from>
                <xdr:col>2</xdr:col>
                <xdr:colOff>1190625</xdr:colOff>
                <xdr:row>5</xdr:row>
                <xdr:rowOff>0</xdr:rowOff>
              </from>
              <to>
                <xdr:col>2</xdr:col>
                <xdr:colOff>1466850</xdr:colOff>
                <xdr:row>6</xdr:row>
                <xdr:rowOff>19050</xdr:rowOff>
              </to>
            </anchor>
          </controlPr>
        </control>
      </mc:Choice>
      <mc:Fallback>
        <control shapeId="2061" r:id="rId28" name="btnCH"/>
      </mc:Fallback>
    </mc:AlternateContent>
    <mc:AlternateContent xmlns:mc="http://schemas.openxmlformats.org/markup-compatibility/2006">
      <mc:Choice Requires="x14">
        <control shapeId="2062" r:id="rId30" name="btnCAF">
          <controlPr defaultSize="0" autoLine="0" r:id="rId31">
            <anchor moveWithCells="1" sizeWithCells="1">
              <from>
                <xdr:col>2</xdr:col>
                <xdr:colOff>876300</xdr:colOff>
                <xdr:row>5</xdr:row>
                <xdr:rowOff>0</xdr:rowOff>
              </from>
              <to>
                <xdr:col>2</xdr:col>
                <xdr:colOff>1190625</xdr:colOff>
                <xdr:row>6</xdr:row>
                <xdr:rowOff>19050</xdr:rowOff>
              </to>
            </anchor>
          </controlPr>
        </control>
      </mc:Choice>
      <mc:Fallback>
        <control shapeId="2062" r:id="rId30" name="btnCAF"/>
      </mc:Fallback>
    </mc:AlternateContent>
    <mc:AlternateContent xmlns:mc="http://schemas.openxmlformats.org/markup-compatibility/2006">
      <mc:Choice Requires="x14">
        <control shapeId="2063" r:id="rId32" name="btnTSL">
          <controlPr defaultSize="0" autoLine="0" r:id="rId33">
            <anchor moveWithCells="1" sizeWithCells="1">
              <from>
                <xdr:col>2</xdr:col>
                <xdr:colOff>571500</xdr:colOff>
                <xdr:row>5</xdr:row>
                <xdr:rowOff>0</xdr:rowOff>
              </from>
              <to>
                <xdr:col>2</xdr:col>
                <xdr:colOff>876300</xdr:colOff>
                <xdr:row>6</xdr:row>
                <xdr:rowOff>19050</xdr:rowOff>
              </to>
            </anchor>
          </controlPr>
        </control>
      </mc:Choice>
      <mc:Fallback>
        <control shapeId="2063" r:id="rId32" name="btnTSL"/>
      </mc:Fallback>
    </mc:AlternateContent>
    <mc:AlternateContent xmlns:mc="http://schemas.openxmlformats.org/markup-compatibility/2006">
      <mc:Choice Requires="x14">
        <control shapeId="2064" r:id="rId34" name="btnTS">
          <controlPr defaultSize="0" autoLine="0" r:id="rId35">
            <anchor moveWithCells="1" sizeWithCells="1">
              <from>
                <xdr:col>2</xdr:col>
                <xdr:colOff>266700</xdr:colOff>
                <xdr:row>5</xdr:row>
                <xdr:rowOff>0</xdr:rowOff>
              </from>
              <to>
                <xdr:col>2</xdr:col>
                <xdr:colOff>581025</xdr:colOff>
                <xdr:row>6</xdr:row>
                <xdr:rowOff>19050</xdr:rowOff>
              </to>
            </anchor>
          </controlPr>
        </control>
      </mc:Choice>
      <mc:Fallback>
        <control shapeId="2064" r:id="rId34" name="btnTS"/>
      </mc:Fallback>
    </mc:AlternateContent>
    <mc:AlternateContent xmlns:mc="http://schemas.openxmlformats.org/markup-compatibility/2006">
      <mc:Choice Requires="x14">
        <control shapeId="2065" r:id="rId36" name="btnStatic">
          <controlPr defaultSize="0" autoLine="0" r:id="rId37">
            <anchor moveWithCells="1" sizeWithCells="1">
              <from>
                <xdr:col>1</xdr:col>
                <xdr:colOff>733425</xdr:colOff>
                <xdr:row>5</xdr:row>
                <xdr:rowOff>0</xdr:rowOff>
              </from>
              <to>
                <xdr:col>2</xdr:col>
                <xdr:colOff>295275</xdr:colOff>
                <xdr:row>6</xdr:row>
                <xdr:rowOff>19050</xdr:rowOff>
              </to>
            </anchor>
          </controlPr>
        </control>
      </mc:Choice>
      <mc:Fallback>
        <control shapeId="2065" r:id="rId36" name="btnStatic"/>
      </mc:Fallback>
    </mc:AlternateContent>
    <mc:AlternateContent xmlns:mc="http://schemas.openxmlformats.org/markup-compatibility/2006">
      <mc:Choice Requires="x14">
        <control shapeId="2066" r:id="rId38" name="btnN">
          <controlPr defaultSize="0" autoLine="0" r:id="rId39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1</xdr:col>
                <xdr:colOff>733425</xdr:colOff>
                <xdr:row>6</xdr:row>
                <xdr:rowOff>19050</xdr:rowOff>
              </to>
            </anchor>
          </controlPr>
        </control>
      </mc:Choice>
      <mc:Fallback>
        <control shapeId="2066" r:id="rId38" name="btnN"/>
      </mc:Fallback>
    </mc:AlternateContent>
    <mc:AlternateContent xmlns:mc="http://schemas.openxmlformats.org/markup-compatibility/2006">
      <mc:Choice Requires="x14">
        <control shapeId="2067" r:id="rId40" name="btnYesNo">
          <controlPr defaultSize="0" autoLine="0" r:id="rId41">
            <anchor moveWithCells="1" sizeWithCells="1">
              <from>
                <xdr:col>1</xdr:col>
                <xdr:colOff>180975</xdr:colOff>
                <xdr:row>5</xdr:row>
                <xdr:rowOff>0</xdr:rowOff>
              </from>
              <to>
                <xdr:col>1</xdr:col>
                <xdr:colOff>504825</xdr:colOff>
                <xdr:row>6</xdr:row>
                <xdr:rowOff>19050</xdr:rowOff>
              </to>
            </anchor>
          </controlPr>
        </control>
      </mc:Choice>
      <mc:Fallback>
        <control shapeId="2067" r:id="rId40" name="btnYesNo"/>
      </mc:Fallback>
    </mc:AlternateContent>
    <mc:AlternateContent xmlns:mc="http://schemas.openxmlformats.org/markup-compatibility/2006">
      <mc:Choice Requires="x14">
        <control shapeId="2068" r:id="rId42" name="btnY">
          <controlPr defaultSize="0" autoLine="0" r:id="rId4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19050</xdr:rowOff>
              </to>
            </anchor>
          </controlPr>
        </control>
      </mc:Choice>
      <mc:Fallback>
        <control shapeId="2068" r:id="rId42" name="btnY"/>
      </mc:Fallback>
    </mc:AlternateContent>
    <mc:AlternateContent xmlns:mc="http://schemas.openxmlformats.org/markup-compatibility/2006">
      <mc:Choice Requires="x14">
        <control shapeId="2069" r:id="rId44" name="Image1">
          <controlPr defaultSize="0" autoLine="0" r:id="rId45">
            <anchor>
              <from>
                <xdr:col>0</xdr:col>
                <xdr:colOff>190500</xdr:colOff>
                <xdr:row>0</xdr:row>
                <xdr:rowOff>104775</xdr:rowOff>
              </from>
              <to>
                <xdr:col>2</xdr:col>
                <xdr:colOff>1381125</xdr:colOff>
                <xdr:row>1</xdr:row>
                <xdr:rowOff>266700</xdr:rowOff>
              </to>
            </anchor>
          </controlPr>
        </control>
      </mc:Choice>
      <mc:Fallback>
        <control shapeId="2069" r:id="rId44" name="Image1"/>
      </mc:Fallback>
    </mc:AlternateContent>
    <mc:AlternateContent xmlns:mc="http://schemas.openxmlformats.org/markup-compatibility/2006">
      <mc:Choice Requires="x14">
        <control shapeId="2070" r:id="rId46" name="Image2">
          <controlPr defaultSize="0" autoLine="0" r:id="rId47">
            <anchor>
              <from>
                <xdr:col>2</xdr:col>
                <xdr:colOff>1476375</xdr:colOff>
                <xdr:row>0</xdr:row>
                <xdr:rowOff>114300</xdr:rowOff>
              </from>
              <to>
                <xdr:col>4</xdr:col>
                <xdr:colOff>1209675</xdr:colOff>
                <xdr:row>1</xdr:row>
                <xdr:rowOff>238125</xdr:rowOff>
              </to>
            </anchor>
          </controlPr>
        </control>
      </mc:Choice>
      <mc:Fallback>
        <control shapeId="2070" r:id="rId46" name="Image2"/>
      </mc:Fallback>
    </mc:AlternateContent>
    <mc:AlternateContent xmlns:mc="http://schemas.openxmlformats.org/markup-compatibility/2006">
      <mc:Choice Requires="x14">
        <control shapeId="2072" r:id="rId48" name="Label5">
          <controlPr defaultSize="0" autoLine="0" r:id="rId49">
            <anchor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1200150</xdr:colOff>
                <xdr:row>3</xdr:row>
                <xdr:rowOff>171450</xdr:rowOff>
              </to>
            </anchor>
          </controlPr>
        </control>
      </mc:Choice>
      <mc:Fallback>
        <control shapeId="2072" r:id="rId48" name="Label5"/>
      </mc:Fallback>
    </mc:AlternateContent>
    <mc:AlternateContent xmlns:mc="http://schemas.openxmlformats.org/markup-compatibility/2006">
      <mc:Choice Requires="x14">
        <control shapeId="2077" r:id="rId50" name="CodeToCell1">
          <controlPr defaultSize="0" autoLine="0" linkedCell="$E$9" r:id="rId51">
            <anchor>
              <from>
                <xdr:col>4</xdr:col>
                <xdr:colOff>1666875</xdr:colOff>
                <xdr:row>2</xdr:row>
                <xdr:rowOff>0</xdr:rowOff>
              </from>
              <to>
                <xdr:col>5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2077" r:id="rId50" name="CodeToCell1"/>
      </mc:Fallback>
    </mc:AlternateContent>
    <mc:AlternateContent xmlns:mc="http://schemas.openxmlformats.org/markup-compatibility/2006">
      <mc:Choice Requires="x14">
        <control shapeId="2080" r:id="rId52" name="TextBox1">
          <controlPr defaultSize="0" disabled="1" autoLine="0" r:id="rId53">
            <anchor>
              <from>
                <xdr:col>4</xdr:col>
                <xdr:colOff>1314450</xdr:colOff>
                <xdr:row>0</xdr:row>
                <xdr:rowOff>133350</xdr:rowOff>
              </from>
              <to>
                <xdr:col>4</xdr:col>
                <xdr:colOff>2333625</xdr:colOff>
                <xdr:row>1</xdr:row>
                <xdr:rowOff>114300</xdr:rowOff>
              </to>
            </anchor>
          </controlPr>
        </control>
      </mc:Choice>
      <mc:Fallback>
        <control shapeId="2080" r:id="rId52" name="TextBox1"/>
      </mc:Fallback>
    </mc:AlternateContent>
    <mc:AlternateContent xmlns:mc="http://schemas.openxmlformats.org/markup-compatibility/2006">
      <mc:Choice Requires="x14">
        <control shapeId="2081" r:id="rId54" name="ListFromCodes1">
          <controlPr defaultSize="0" autoLine="0" r:id="rId55">
            <anchor>
              <from>
                <xdr:col>5</xdr:col>
                <xdr:colOff>142875</xdr:colOff>
                <xdr:row>2</xdr:row>
                <xdr:rowOff>0</xdr:rowOff>
              </from>
              <to>
                <xdr:col>5</xdr:col>
                <xdr:colOff>419100</xdr:colOff>
                <xdr:row>2</xdr:row>
                <xdr:rowOff>228600</xdr:rowOff>
              </to>
            </anchor>
          </controlPr>
        </control>
      </mc:Choice>
      <mc:Fallback>
        <control shapeId="2081" r:id="rId54" name="ListFromCodes1"/>
      </mc:Fallback>
    </mc:AlternateContent>
    <mc:AlternateContent xmlns:mc="http://schemas.openxmlformats.org/markup-compatibility/2006">
      <mc:Choice Requires="x14">
        <control shapeId="2082" r:id="rId56" name="Label1">
          <controlPr defaultSize="0" autoLine="0" r:id="rId57">
            <anchor>
              <from>
                <xdr:col>5</xdr:col>
                <xdr:colOff>742950</xdr:colOff>
                <xdr:row>0</xdr:row>
                <xdr:rowOff>171450</xdr:rowOff>
              </from>
              <to>
                <xdr:col>5</xdr:col>
                <xdr:colOff>1809750</xdr:colOff>
                <xdr:row>1</xdr:row>
                <xdr:rowOff>114300</xdr:rowOff>
              </to>
            </anchor>
          </controlPr>
        </control>
      </mc:Choice>
      <mc:Fallback>
        <control shapeId="2082" r:id="rId56" name="Label1"/>
      </mc:Fallback>
    </mc:AlternateContent>
    <mc:AlternateContent xmlns:mc="http://schemas.openxmlformats.org/markup-compatibility/2006">
      <mc:Choice Requires="x14">
        <control shapeId="2083" r:id="rId58" name="Label4">
          <controlPr defaultSize="0" autoLine="0" r:id="rId59">
            <anchor>
              <from>
                <xdr:col>5</xdr:col>
                <xdr:colOff>742950</xdr:colOff>
                <xdr:row>1</xdr:row>
                <xdr:rowOff>142875</xdr:rowOff>
              </from>
              <to>
                <xdr:col>5</xdr:col>
                <xdr:colOff>1704975</xdr:colOff>
                <xdr:row>1</xdr:row>
                <xdr:rowOff>342900</xdr:rowOff>
              </to>
            </anchor>
          </controlPr>
        </control>
      </mc:Choice>
      <mc:Fallback>
        <control shapeId="2083" r:id="rId58" name="Label4"/>
      </mc:Fallback>
    </mc:AlternateContent>
    <mc:AlternateContent xmlns:mc="http://schemas.openxmlformats.org/markup-compatibility/2006">
      <mc:Choice Requires="x14">
        <control shapeId="2084" r:id="rId60" name="Label2">
          <controlPr defaultSize="0" autoLine="0" r:id="rId61">
            <anchor>
              <from>
                <xdr:col>5</xdr:col>
                <xdr:colOff>742950</xdr:colOff>
                <xdr:row>1</xdr:row>
                <xdr:rowOff>371475</xdr:rowOff>
              </from>
              <to>
                <xdr:col>5</xdr:col>
                <xdr:colOff>1628775</xdr:colOff>
                <xdr:row>2</xdr:row>
                <xdr:rowOff>114300</xdr:rowOff>
              </to>
            </anchor>
          </controlPr>
        </control>
      </mc:Choice>
      <mc:Fallback>
        <control shapeId="2084" r:id="rId60" name="Label2"/>
      </mc:Fallback>
    </mc:AlternateContent>
    <mc:AlternateContent xmlns:mc="http://schemas.openxmlformats.org/markup-compatibility/2006">
      <mc:Choice Requires="x14">
        <control shapeId="2085" r:id="rId62" name="TextBox2">
          <controlPr defaultSize="0" disabled="1" autoLine="0" r:id="rId63">
            <anchor>
              <from>
                <xdr:col>5</xdr:col>
                <xdr:colOff>1885950</xdr:colOff>
                <xdr:row>0</xdr:row>
                <xdr:rowOff>152400</xdr:rowOff>
              </from>
              <to>
                <xdr:col>5</xdr:col>
                <xdr:colOff>2990850</xdr:colOff>
                <xdr:row>1</xdr:row>
                <xdr:rowOff>95250</xdr:rowOff>
              </to>
            </anchor>
          </controlPr>
        </control>
      </mc:Choice>
      <mc:Fallback>
        <control shapeId="2085" r:id="rId62" name="TextBox2"/>
      </mc:Fallback>
    </mc:AlternateContent>
    <mc:AlternateContent xmlns:mc="http://schemas.openxmlformats.org/markup-compatibility/2006">
      <mc:Choice Requires="x14">
        <control shapeId="2086" r:id="rId64" name="txtMacroName">
          <controlPr locked="0" defaultSize="0" autoLine="0" r:id="rId63">
            <anchor>
              <from>
                <xdr:col>5</xdr:col>
                <xdr:colOff>1885950</xdr:colOff>
                <xdr:row>1</xdr:row>
                <xdr:rowOff>352425</xdr:rowOff>
              </from>
              <to>
                <xdr:col>5</xdr:col>
                <xdr:colOff>2990850</xdr:colOff>
                <xdr:row>2</xdr:row>
                <xdr:rowOff>95250</xdr:rowOff>
              </to>
            </anchor>
          </controlPr>
        </control>
      </mc:Choice>
      <mc:Fallback>
        <control shapeId="2086" r:id="rId64" name="txtMacroName"/>
      </mc:Fallback>
    </mc:AlternateContent>
    <mc:AlternateContent xmlns:mc="http://schemas.openxmlformats.org/markup-compatibility/2006">
      <mc:Choice Requires="x14">
        <control shapeId="2087" r:id="rId65" name="TxtPreRequestMacroName">
          <controlPr locked="0" defaultSize="0" autoLine="0" r:id="rId63">
            <anchor>
              <from>
                <xdr:col>5</xdr:col>
                <xdr:colOff>1885950</xdr:colOff>
                <xdr:row>1</xdr:row>
                <xdr:rowOff>123825</xdr:rowOff>
              </from>
              <to>
                <xdr:col>5</xdr:col>
                <xdr:colOff>2990850</xdr:colOff>
                <xdr:row>1</xdr:row>
                <xdr:rowOff>323850</xdr:rowOff>
              </to>
            </anchor>
          </controlPr>
        </control>
      </mc:Choice>
      <mc:Fallback>
        <control shapeId="2087" r:id="rId65" name="TxtPreRequestMacroName"/>
      </mc:Fallback>
    </mc:AlternateContent>
    <mc:AlternateContent xmlns:mc="http://schemas.openxmlformats.org/markup-compatibility/2006">
      <mc:Choice Requires="x14">
        <control shapeId="2101" r:id="rId66" name="lblTotalRequests">
          <controlPr defaultSize="0" autoLine="0" r:id="rId67">
            <anchor moveWithCells="1">
              <from>
                <xdr:col>11</xdr:col>
                <xdr:colOff>9525</xdr:colOff>
                <xdr:row>0</xdr:row>
                <xdr:rowOff>19050</xdr:rowOff>
              </from>
              <to>
                <xdr:col>12</xdr:col>
                <xdr:colOff>1581150</xdr:colOff>
                <xdr:row>0</xdr:row>
                <xdr:rowOff>200025</xdr:rowOff>
              </to>
            </anchor>
          </controlPr>
        </control>
      </mc:Choice>
      <mc:Fallback>
        <control shapeId="2101" r:id="rId66" name="lblTotalRequests"/>
      </mc:Fallback>
    </mc:AlternateContent>
    <mc:AlternateContent xmlns:mc="http://schemas.openxmlformats.org/markup-compatibility/2006">
      <mc:Choice Requires="x14">
        <control shapeId="2102" r:id="rId68" name="lblLiveRequests">
          <controlPr defaultSize="0" autoLine="0" r:id="rId69">
            <anchor moveWithCells="1">
              <from>
                <xdr:col>11</xdr:col>
                <xdr:colOff>9525</xdr:colOff>
                <xdr:row>1</xdr:row>
                <xdr:rowOff>9525</xdr:rowOff>
              </from>
              <to>
                <xdr:col>12</xdr:col>
                <xdr:colOff>1581150</xdr:colOff>
                <xdr:row>1</xdr:row>
                <xdr:rowOff>190500</xdr:rowOff>
              </to>
            </anchor>
          </controlPr>
        </control>
      </mc:Choice>
      <mc:Fallback>
        <control shapeId="2102" r:id="rId68" name="lblLiveRequests"/>
      </mc:Fallback>
    </mc:AlternateContent>
    <mc:AlternateContent xmlns:mc="http://schemas.openxmlformats.org/markup-compatibility/2006">
      <mc:Choice Requires="x14">
        <control shapeId="2103" r:id="rId70" name="lblTotalTimeTaken">
          <controlPr defaultSize="0" autoLine="0" r:id="rId71">
            <anchor moveWithCells="1">
              <from>
                <xdr:col>11</xdr:col>
                <xdr:colOff>0</xdr:colOff>
                <xdr:row>2</xdr:row>
                <xdr:rowOff>38100</xdr:rowOff>
              </from>
              <to>
                <xdr:col>12</xdr:col>
                <xdr:colOff>1571625</xdr:colOff>
                <xdr:row>2</xdr:row>
                <xdr:rowOff>219075</xdr:rowOff>
              </to>
            </anchor>
          </controlPr>
        </control>
      </mc:Choice>
      <mc:Fallback>
        <control shapeId="2103" r:id="rId70" name="lblTotalTimeTaken"/>
      </mc:Fallback>
    </mc:AlternateContent>
    <mc:AlternateContent xmlns:mc="http://schemas.openxmlformats.org/markup-compatibility/2006">
      <mc:Choice Requires="x14">
        <control shapeId="2071" r:id="rId72" name="btnUpdate">
          <controlPr defaultSize="0" autoFill="0" autoLine="0" autoPict="0" macro="[0]!StartProcessingRT">
            <anchor>
              <from>
                <xdr:col>1</xdr:col>
                <xdr:colOff>9525</xdr:colOff>
                <xdr:row>2</xdr:row>
                <xdr:rowOff>0</xdr:rowOff>
              </from>
              <to>
                <xdr:col>2</xdr:col>
                <xdr:colOff>209550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3" r:id="rId73" name="btnOptions">
          <controlPr defaultSize="0" print="0" autoFill="0" autoLine="0" autoPict="0" macro="[0]!AddTableToAFOIndex">
            <anchor>
              <from>
                <xdr:col>2</xdr:col>
                <xdr:colOff>390525</xdr:colOff>
                <xdr:row>2</xdr:row>
                <xdr:rowOff>0</xdr:rowOff>
              </from>
              <to>
                <xdr:col>2</xdr:col>
                <xdr:colOff>1343025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74" name="btnSchedule">
          <controlPr defaultSize="0" autoFill="0" autoLine="0" autoPict="0" macro="[0]!ScheduleIT">
            <anchor>
              <from>
                <xdr:col>2</xdr:col>
                <xdr:colOff>1495425</xdr:colOff>
                <xdr:row>2</xdr:row>
                <xdr:rowOff>0</xdr:rowOff>
              </from>
              <to>
                <xdr:col>3</xdr:col>
                <xdr:colOff>628650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75" name="Button 27">
          <controlPr defaultSize="0" autoFill="0" autoLine="0" autoPict="0" macro="[0]!call_options">
            <anchor>
              <from>
                <xdr:col>3</xdr:col>
                <xdr:colOff>752475</xdr:colOff>
                <xdr:row>2</xdr:row>
                <xdr:rowOff>0</xdr:rowOff>
              </from>
              <to>
                <xdr:col>4</xdr:col>
                <xdr:colOff>428625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6" r:id="rId76" name="Button 28">
          <controlPr defaultSize="0" autoFill="0" autoLine="0" autoPict="0" macro="[0]!MainHelp">
            <anchor>
              <from>
                <xdr:col>4</xdr:col>
                <xdr:colOff>609600</xdr:colOff>
                <xdr:row>2</xdr:row>
                <xdr:rowOff>0</xdr:rowOff>
              </from>
              <to>
                <xdr:col>4</xdr:col>
                <xdr:colOff>1438275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" r:id="rId77" name="chkRTCurrencyOption">
          <controlPr defaultSize="0" autoFill="0" autoLine="0" autoPict="0" macro="[0]!RTCurrencyOption">
            <anchor>
              <from>
                <xdr:col>6</xdr:col>
                <xdr:colOff>0</xdr:colOff>
                <xdr:row>0</xdr:row>
                <xdr:rowOff>57150</xdr:rowOff>
              </from>
              <to>
                <xdr:col>7</xdr:col>
                <xdr:colOff>714375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3" r:id="rId78" name="chkScrAutoRefresh">
          <controlPr defaultSize="0" autoFill="0" autoLine="0" autoPict="0" macro="[0]!chkScrAutoRefresh_Click">
            <anchor>
              <from>
                <xdr:col>6</xdr:col>
                <xdr:colOff>0</xdr:colOff>
                <xdr:row>1</xdr:row>
                <xdr:rowOff>142875</xdr:rowOff>
              </from>
              <to>
                <xdr:col>8</xdr:col>
                <xdr:colOff>695325</xdr:colOff>
                <xdr:row>1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4" r:id="rId79" name="chkShowStats">
          <controlPr defaultSize="0" autoFill="0" autoLine="0" autoPict="0" macro="[0]!Display_Details">
            <anchor>
              <from>
                <xdr:col>6</xdr:col>
                <xdr:colOff>0</xdr:colOff>
                <xdr:row>1</xdr:row>
                <xdr:rowOff>304800</xdr:rowOff>
              </from>
              <to>
                <xdr:col>8</xdr:col>
                <xdr:colOff>695325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5" r:id="rId80" name="link_data_destination">
          <controlPr defaultSize="0" autoFill="0" autoLine="0" autoPict="0" macro="[0]!StoreAsRef">
            <anchor>
              <from>
                <xdr:col>6</xdr:col>
                <xdr:colOff>0</xdr:colOff>
                <xdr:row>2</xdr:row>
                <xdr:rowOff>19050</xdr:rowOff>
              </from>
              <to>
                <xdr:col>8</xdr:col>
                <xdr:colOff>695325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81" name="chkR1C1DataDestination">
          <controlPr defaultSize="0" autoFill="0" autoLine="0" autoPict="0">
            <anchor>
              <from>
                <xdr:col>6</xdr:col>
                <xdr:colOff>0</xdr:colOff>
                <xdr:row>2</xdr:row>
                <xdr:rowOff>180975</xdr:rowOff>
              </from>
              <to>
                <xdr:col>8</xdr:col>
                <xdr:colOff>647700</xdr:colOff>
                <xdr:row>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6" r:id="rId82" name="chkFormatSeries">
          <controlPr defaultSize="0" autoFill="0" autoLine="0" autoPict="0" macro="[0]!FormatSeriesColumn">
            <anchor>
              <from>
                <xdr:col>6</xdr:col>
                <xdr:colOff>0</xdr:colOff>
                <xdr:row>0</xdr:row>
                <xdr:rowOff>228600</xdr:rowOff>
              </from>
              <to>
                <xdr:col>8</xdr:col>
                <xdr:colOff>352425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C4257"/>
  <sheetViews>
    <sheetView tabSelected="1" workbookViewId="0">
      <selection activeCell="A21" sqref="A21"/>
    </sheetView>
  </sheetViews>
  <sheetFormatPr defaultRowHeight="12.75" x14ac:dyDescent="0.2"/>
  <cols>
    <col min="4" max="4" width="9.140625" style="119"/>
    <col min="8" max="8" width="9.140625" style="119"/>
    <col min="9" max="9" width="1.85546875" customWidth="1"/>
    <col min="13" max="13" width="9.140625" style="126"/>
    <col min="17" max="17" width="9.140625" style="126"/>
    <col min="21" max="21" width="9.140625" style="126"/>
    <col min="25" max="25" width="9.140625" style="126"/>
    <col min="29" max="29" width="9.140625" style="126"/>
    <col min="32" max="32" width="10.7109375" style="129" customWidth="1"/>
    <col min="33" max="33" width="10.7109375" style="144" customWidth="1"/>
    <col min="34" max="35" width="10.7109375" style="142" customWidth="1"/>
    <col min="36" max="36" width="10.7109375" style="144" customWidth="1"/>
    <col min="37" max="38" width="10.7109375" style="142" customWidth="1"/>
    <col min="39" max="39" width="10.7109375" style="144" customWidth="1"/>
    <col min="40" max="41" width="10.7109375" style="142" customWidth="1"/>
    <col min="42" max="42" width="10.7109375" style="144" customWidth="1"/>
    <col min="43" max="44" width="10.7109375" style="142" customWidth="1"/>
    <col min="45" max="45" width="10.7109375" style="144" customWidth="1"/>
    <col min="46" max="47" width="10.7109375" style="142" customWidth="1"/>
    <col min="48" max="48" width="10.7109375" style="144" customWidth="1"/>
    <col min="49" max="49" width="10.7109375" style="142" customWidth="1"/>
    <col min="50" max="50" width="9.140625" style="142"/>
    <col min="52" max="54" width="9.140625" style="126"/>
    <col min="55" max="55" width="9.140625" style="141"/>
    <col min="56" max="58" width="9.140625" style="126"/>
    <col min="60" max="62" width="9.140625" style="126"/>
    <col min="66" max="66" width="11" bestFit="1" customWidth="1"/>
    <col min="72" max="73" width="9.140625" style="126"/>
    <col min="74" max="74" width="12.42578125" style="126" bestFit="1" customWidth="1"/>
  </cols>
  <sheetData>
    <row r="1" spans="1:81" x14ac:dyDescent="0.2">
      <c r="A1">
        <v>7.88</v>
      </c>
      <c r="B1" s="125">
        <v>98.2</v>
      </c>
      <c r="C1">
        <v>127.80000000000001</v>
      </c>
      <c r="D1" s="126">
        <f>A1-((B1-C1)/1000)</f>
        <v>7.9096000000000002</v>
      </c>
      <c r="E1">
        <v>3420</v>
      </c>
      <c r="F1">
        <v>5620</v>
      </c>
      <c r="G1">
        <v>2902</v>
      </c>
      <c r="H1" s="126">
        <f>(E1-(F1-G1))/1000</f>
        <v>0.70199999999999996</v>
      </c>
      <c r="J1">
        <v>-2.93</v>
      </c>
      <c r="K1">
        <v>7.71</v>
      </c>
      <c r="L1">
        <v>5.1100000000000003</v>
      </c>
      <c r="M1" s="126">
        <f>J1-(K1-L1)</f>
        <v>-5.5299999999999994</v>
      </c>
      <c r="N1">
        <v>-5160</v>
      </c>
      <c r="O1">
        <v>3638</v>
      </c>
      <c r="P1">
        <v>5543</v>
      </c>
      <c r="Q1" s="126">
        <f>(N1-(O1-P1))/1000</f>
        <v>-3.2549999999999999</v>
      </c>
      <c r="R1">
        <v>7.88</v>
      </c>
      <c r="S1">
        <v>59.57</v>
      </c>
      <c r="T1">
        <v>64.040000000000006</v>
      </c>
      <c r="U1" s="126">
        <f>R1-(S1-T1)</f>
        <v>12.350000000000005</v>
      </c>
      <c r="V1">
        <v>-17.95</v>
      </c>
      <c r="W1">
        <v>8.34</v>
      </c>
      <c r="X1">
        <v>8.48</v>
      </c>
      <c r="Y1" s="126">
        <f>V1-(W1-X1)</f>
        <v>-17.809999999999999</v>
      </c>
      <c r="Z1">
        <v>10.41</v>
      </c>
      <c r="AA1">
        <v>36.46</v>
      </c>
      <c r="AB1">
        <v>54.53</v>
      </c>
      <c r="AC1" s="126">
        <f>Z1-(AA1-AB1)</f>
        <v>28.48</v>
      </c>
      <c r="AF1" s="128">
        <v>37636</v>
      </c>
      <c r="AG1" s="144">
        <v>-584.08500000000004</v>
      </c>
      <c r="AH1" s="142">
        <f>SUM(AG1)/1000</f>
        <v>-0.58408500000000008</v>
      </c>
      <c r="AI1" s="142">
        <f t="shared" ref="AI1:AI32" si="0">AH1-$AH$130</f>
        <v>66.075026000000022</v>
      </c>
      <c r="AJ1" s="147">
        <f>AK1*1000</f>
        <v>-794.75749235906142</v>
      </c>
      <c r="AK1" s="143">
        <v>-0.79475749235906146</v>
      </c>
      <c r="AL1" s="142">
        <f t="shared" ref="AL1:AL32" si="1">AK1-$AK$130</f>
        <v>23.861033107398981</v>
      </c>
      <c r="AM1" s="144">
        <v>-3596.6000000000004</v>
      </c>
      <c r="AN1" s="142">
        <f>SUM(AM1)/1000</f>
        <v>-3.5966000000000005</v>
      </c>
      <c r="AO1" s="142">
        <f t="shared" ref="AO1:AO32" si="2">AN1-$AN$130</f>
        <v>84.597499999999997</v>
      </c>
      <c r="AP1" s="144">
        <v>-1409.3</v>
      </c>
      <c r="AQ1" s="145">
        <f>SUM(AP1)/1000</f>
        <v>-1.4093</v>
      </c>
      <c r="AR1" s="142">
        <f t="shared" ref="AR1:AR32" si="3">AQ1-$AQ$130</f>
        <v>81.926300000000012</v>
      </c>
      <c r="AS1" s="144">
        <v>-2949.39</v>
      </c>
      <c r="AT1" s="142">
        <f>SUM(AS1)/1000</f>
        <v>-2.9493899999999997</v>
      </c>
      <c r="AU1" s="142">
        <f t="shared" ref="AU1:AU32" si="4">AT1-$AT$130</f>
        <v>330.19905999999992</v>
      </c>
      <c r="AV1" s="144">
        <v>-512</v>
      </c>
      <c r="AW1" s="142">
        <f>SUM(AV1)/1000</f>
        <v>-0.51200000000000001</v>
      </c>
      <c r="AX1" s="142">
        <f t="shared" ref="AX1:AX32" si="5">AW1-$AW$130</f>
        <v>-571.02649999999994</v>
      </c>
      <c r="AZ1" s="126">
        <f>-D1</f>
        <v>-7.9096000000000002</v>
      </c>
      <c r="BA1" s="126">
        <f t="shared" ref="BA1:BA59" si="6">-AX1</f>
        <v>571.02649999999994</v>
      </c>
      <c r="BB1" s="126">
        <f t="shared" ref="BB1:BB59" si="7">AZ1-BA1</f>
        <v>-578.9360999999999</v>
      </c>
      <c r="BD1" s="126">
        <f>-M1</f>
        <v>5.5299999999999994</v>
      </c>
      <c r="BE1" s="126">
        <f>-AI1</f>
        <v>-66.075026000000022</v>
      </c>
      <c r="BF1" s="126">
        <f t="shared" ref="BF1:BF59" si="8">BE1-BD1</f>
        <v>-71.605026000000024</v>
      </c>
      <c r="BH1" s="126">
        <f>-Q1</f>
        <v>3.2549999999999999</v>
      </c>
      <c r="BI1" s="126">
        <f>-AL1</f>
        <v>-23.861033107398981</v>
      </c>
      <c r="BJ1" s="126">
        <f>BI1-BH1</f>
        <v>-27.11603310739898</v>
      </c>
      <c r="BL1" s="126">
        <f t="shared" ref="BL1:BL59" si="9">-U1</f>
        <v>-12.350000000000005</v>
      </c>
      <c r="BM1" s="126">
        <f t="shared" ref="BM1:BM59" si="10">-AO1</f>
        <v>-84.597499999999997</v>
      </c>
      <c r="BN1" s="126">
        <f t="shared" ref="BN1:BN59" si="11">BM1-BL1</f>
        <v>-72.247499999999988</v>
      </c>
      <c r="BP1" s="126">
        <f t="shared" ref="BP1:BP59" si="12">-Y1</f>
        <v>17.809999999999999</v>
      </c>
      <c r="BQ1" s="126">
        <f t="shared" ref="BQ1:BQ59" si="13">-AR1</f>
        <v>-81.926300000000012</v>
      </c>
      <c r="BR1" s="126">
        <f t="shared" ref="BR1:BR59" si="14">BQ1-BP1</f>
        <v>-99.736300000000014</v>
      </c>
      <c r="BT1" s="126">
        <f t="shared" ref="BT1:BT59" si="15">-AC1</f>
        <v>-28.48</v>
      </c>
      <c r="BU1" s="126">
        <f t="shared" ref="BU1:BU59" si="16">-AU1</f>
        <v>-330.19905999999992</v>
      </c>
      <c r="BV1" s="126">
        <f t="shared" ref="BV1:BV59" si="17">BU1-BT1</f>
        <v>-301.7190599999999</v>
      </c>
      <c r="CC1">
        <f>AC1+Y1+M1+Q1</f>
        <v>1.8850000000000025</v>
      </c>
    </row>
    <row r="2" spans="1:81" x14ac:dyDescent="0.2">
      <c r="A2">
        <v>11.73</v>
      </c>
      <c r="B2" s="125">
        <v>99.9</v>
      </c>
      <c r="C2">
        <v>131.70000000000002</v>
      </c>
      <c r="D2" s="126">
        <f t="shared" ref="D2:D65" si="18">A2-((B2-C2)/1000)</f>
        <v>11.761800000000001</v>
      </c>
      <c r="E2">
        <v>3486</v>
      </c>
      <c r="F2">
        <v>5718</v>
      </c>
      <c r="G2">
        <v>2934</v>
      </c>
      <c r="H2" s="126">
        <f t="shared" ref="H2:H65" si="19">(E2-(F2-G2))/1000</f>
        <v>0.70199999999999996</v>
      </c>
      <c r="J2">
        <v>-2.99</v>
      </c>
      <c r="K2">
        <v>7.84</v>
      </c>
      <c r="L2">
        <v>5.13</v>
      </c>
      <c r="M2" s="126">
        <f t="shared" ref="M2:M65" si="20">J2-(K2-L2)</f>
        <v>-5.7</v>
      </c>
      <c r="N2">
        <v>-4343</v>
      </c>
      <c r="O2">
        <v>3699</v>
      </c>
      <c r="P2">
        <v>5669</v>
      </c>
      <c r="Q2" s="126">
        <f t="shared" ref="Q2:Q65" si="21">(N2-(O2-P2))/1000</f>
        <v>-2.3730000000000002</v>
      </c>
      <c r="R2">
        <v>11.73</v>
      </c>
      <c r="S2">
        <v>60.58</v>
      </c>
      <c r="T2">
        <v>64.78</v>
      </c>
      <c r="U2" s="126">
        <f t="shared" ref="U2:U65" si="22">R2-(S2-T2)</f>
        <v>15.930000000000003</v>
      </c>
      <c r="V2">
        <v>-17.53</v>
      </c>
      <c r="W2">
        <v>8.48</v>
      </c>
      <c r="X2">
        <v>8.52</v>
      </c>
      <c r="Y2" s="126">
        <f t="shared" ref="Y2:Y65" si="23">V2-(W2-X2)</f>
        <v>-17.490000000000002</v>
      </c>
      <c r="Z2">
        <v>5.67</v>
      </c>
      <c r="AA2">
        <v>37.020000000000003</v>
      </c>
      <c r="AB2">
        <v>55.01</v>
      </c>
      <c r="AC2" s="126">
        <f t="shared" ref="AC2:AC65" si="24">Z2-(AA2-AB2)</f>
        <v>23.659999999999997</v>
      </c>
      <c r="AF2" s="128">
        <v>37667</v>
      </c>
      <c r="AG2" s="144">
        <v>-880.49800000000005</v>
      </c>
      <c r="AH2" s="142">
        <f>SUM($AG$1:AG2)/1000</f>
        <v>-1.4645830000000002</v>
      </c>
      <c r="AI2" s="142">
        <f t="shared" si="0"/>
        <v>65.19452800000002</v>
      </c>
      <c r="AJ2" s="147">
        <f t="shared" ref="AJ2:AJ65" si="25">AK2*1000</f>
        <v>-753</v>
      </c>
      <c r="AK2" s="143">
        <v>-0.753</v>
      </c>
      <c r="AL2" s="142">
        <f t="shared" si="1"/>
        <v>23.902790599758042</v>
      </c>
      <c r="AM2" s="144">
        <v>-1104.8</v>
      </c>
      <c r="AN2" s="142">
        <f>SUM($AM$1:AM2)/1000</f>
        <v>-4.7014000000000005</v>
      </c>
      <c r="AO2" s="142">
        <f t="shared" si="2"/>
        <v>83.492699999999985</v>
      </c>
      <c r="AP2" s="144">
        <v>-1213.5</v>
      </c>
      <c r="AQ2" s="145">
        <f>SUM($AP$1:AP2)/1000</f>
        <v>-2.6228000000000002</v>
      </c>
      <c r="AR2" s="142">
        <f t="shared" si="3"/>
        <v>80.712800000000016</v>
      </c>
      <c r="AS2" s="144">
        <v>-2741.91</v>
      </c>
      <c r="AT2" s="142">
        <f>SUM($AS$1:AS2)/1000</f>
        <v>-5.6912999999999991</v>
      </c>
      <c r="AU2" s="142">
        <f t="shared" si="4"/>
        <v>327.4571499999999</v>
      </c>
      <c r="AV2" s="144">
        <v>2508</v>
      </c>
      <c r="AW2" s="142">
        <f>SUM($AV$1:AV2)/1000</f>
        <v>1.996</v>
      </c>
      <c r="AX2" s="142">
        <f t="shared" si="5"/>
        <v>-568.51850000000002</v>
      </c>
      <c r="AZ2" s="126">
        <f t="shared" ref="AZ2:AZ65" si="26">-D2</f>
        <v>-11.761800000000001</v>
      </c>
      <c r="BA2" s="126">
        <f t="shared" si="6"/>
        <v>568.51850000000002</v>
      </c>
      <c r="BB2" s="126">
        <f t="shared" si="7"/>
        <v>-580.28030000000001</v>
      </c>
      <c r="BD2" s="126">
        <f t="shared" ref="BD2:BD65" si="27">-M2</f>
        <v>5.7</v>
      </c>
      <c r="BE2" s="126">
        <f t="shared" ref="BE2:BE65" si="28">-AI2</f>
        <v>-65.19452800000002</v>
      </c>
      <c r="BF2" s="126">
        <f t="shared" si="8"/>
        <v>-70.894528000000022</v>
      </c>
      <c r="BH2" s="126">
        <f t="shared" ref="BH2:BH65" si="29">-Q2</f>
        <v>2.3730000000000002</v>
      </c>
      <c r="BI2" s="126">
        <f t="shared" ref="BI2:BI65" si="30">-AL2</f>
        <v>-23.902790599758042</v>
      </c>
      <c r="BJ2" s="126">
        <f t="shared" ref="BJ2:BJ65" si="31">BI2-BH2</f>
        <v>-26.275790599758043</v>
      </c>
      <c r="BL2" s="126">
        <f t="shared" si="9"/>
        <v>-15.930000000000003</v>
      </c>
      <c r="BM2" s="126">
        <f t="shared" si="10"/>
        <v>-83.492699999999985</v>
      </c>
      <c r="BN2" s="126">
        <f t="shared" si="11"/>
        <v>-67.562699999999978</v>
      </c>
      <c r="BP2" s="126">
        <f t="shared" si="12"/>
        <v>17.490000000000002</v>
      </c>
      <c r="BQ2" s="126">
        <f t="shared" si="13"/>
        <v>-80.712800000000016</v>
      </c>
      <c r="BR2" s="126">
        <f t="shared" si="14"/>
        <v>-98.202800000000025</v>
      </c>
      <c r="BT2" s="126">
        <f t="shared" si="15"/>
        <v>-23.659999999999997</v>
      </c>
      <c r="BU2" s="126">
        <f t="shared" si="16"/>
        <v>-327.4571499999999</v>
      </c>
      <c r="BV2" s="126">
        <f t="shared" si="17"/>
        <v>-303.79714999999987</v>
      </c>
      <c r="CC2">
        <f t="shared" ref="CC2:CC65" si="32">AC2+Y2+M2+Q2</f>
        <v>-1.9030000000000058</v>
      </c>
    </row>
    <row r="3" spans="1:81" x14ac:dyDescent="0.2">
      <c r="A3">
        <v>11.69</v>
      </c>
      <c r="B3">
        <v>102</v>
      </c>
      <c r="C3">
        <v>135.30000000000001</v>
      </c>
      <c r="D3" s="126">
        <f t="shared" si="18"/>
        <v>11.7233</v>
      </c>
      <c r="E3">
        <v>3564</v>
      </c>
      <c r="F3">
        <v>5839</v>
      </c>
      <c r="G3">
        <v>2977</v>
      </c>
      <c r="H3" s="126">
        <f t="shared" si="19"/>
        <v>0.70199999999999996</v>
      </c>
      <c r="J3">
        <v>-3.15</v>
      </c>
      <c r="K3">
        <v>8</v>
      </c>
      <c r="L3">
        <v>5.16</v>
      </c>
      <c r="M3" s="126">
        <f t="shared" si="20"/>
        <v>-5.99</v>
      </c>
      <c r="N3">
        <v>-6744</v>
      </c>
      <c r="O3">
        <v>3773</v>
      </c>
      <c r="P3">
        <v>5819</v>
      </c>
      <c r="Q3" s="126">
        <f t="shared" si="21"/>
        <v>-4.6980000000000004</v>
      </c>
      <c r="R3">
        <v>11.69</v>
      </c>
      <c r="S3">
        <v>61.82</v>
      </c>
      <c r="T3">
        <v>65.97</v>
      </c>
      <c r="U3" s="126">
        <f t="shared" si="22"/>
        <v>15.839999999999998</v>
      </c>
      <c r="V3">
        <v>-16.07</v>
      </c>
      <c r="W3">
        <v>8.64</v>
      </c>
      <c r="X3">
        <v>8.82</v>
      </c>
      <c r="Y3" s="126">
        <f t="shared" si="23"/>
        <v>-15.89</v>
      </c>
      <c r="Z3">
        <v>6.15</v>
      </c>
      <c r="AA3">
        <v>37.71</v>
      </c>
      <c r="AB3">
        <v>55.9</v>
      </c>
      <c r="AC3" s="126">
        <f t="shared" si="24"/>
        <v>24.339999999999996</v>
      </c>
      <c r="AF3" s="128">
        <v>37695</v>
      </c>
      <c r="AG3" s="144">
        <v>-683.51200000000006</v>
      </c>
      <c r="AH3" s="142">
        <f>SUM($AG$1:AG3)/1000</f>
        <v>-2.1480950000000001</v>
      </c>
      <c r="AI3" s="142">
        <f t="shared" si="0"/>
        <v>64.511016000000026</v>
      </c>
      <c r="AJ3" s="147">
        <f t="shared" si="25"/>
        <v>-711.24250764093858</v>
      </c>
      <c r="AK3" s="143">
        <v>-0.71124250764093855</v>
      </c>
      <c r="AL3" s="142">
        <f t="shared" si="1"/>
        <v>23.944548092117103</v>
      </c>
      <c r="AM3" s="144">
        <v>-1799</v>
      </c>
      <c r="AN3" s="142">
        <f>SUM($AM$1:AM3)/1000</f>
        <v>-6.5004000000000008</v>
      </c>
      <c r="AO3" s="142">
        <f t="shared" si="2"/>
        <v>81.693699999999993</v>
      </c>
      <c r="AP3" s="144">
        <v>-1041.0999999999999</v>
      </c>
      <c r="AQ3" s="145">
        <f>SUM($AP$1:AP3)/1000</f>
        <v>-3.6638999999999999</v>
      </c>
      <c r="AR3" s="142">
        <f t="shared" si="3"/>
        <v>79.671700000000016</v>
      </c>
      <c r="AS3" s="144">
        <v>-3117.9</v>
      </c>
      <c r="AT3" s="142">
        <f>SUM($AS$1:AS3)/1000</f>
        <v>-8.8091999999999988</v>
      </c>
      <c r="AU3" s="142">
        <f t="shared" si="4"/>
        <v>324.33924999999994</v>
      </c>
      <c r="AV3" s="144">
        <v>4973</v>
      </c>
      <c r="AW3" s="142">
        <f>SUM($AV$1:AV3)/1000</f>
        <v>6.9690000000000003</v>
      </c>
      <c r="AX3" s="142">
        <f t="shared" si="5"/>
        <v>-563.54549999999995</v>
      </c>
      <c r="AZ3" s="126">
        <f t="shared" si="26"/>
        <v>-11.7233</v>
      </c>
      <c r="BA3" s="126">
        <f t="shared" si="6"/>
        <v>563.54549999999995</v>
      </c>
      <c r="BB3" s="126">
        <f t="shared" si="7"/>
        <v>-575.26879999999994</v>
      </c>
      <c r="BD3" s="126">
        <f t="shared" si="27"/>
        <v>5.99</v>
      </c>
      <c r="BE3" s="126">
        <f t="shared" si="28"/>
        <v>-64.511016000000026</v>
      </c>
      <c r="BF3" s="126">
        <f t="shared" si="8"/>
        <v>-70.501016000000021</v>
      </c>
      <c r="BH3" s="126">
        <f t="shared" si="29"/>
        <v>4.6980000000000004</v>
      </c>
      <c r="BI3" s="126">
        <f t="shared" si="30"/>
        <v>-23.944548092117103</v>
      </c>
      <c r="BJ3" s="126">
        <f t="shared" si="31"/>
        <v>-28.642548092117103</v>
      </c>
      <c r="BL3" s="126">
        <f t="shared" si="9"/>
        <v>-15.839999999999998</v>
      </c>
      <c r="BM3" s="126">
        <f t="shared" si="10"/>
        <v>-81.693699999999993</v>
      </c>
      <c r="BN3" s="126">
        <f t="shared" si="11"/>
        <v>-65.853699999999989</v>
      </c>
      <c r="BP3" s="126">
        <f t="shared" si="12"/>
        <v>15.89</v>
      </c>
      <c r="BQ3" s="126">
        <f t="shared" si="13"/>
        <v>-79.671700000000016</v>
      </c>
      <c r="BR3" s="126">
        <f t="shared" si="14"/>
        <v>-95.561700000000016</v>
      </c>
      <c r="BT3" s="126">
        <f t="shared" si="15"/>
        <v>-24.339999999999996</v>
      </c>
      <c r="BU3" s="126">
        <f t="shared" si="16"/>
        <v>-324.33924999999994</v>
      </c>
      <c r="BV3" s="126">
        <f t="shared" si="17"/>
        <v>-299.99924999999996</v>
      </c>
      <c r="CC3">
        <f t="shared" si="32"/>
        <v>-2.2380000000000049</v>
      </c>
    </row>
    <row r="4" spans="1:81" x14ac:dyDescent="0.2">
      <c r="A4">
        <v>2.8000000000000003</v>
      </c>
      <c r="B4">
        <v>105.7</v>
      </c>
      <c r="C4">
        <v>140</v>
      </c>
      <c r="D4" s="126">
        <f t="shared" si="18"/>
        <v>2.8343000000000003</v>
      </c>
      <c r="E4">
        <v>3604</v>
      </c>
      <c r="F4">
        <v>6054</v>
      </c>
      <c r="G4">
        <v>3152</v>
      </c>
      <c r="H4" s="126">
        <f t="shared" si="19"/>
        <v>0.70199999999999996</v>
      </c>
      <c r="J4">
        <v>-3.68</v>
      </c>
      <c r="K4">
        <v>8.2900000000000009</v>
      </c>
      <c r="L4">
        <v>5.3100000000000005</v>
      </c>
      <c r="M4" s="126">
        <f t="shared" si="20"/>
        <v>-6.66</v>
      </c>
      <c r="N4">
        <v>-6514</v>
      </c>
      <c r="O4">
        <v>3907</v>
      </c>
      <c r="P4">
        <v>6053</v>
      </c>
      <c r="Q4" s="126">
        <f t="shared" si="21"/>
        <v>-4.3680000000000003</v>
      </c>
      <c r="R4">
        <v>2.8000000000000003</v>
      </c>
      <c r="S4">
        <v>64.040000000000006</v>
      </c>
      <c r="T4">
        <v>68.23</v>
      </c>
      <c r="U4" s="126">
        <f t="shared" si="22"/>
        <v>6.9899999999999984</v>
      </c>
      <c r="V4">
        <v>-15.73</v>
      </c>
      <c r="W4">
        <v>8.9500000000000011</v>
      </c>
      <c r="X4">
        <v>9.9</v>
      </c>
      <c r="Y4" s="126">
        <f t="shared" si="23"/>
        <v>-14.780000000000001</v>
      </c>
      <c r="Z4">
        <v>7.34</v>
      </c>
      <c r="AA4">
        <v>39.03</v>
      </c>
      <c r="AB4">
        <v>57.35</v>
      </c>
      <c r="AC4" s="126">
        <f t="shared" si="24"/>
        <v>25.66</v>
      </c>
      <c r="AF4" s="128">
        <v>37726</v>
      </c>
      <c r="AG4" s="144">
        <v>-1171.1420000000001</v>
      </c>
      <c r="AH4" s="142">
        <f>SUM($AG$1:AG4)/1000</f>
        <v>-3.3192370000000002</v>
      </c>
      <c r="AI4" s="142">
        <f t="shared" si="0"/>
        <v>63.339874000000023</v>
      </c>
      <c r="AJ4" s="147">
        <f t="shared" si="25"/>
        <v>-678.80313455117323</v>
      </c>
      <c r="AK4" s="143">
        <v>-0.67880313455117325</v>
      </c>
      <c r="AL4" s="142">
        <f t="shared" si="1"/>
        <v>23.976987465206868</v>
      </c>
      <c r="AM4" s="144">
        <v>-1952.1000000000001</v>
      </c>
      <c r="AN4" s="142">
        <f>SUM($AM$1:AM4)/1000</f>
        <v>-8.4525000000000006</v>
      </c>
      <c r="AO4" s="142">
        <f t="shared" si="2"/>
        <v>79.741599999999991</v>
      </c>
      <c r="AP4" s="144">
        <v>-1343</v>
      </c>
      <c r="AQ4" s="145">
        <f>SUM($AP$1:AP4)/1000</f>
        <v>-5.0068999999999999</v>
      </c>
      <c r="AR4" s="142">
        <f t="shared" si="3"/>
        <v>78.328700000000012</v>
      </c>
      <c r="AS4" s="144">
        <v>-2256.0100000000002</v>
      </c>
      <c r="AT4" s="142">
        <f>SUM($AS$1:AS4)/1000</f>
        <v>-11.065209999999999</v>
      </c>
      <c r="AU4" s="142">
        <f t="shared" si="4"/>
        <v>322.08323999999993</v>
      </c>
      <c r="AV4" s="144">
        <v>753</v>
      </c>
      <c r="AW4" s="142">
        <f>SUM($AV$1:AV4)/1000</f>
        <v>7.7220000000000004</v>
      </c>
      <c r="AX4" s="142">
        <f t="shared" si="5"/>
        <v>-562.79250000000002</v>
      </c>
      <c r="AZ4" s="126">
        <f t="shared" si="26"/>
        <v>-2.8343000000000003</v>
      </c>
      <c r="BA4" s="126">
        <f t="shared" si="6"/>
        <v>562.79250000000002</v>
      </c>
      <c r="BB4" s="126">
        <f t="shared" si="7"/>
        <v>-565.6268</v>
      </c>
      <c r="BD4" s="126">
        <f t="shared" si="27"/>
        <v>6.66</v>
      </c>
      <c r="BE4" s="126">
        <f t="shared" si="28"/>
        <v>-63.339874000000023</v>
      </c>
      <c r="BF4" s="126">
        <f t="shared" si="8"/>
        <v>-69.99987400000002</v>
      </c>
      <c r="BH4" s="126">
        <f t="shared" si="29"/>
        <v>4.3680000000000003</v>
      </c>
      <c r="BI4" s="126">
        <f t="shared" si="30"/>
        <v>-23.976987465206868</v>
      </c>
      <c r="BJ4" s="126">
        <f t="shared" si="31"/>
        <v>-28.34498746520687</v>
      </c>
      <c r="BL4" s="126">
        <f t="shared" si="9"/>
        <v>-6.9899999999999984</v>
      </c>
      <c r="BM4" s="126">
        <f t="shared" si="10"/>
        <v>-79.741599999999991</v>
      </c>
      <c r="BN4" s="126">
        <f t="shared" si="11"/>
        <v>-72.751599999999996</v>
      </c>
      <c r="BP4" s="126">
        <f t="shared" si="12"/>
        <v>14.780000000000001</v>
      </c>
      <c r="BQ4" s="126">
        <f t="shared" si="13"/>
        <v>-78.328700000000012</v>
      </c>
      <c r="BR4" s="126">
        <f t="shared" si="14"/>
        <v>-93.108700000000013</v>
      </c>
      <c r="BT4" s="126">
        <f t="shared" si="15"/>
        <v>-25.66</v>
      </c>
      <c r="BU4" s="126">
        <f t="shared" si="16"/>
        <v>-322.08323999999993</v>
      </c>
      <c r="BV4" s="126">
        <f t="shared" si="17"/>
        <v>-296.42323999999991</v>
      </c>
      <c r="CC4">
        <f t="shared" si="32"/>
        <v>-0.14800000000000146</v>
      </c>
    </row>
    <row r="5" spans="1:81" x14ac:dyDescent="0.2">
      <c r="A5">
        <v>9.17</v>
      </c>
      <c r="B5">
        <v>107.30000000000001</v>
      </c>
      <c r="C5">
        <v>143.9</v>
      </c>
      <c r="D5" s="126">
        <f t="shared" si="18"/>
        <v>9.2065999999999999</v>
      </c>
      <c r="E5">
        <v>3549</v>
      </c>
      <c r="F5">
        <v>6140</v>
      </c>
      <c r="G5">
        <v>3293</v>
      </c>
      <c r="H5" s="126">
        <f t="shared" si="19"/>
        <v>0.70199999999999996</v>
      </c>
      <c r="J5">
        <v>-3.88</v>
      </c>
      <c r="K5">
        <v>8.41</v>
      </c>
      <c r="L5">
        <v>5.16</v>
      </c>
      <c r="M5" s="126">
        <f t="shared" si="20"/>
        <v>-7.13</v>
      </c>
      <c r="N5">
        <v>-6743</v>
      </c>
      <c r="O5">
        <v>3964</v>
      </c>
      <c r="P5">
        <v>6232</v>
      </c>
      <c r="Q5" s="126">
        <f t="shared" si="21"/>
        <v>-4.4749999999999996</v>
      </c>
      <c r="R5">
        <v>9.17</v>
      </c>
      <c r="S5">
        <v>64.94</v>
      </c>
      <c r="T5">
        <v>68.25</v>
      </c>
      <c r="U5" s="126">
        <f t="shared" si="22"/>
        <v>12.480000000000002</v>
      </c>
      <c r="V5">
        <v>-14.950000000000001</v>
      </c>
      <c r="W5">
        <v>9.08</v>
      </c>
      <c r="X5">
        <v>9.49</v>
      </c>
      <c r="Y5" s="126">
        <f t="shared" si="23"/>
        <v>-14.540000000000001</v>
      </c>
      <c r="Z5">
        <v>10.43</v>
      </c>
      <c r="AA5">
        <v>39.6</v>
      </c>
      <c r="AB5">
        <v>57.54</v>
      </c>
      <c r="AC5" s="126">
        <f t="shared" si="24"/>
        <v>28.369999999999997</v>
      </c>
      <c r="AF5" s="128">
        <v>37756</v>
      </c>
      <c r="AG5" s="144">
        <v>-688.50200000000007</v>
      </c>
      <c r="AH5" s="142">
        <f>SUM($AG$1:AG5)/1000</f>
        <v>-4.0077389999999999</v>
      </c>
      <c r="AI5" s="142">
        <f t="shared" si="0"/>
        <v>62.651372000000023</v>
      </c>
      <c r="AJ5" s="147">
        <f t="shared" si="25"/>
        <v>-665</v>
      </c>
      <c r="AK5" s="143">
        <v>-0.66500000000000004</v>
      </c>
      <c r="AL5" s="142">
        <f t="shared" si="1"/>
        <v>23.990790599758043</v>
      </c>
      <c r="AM5" s="144">
        <v>-1559.7</v>
      </c>
      <c r="AN5" s="142">
        <f>SUM($AM$1:AM5)/1000</f>
        <v>-10.0122</v>
      </c>
      <c r="AO5" s="142">
        <f t="shared" si="2"/>
        <v>78.181899999999985</v>
      </c>
      <c r="AP5" s="144">
        <v>-846.4</v>
      </c>
      <c r="AQ5" s="145">
        <f>SUM($AP$1:AP5)/1000</f>
        <v>-5.8532999999999991</v>
      </c>
      <c r="AR5" s="142">
        <f t="shared" si="3"/>
        <v>77.482300000000009</v>
      </c>
      <c r="AS5" s="144">
        <v>-1996.41</v>
      </c>
      <c r="AT5" s="142">
        <f>SUM($AS$1:AS5)/1000</f>
        <v>-13.06162</v>
      </c>
      <c r="AU5" s="142">
        <f t="shared" si="4"/>
        <v>320.08682999999991</v>
      </c>
      <c r="AV5" s="144">
        <v>1149</v>
      </c>
      <c r="AW5" s="142">
        <f>SUM($AV$1:AV5)/1000</f>
        <v>8.8710000000000004</v>
      </c>
      <c r="AX5" s="142">
        <f t="shared" si="5"/>
        <v>-561.64350000000002</v>
      </c>
      <c r="AZ5" s="126">
        <f t="shared" si="26"/>
        <v>-9.2065999999999999</v>
      </c>
      <c r="BA5" s="126">
        <f t="shared" si="6"/>
        <v>561.64350000000002</v>
      </c>
      <c r="BB5" s="126">
        <f t="shared" si="7"/>
        <v>-570.8501</v>
      </c>
      <c r="BD5" s="126">
        <f t="shared" si="27"/>
        <v>7.13</v>
      </c>
      <c r="BE5" s="126">
        <f t="shared" si="28"/>
        <v>-62.651372000000023</v>
      </c>
      <c r="BF5" s="126">
        <f t="shared" si="8"/>
        <v>-69.781372000000019</v>
      </c>
      <c r="BH5" s="126">
        <f t="shared" si="29"/>
        <v>4.4749999999999996</v>
      </c>
      <c r="BI5" s="126">
        <f t="shared" si="30"/>
        <v>-23.990790599758043</v>
      </c>
      <c r="BJ5" s="126">
        <f t="shared" si="31"/>
        <v>-28.465790599758044</v>
      </c>
      <c r="BL5" s="126">
        <f t="shared" si="9"/>
        <v>-12.480000000000002</v>
      </c>
      <c r="BM5" s="126">
        <f t="shared" si="10"/>
        <v>-78.181899999999985</v>
      </c>
      <c r="BN5" s="126">
        <f t="shared" si="11"/>
        <v>-65.701899999999981</v>
      </c>
      <c r="BP5" s="126">
        <f t="shared" si="12"/>
        <v>14.540000000000001</v>
      </c>
      <c r="BQ5" s="126">
        <f t="shared" si="13"/>
        <v>-77.482300000000009</v>
      </c>
      <c r="BR5" s="126">
        <f t="shared" si="14"/>
        <v>-92.022300000000016</v>
      </c>
      <c r="BT5" s="126">
        <f t="shared" si="15"/>
        <v>-28.369999999999997</v>
      </c>
      <c r="BU5" s="126">
        <f t="shared" si="16"/>
        <v>-320.08682999999991</v>
      </c>
      <c r="BV5" s="126">
        <f t="shared" si="17"/>
        <v>-291.7168299999999</v>
      </c>
      <c r="CC5">
        <f t="shared" si="32"/>
        <v>2.224999999999997</v>
      </c>
    </row>
    <row r="6" spans="1:81" x14ac:dyDescent="0.2">
      <c r="A6">
        <v>19.71</v>
      </c>
      <c r="B6">
        <v>109.4</v>
      </c>
      <c r="C6">
        <v>146.6</v>
      </c>
      <c r="D6" s="126">
        <f t="shared" si="18"/>
        <v>19.747199999999999</v>
      </c>
      <c r="E6">
        <v>3618</v>
      </c>
      <c r="F6">
        <v>6258</v>
      </c>
      <c r="G6">
        <v>3340</v>
      </c>
      <c r="H6" s="126">
        <f t="shared" si="19"/>
        <v>0.7</v>
      </c>
      <c r="J6">
        <v>-2.7800000000000002</v>
      </c>
      <c r="K6">
        <v>8.57</v>
      </c>
      <c r="L6">
        <v>5.22</v>
      </c>
      <c r="M6" s="126">
        <f t="shared" si="20"/>
        <v>-6.1300000000000008</v>
      </c>
      <c r="N6">
        <v>-7430</v>
      </c>
      <c r="O6">
        <v>4036</v>
      </c>
      <c r="P6">
        <v>6398</v>
      </c>
      <c r="Q6" s="126">
        <f t="shared" si="21"/>
        <v>-5.0679999999999996</v>
      </c>
      <c r="R6">
        <v>19.71</v>
      </c>
      <c r="S6">
        <v>66.14</v>
      </c>
      <c r="T6">
        <v>68.900000000000006</v>
      </c>
      <c r="U6" s="126">
        <f t="shared" si="22"/>
        <v>22.470000000000006</v>
      </c>
      <c r="V6">
        <v>-15.65</v>
      </c>
      <c r="W6">
        <v>9.25</v>
      </c>
      <c r="X6">
        <v>9.68</v>
      </c>
      <c r="Y6" s="126">
        <f t="shared" si="23"/>
        <v>-15.22</v>
      </c>
      <c r="Z6">
        <v>7.82</v>
      </c>
      <c r="AA6">
        <v>40.35</v>
      </c>
      <c r="AB6">
        <v>59.29</v>
      </c>
      <c r="AC6" s="126">
        <f t="shared" si="24"/>
        <v>26.759999999999998</v>
      </c>
      <c r="AF6" s="128">
        <v>37787</v>
      </c>
      <c r="AG6" s="144">
        <v>-1005.715</v>
      </c>
      <c r="AH6" s="142">
        <f>SUM($AG$1:AG6)/1000</f>
        <v>-5.0134539999999994</v>
      </c>
      <c r="AI6" s="142">
        <f t="shared" si="0"/>
        <v>61.645657000000028</v>
      </c>
      <c r="AJ6" s="147">
        <f t="shared" si="25"/>
        <v>-669.27754843186347</v>
      </c>
      <c r="AK6" s="143">
        <v>-0.66927754843186349</v>
      </c>
      <c r="AL6" s="142">
        <f t="shared" si="1"/>
        <v>23.986513051326178</v>
      </c>
      <c r="AM6" s="144">
        <v>-3181.2000000000003</v>
      </c>
      <c r="AN6" s="142">
        <f>SUM($AM$1:AM6)/1000</f>
        <v>-13.193400000000002</v>
      </c>
      <c r="AO6" s="142">
        <f t="shared" si="2"/>
        <v>75.000699999999995</v>
      </c>
      <c r="AP6" s="144">
        <v>-818.7</v>
      </c>
      <c r="AQ6" s="145">
        <f>SUM($AP$1:AP6)/1000</f>
        <v>-6.6719999999999988</v>
      </c>
      <c r="AR6" s="142">
        <f t="shared" si="3"/>
        <v>76.663600000000017</v>
      </c>
      <c r="AS6" s="144">
        <v>-2229.54</v>
      </c>
      <c r="AT6" s="142">
        <f>SUM($AS$1:AS6)/1000</f>
        <v>-15.29116</v>
      </c>
      <c r="AU6" s="142">
        <f t="shared" si="4"/>
        <v>317.85728999999992</v>
      </c>
      <c r="AV6" s="144">
        <v>2839</v>
      </c>
      <c r="AW6" s="142">
        <f>SUM($AV$1:AV6)/1000</f>
        <v>11.71</v>
      </c>
      <c r="AX6" s="142">
        <f t="shared" si="5"/>
        <v>-558.80449999999996</v>
      </c>
      <c r="AZ6" s="126">
        <f t="shared" si="26"/>
        <v>-19.747199999999999</v>
      </c>
      <c r="BA6" s="126">
        <f t="shared" si="6"/>
        <v>558.80449999999996</v>
      </c>
      <c r="BB6" s="126">
        <f t="shared" si="7"/>
        <v>-578.55169999999998</v>
      </c>
      <c r="BD6" s="126">
        <f t="shared" si="27"/>
        <v>6.1300000000000008</v>
      </c>
      <c r="BE6" s="126">
        <f t="shared" si="28"/>
        <v>-61.645657000000028</v>
      </c>
      <c r="BF6" s="126">
        <f t="shared" si="8"/>
        <v>-67.775657000000024</v>
      </c>
      <c r="BH6" s="126">
        <f t="shared" si="29"/>
        <v>5.0679999999999996</v>
      </c>
      <c r="BI6" s="126">
        <f t="shared" si="30"/>
        <v>-23.986513051326178</v>
      </c>
      <c r="BJ6" s="126">
        <f t="shared" si="31"/>
        <v>-29.054513051326175</v>
      </c>
      <c r="BL6" s="126">
        <f t="shared" si="9"/>
        <v>-22.470000000000006</v>
      </c>
      <c r="BM6" s="126">
        <f t="shared" si="10"/>
        <v>-75.000699999999995</v>
      </c>
      <c r="BN6" s="126">
        <f t="shared" si="11"/>
        <v>-52.530699999999989</v>
      </c>
      <c r="BP6" s="126">
        <f t="shared" si="12"/>
        <v>15.22</v>
      </c>
      <c r="BQ6" s="126">
        <f t="shared" si="13"/>
        <v>-76.663600000000017</v>
      </c>
      <c r="BR6" s="126">
        <f t="shared" si="14"/>
        <v>-91.883600000000015</v>
      </c>
      <c r="BT6" s="126">
        <f t="shared" si="15"/>
        <v>-26.759999999999998</v>
      </c>
      <c r="BU6" s="126">
        <f t="shared" si="16"/>
        <v>-317.85728999999992</v>
      </c>
      <c r="BV6" s="126">
        <f t="shared" si="17"/>
        <v>-291.09728999999993</v>
      </c>
      <c r="CC6">
        <f t="shared" si="32"/>
        <v>0.34199999999999697</v>
      </c>
    </row>
    <row r="7" spans="1:81" x14ac:dyDescent="0.2">
      <c r="A7">
        <v>15.450000000000001</v>
      </c>
      <c r="B7">
        <v>112.7</v>
      </c>
      <c r="C7">
        <v>151.1</v>
      </c>
      <c r="D7" s="126">
        <f t="shared" si="18"/>
        <v>15.4884</v>
      </c>
      <c r="E7">
        <v>3704</v>
      </c>
      <c r="F7">
        <v>6457</v>
      </c>
      <c r="G7">
        <v>3454</v>
      </c>
      <c r="H7" s="126">
        <f t="shared" si="19"/>
        <v>0.70099999999999996</v>
      </c>
      <c r="J7">
        <v>-3.33</v>
      </c>
      <c r="K7">
        <v>8.83</v>
      </c>
      <c r="L7">
        <v>5.5600000000000005</v>
      </c>
      <c r="M7" s="126">
        <f t="shared" si="20"/>
        <v>-6.6</v>
      </c>
      <c r="N7">
        <v>-11663</v>
      </c>
      <c r="O7">
        <v>4158</v>
      </c>
      <c r="P7">
        <v>6790</v>
      </c>
      <c r="Q7" s="126">
        <f t="shared" si="21"/>
        <v>-9.0310000000000006</v>
      </c>
      <c r="R7">
        <v>15.450000000000001</v>
      </c>
      <c r="S7">
        <v>68.19</v>
      </c>
      <c r="T7">
        <v>71.25</v>
      </c>
      <c r="U7" s="126">
        <f t="shared" si="22"/>
        <v>18.510000000000005</v>
      </c>
      <c r="V7">
        <v>-15.3</v>
      </c>
      <c r="W7">
        <v>9.5299999999999994</v>
      </c>
      <c r="X7">
        <v>9.84</v>
      </c>
      <c r="Y7" s="126">
        <f t="shared" si="23"/>
        <v>-14.99</v>
      </c>
      <c r="Z7">
        <v>6.11</v>
      </c>
      <c r="AA7">
        <v>41.61</v>
      </c>
      <c r="AB7">
        <v>60.72</v>
      </c>
      <c r="AC7" s="126">
        <f t="shared" si="24"/>
        <v>25.22</v>
      </c>
      <c r="AF7" s="128">
        <v>37817</v>
      </c>
      <c r="AG7" s="144">
        <v>184.43</v>
      </c>
      <c r="AH7" s="142">
        <f>SUM($AG$1:AG7)/1000</f>
        <v>-4.8290239999999995</v>
      </c>
      <c r="AI7" s="142">
        <f t="shared" si="0"/>
        <v>61.830087000000027</v>
      </c>
      <c r="AJ7" s="147">
        <f t="shared" si="25"/>
        <v>-651.58552499180144</v>
      </c>
      <c r="AK7" s="143">
        <v>-0.65158552499180145</v>
      </c>
      <c r="AL7" s="142">
        <f t="shared" si="1"/>
        <v>24.00420507476624</v>
      </c>
      <c r="AM7" s="144">
        <v>3463.5</v>
      </c>
      <c r="AN7" s="142">
        <f>SUM($AM$1:AM7)/1000</f>
        <v>-9.7299000000000007</v>
      </c>
      <c r="AO7" s="142">
        <f t="shared" si="2"/>
        <v>78.464199999999991</v>
      </c>
      <c r="AP7" s="144">
        <v>-221.20000000000002</v>
      </c>
      <c r="AQ7" s="145">
        <f>SUM($AP$1:AP7)/1000</f>
        <v>-6.8931999999999993</v>
      </c>
      <c r="AR7" s="142">
        <f t="shared" si="3"/>
        <v>76.442400000000021</v>
      </c>
      <c r="AS7" s="144">
        <v>-2874.65</v>
      </c>
      <c r="AT7" s="142">
        <f>SUM($AS$1:AS7)/1000</f>
        <v>-18.16581</v>
      </c>
      <c r="AU7" s="142">
        <f t="shared" si="4"/>
        <v>314.98263999999989</v>
      </c>
      <c r="AV7" s="144">
        <v>4086</v>
      </c>
      <c r="AW7" s="142">
        <f>SUM($AV$1:AV7)/1000</f>
        <v>15.795999999999999</v>
      </c>
      <c r="AX7" s="142">
        <f t="shared" si="5"/>
        <v>-554.71849999999995</v>
      </c>
      <c r="AZ7" s="126">
        <f t="shared" si="26"/>
        <v>-15.4884</v>
      </c>
      <c r="BA7" s="126">
        <f t="shared" si="6"/>
        <v>554.71849999999995</v>
      </c>
      <c r="BB7" s="126">
        <f t="shared" si="7"/>
        <v>-570.20689999999991</v>
      </c>
      <c r="BD7" s="126">
        <f t="shared" si="27"/>
        <v>6.6</v>
      </c>
      <c r="BE7" s="126">
        <f t="shared" si="28"/>
        <v>-61.830087000000027</v>
      </c>
      <c r="BF7" s="126">
        <f t="shared" si="8"/>
        <v>-68.430087000000029</v>
      </c>
      <c r="BH7" s="126">
        <f t="shared" si="29"/>
        <v>9.0310000000000006</v>
      </c>
      <c r="BI7" s="126">
        <f t="shared" si="30"/>
        <v>-24.00420507476624</v>
      </c>
      <c r="BJ7" s="126">
        <f t="shared" si="31"/>
        <v>-33.035205074766239</v>
      </c>
      <c r="BL7" s="126">
        <f t="shared" si="9"/>
        <v>-18.510000000000005</v>
      </c>
      <c r="BM7" s="126">
        <f t="shared" si="10"/>
        <v>-78.464199999999991</v>
      </c>
      <c r="BN7" s="126">
        <f t="shared" si="11"/>
        <v>-59.954199999999986</v>
      </c>
      <c r="BP7" s="126">
        <f t="shared" si="12"/>
        <v>14.99</v>
      </c>
      <c r="BQ7" s="126">
        <f t="shared" si="13"/>
        <v>-76.442400000000021</v>
      </c>
      <c r="BR7" s="126">
        <f t="shared" si="14"/>
        <v>-91.432400000000015</v>
      </c>
      <c r="BT7" s="126">
        <f t="shared" si="15"/>
        <v>-25.22</v>
      </c>
      <c r="BU7" s="126">
        <f t="shared" si="16"/>
        <v>-314.98263999999989</v>
      </c>
      <c r="BV7" s="126">
        <f t="shared" si="17"/>
        <v>-289.76263999999992</v>
      </c>
      <c r="CC7">
        <f t="shared" si="32"/>
        <v>-5.4010000000000016</v>
      </c>
    </row>
    <row r="8" spans="1:81" x14ac:dyDescent="0.2">
      <c r="A8">
        <v>15</v>
      </c>
      <c r="B8">
        <v>112.9</v>
      </c>
      <c r="C8">
        <v>153.70000000000002</v>
      </c>
      <c r="D8" s="126">
        <f t="shared" si="18"/>
        <v>15.040800000000001</v>
      </c>
      <c r="E8">
        <v>3697</v>
      </c>
      <c r="F8">
        <v>6466</v>
      </c>
      <c r="G8">
        <v>3470</v>
      </c>
      <c r="H8" s="126">
        <f t="shared" si="19"/>
        <v>0.70099999999999996</v>
      </c>
      <c r="J8">
        <v>-3.37</v>
      </c>
      <c r="K8">
        <v>8.85</v>
      </c>
      <c r="L8">
        <v>5.32</v>
      </c>
      <c r="M8" s="126">
        <f t="shared" si="20"/>
        <v>-6.8999999999999995</v>
      </c>
      <c r="N8">
        <v>-11623</v>
      </c>
      <c r="O8">
        <v>4169</v>
      </c>
      <c r="P8">
        <v>6838</v>
      </c>
      <c r="Q8" s="126">
        <f t="shared" si="21"/>
        <v>-8.9540000000000006</v>
      </c>
      <c r="R8">
        <v>15</v>
      </c>
      <c r="S8">
        <v>68.27</v>
      </c>
      <c r="T8">
        <v>70.540000000000006</v>
      </c>
      <c r="U8" s="126">
        <f t="shared" si="22"/>
        <v>17.27000000000001</v>
      </c>
      <c r="V8">
        <v>-13.02</v>
      </c>
      <c r="W8">
        <v>9.5500000000000007</v>
      </c>
      <c r="X8">
        <v>9.51</v>
      </c>
      <c r="Y8" s="126">
        <f t="shared" si="23"/>
        <v>-13.06</v>
      </c>
      <c r="Z8">
        <v>-5.39</v>
      </c>
      <c r="AA8">
        <v>41.68</v>
      </c>
      <c r="AB8">
        <v>59.68</v>
      </c>
      <c r="AC8" s="126">
        <f t="shared" si="24"/>
        <v>12.61</v>
      </c>
      <c r="AF8" s="128">
        <v>37848</v>
      </c>
      <c r="AG8" s="144">
        <v>-668.69100000000003</v>
      </c>
      <c r="AH8" s="142">
        <f>SUM($AG$1:AG8)/1000</f>
        <v>-5.4977149999999995</v>
      </c>
      <c r="AI8" s="142">
        <f t="shared" si="0"/>
        <v>61.161396000000025</v>
      </c>
      <c r="AJ8" s="147">
        <f t="shared" si="25"/>
        <v>-562</v>
      </c>
      <c r="AK8" s="143">
        <v>-0.56200000000000006</v>
      </c>
      <c r="AL8" s="142">
        <f t="shared" si="1"/>
        <v>24.093790599758041</v>
      </c>
      <c r="AM8" s="144">
        <v>440.40000000000003</v>
      </c>
      <c r="AN8" s="142">
        <f>SUM($AM$1:AM8)/1000</f>
        <v>-9.2895000000000021</v>
      </c>
      <c r="AO8" s="142">
        <f t="shared" si="2"/>
        <v>78.904599999999988</v>
      </c>
      <c r="AP8" s="144">
        <v>691.9</v>
      </c>
      <c r="AQ8" s="145">
        <f>SUM($AP$1:AP8)/1000</f>
        <v>-6.2012999999999989</v>
      </c>
      <c r="AR8" s="142">
        <f t="shared" si="3"/>
        <v>77.13430000000001</v>
      </c>
      <c r="AS8" s="144">
        <v>-613.53</v>
      </c>
      <c r="AT8" s="142">
        <f>SUM($AS$1:AS8)/1000</f>
        <v>-18.779340000000001</v>
      </c>
      <c r="AU8" s="142">
        <f t="shared" si="4"/>
        <v>314.36910999999992</v>
      </c>
      <c r="AV8" s="144">
        <v>81</v>
      </c>
      <c r="AW8" s="142">
        <f>SUM($AV$1:AV8)/1000</f>
        <v>15.877000000000001</v>
      </c>
      <c r="AX8" s="142">
        <f t="shared" si="5"/>
        <v>-554.63750000000005</v>
      </c>
      <c r="AZ8" s="126">
        <f t="shared" si="26"/>
        <v>-15.040800000000001</v>
      </c>
      <c r="BA8" s="126">
        <f t="shared" si="6"/>
        <v>554.63750000000005</v>
      </c>
      <c r="BB8" s="126">
        <f t="shared" si="7"/>
        <v>-569.67830000000004</v>
      </c>
      <c r="BD8" s="126">
        <f t="shared" si="27"/>
        <v>6.8999999999999995</v>
      </c>
      <c r="BE8" s="126">
        <f t="shared" si="28"/>
        <v>-61.161396000000025</v>
      </c>
      <c r="BF8" s="126">
        <f t="shared" si="8"/>
        <v>-68.06139600000003</v>
      </c>
      <c r="BH8" s="126">
        <f t="shared" si="29"/>
        <v>8.9540000000000006</v>
      </c>
      <c r="BI8" s="126">
        <f t="shared" si="30"/>
        <v>-24.093790599758041</v>
      </c>
      <c r="BJ8" s="126">
        <f t="shared" si="31"/>
        <v>-33.047790599758045</v>
      </c>
      <c r="BL8" s="126">
        <f t="shared" si="9"/>
        <v>-17.27000000000001</v>
      </c>
      <c r="BM8" s="126">
        <f t="shared" si="10"/>
        <v>-78.904599999999988</v>
      </c>
      <c r="BN8" s="126">
        <f t="shared" si="11"/>
        <v>-61.634599999999978</v>
      </c>
      <c r="BP8" s="126">
        <f t="shared" si="12"/>
        <v>13.06</v>
      </c>
      <c r="BQ8" s="126">
        <f t="shared" si="13"/>
        <v>-77.13430000000001</v>
      </c>
      <c r="BR8" s="126">
        <f t="shared" si="14"/>
        <v>-90.194300000000013</v>
      </c>
      <c r="BT8" s="126">
        <f t="shared" si="15"/>
        <v>-12.61</v>
      </c>
      <c r="BU8" s="126">
        <f t="shared" si="16"/>
        <v>-314.36910999999992</v>
      </c>
      <c r="BV8" s="126">
        <f t="shared" si="17"/>
        <v>-301.75910999999991</v>
      </c>
      <c r="CC8">
        <f t="shared" si="32"/>
        <v>-16.304000000000002</v>
      </c>
    </row>
    <row r="9" spans="1:81" x14ac:dyDescent="0.2">
      <c r="A9">
        <v>17.52</v>
      </c>
      <c r="B9">
        <v>113.60000000000001</v>
      </c>
      <c r="C9">
        <v>155.80000000000001</v>
      </c>
      <c r="D9" s="126">
        <f t="shared" si="18"/>
        <v>17.562200000000001</v>
      </c>
      <c r="E9">
        <v>3704</v>
      </c>
      <c r="F9">
        <v>6501</v>
      </c>
      <c r="G9">
        <v>3498</v>
      </c>
      <c r="H9" s="126">
        <f t="shared" si="19"/>
        <v>0.70099999999999996</v>
      </c>
      <c r="J9">
        <v>-0.95000000000000007</v>
      </c>
      <c r="K9">
        <v>8.9</v>
      </c>
      <c r="L9">
        <v>5</v>
      </c>
      <c r="M9" s="126">
        <f t="shared" si="20"/>
        <v>-4.8500000000000005</v>
      </c>
      <c r="N9">
        <v>-13039</v>
      </c>
      <c r="O9">
        <v>4200</v>
      </c>
      <c r="P9">
        <v>7049</v>
      </c>
      <c r="Q9" s="126">
        <f t="shared" si="21"/>
        <v>-10.19</v>
      </c>
      <c r="R9">
        <v>17.52</v>
      </c>
      <c r="S9">
        <v>68.66</v>
      </c>
      <c r="T9">
        <v>71.12</v>
      </c>
      <c r="U9" s="126">
        <f t="shared" si="22"/>
        <v>19.980000000000008</v>
      </c>
      <c r="V9">
        <v>-14.88</v>
      </c>
      <c r="W9">
        <v>9.61</v>
      </c>
      <c r="X9">
        <v>9.31</v>
      </c>
      <c r="Y9" s="126">
        <f t="shared" si="23"/>
        <v>-15.18</v>
      </c>
      <c r="Z9">
        <v>4.3600000000000003</v>
      </c>
      <c r="AA9">
        <v>41.92</v>
      </c>
      <c r="AB9">
        <v>59.78</v>
      </c>
      <c r="AC9" s="126">
        <f t="shared" si="24"/>
        <v>22.22</v>
      </c>
      <c r="AF9" s="128">
        <v>37879</v>
      </c>
      <c r="AG9" s="144">
        <v>-936.601</v>
      </c>
      <c r="AH9" s="142">
        <f>SUM($AG$1:AG9)/1000</f>
        <v>-6.434315999999999</v>
      </c>
      <c r="AI9" s="142">
        <f t="shared" si="0"/>
        <v>60.224795000000029</v>
      </c>
      <c r="AJ9" s="147">
        <f t="shared" si="25"/>
        <v>-374.2769282612374</v>
      </c>
      <c r="AK9" s="143">
        <v>-0.37427692826123743</v>
      </c>
      <c r="AL9" s="142">
        <f t="shared" si="1"/>
        <v>24.281513671496803</v>
      </c>
      <c r="AM9" s="144">
        <v>-519.1</v>
      </c>
      <c r="AN9" s="142">
        <f>SUM($AM$1:AM9)/1000</f>
        <v>-9.808600000000002</v>
      </c>
      <c r="AO9" s="142">
        <f t="shared" si="2"/>
        <v>78.385499999999993</v>
      </c>
      <c r="AP9" s="144">
        <v>-467.5</v>
      </c>
      <c r="AQ9" s="145">
        <f>SUM($AP$1:AP9)/1000</f>
        <v>-6.6687999999999992</v>
      </c>
      <c r="AR9" s="142">
        <f t="shared" si="3"/>
        <v>76.666800000000009</v>
      </c>
      <c r="AS9" s="144">
        <v>-2745.4900000000002</v>
      </c>
      <c r="AT9" s="142">
        <f>SUM($AS$1:AS9)/1000</f>
        <v>-21.524830000000001</v>
      </c>
      <c r="AU9" s="142">
        <f t="shared" si="4"/>
        <v>311.6236199999999</v>
      </c>
      <c r="AV9" s="144">
        <v>5556</v>
      </c>
      <c r="AW9" s="142">
        <f>SUM($AV$1:AV9)/1000</f>
        <v>21.433</v>
      </c>
      <c r="AX9" s="142">
        <f t="shared" si="5"/>
        <v>-549.08150000000001</v>
      </c>
      <c r="AZ9" s="126">
        <f t="shared" si="26"/>
        <v>-17.562200000000001</v>
      </c>
      <c r="BA9" s="126">
        <f t="shared" si="6"/>
        <v>549.08150000000001</v>
      </c>
      <c r="BB9" s="126">
        <f t="shared" si="7"/>
        <v>-566.64369999999997</v>
      </c>
      <c r="BD9" s="126">
        <f t="shared" si="27"/>
        <v>4.8500000000000005</v>
      </c>
      <c r="BE9" s="126">
        <f t="shared" si="28"/>
        <v>-60.224795000000029</v>
      </c>
      <c r="BF9" s="126">
        <f t="shared" si="8"/>
        <v>-65.074795000000023</v>
      </c>
      <c r="BH9" s="126">
        <f t="shared" si="29"/>
        <v>10.19</v>
      </c>
      <c r="BI9" s="126">
        <f t="shared" si="30"/>
        <v>-24.281513671496803</v>
      </c>
      <c r="BJ9" s="126">
        <f t="shared" si="31"/>
        <v>-34.471513671496801</v>
      </c>
      <c r="BL9" s="126">
        <f t="shared" si="9"/>
        <v>-19.980000000000008</v>
      </c>
      <c r="BM9" s="126">
        <f t="shared" si="10"/>
        <v>-78.385499999999993</v>
      </c>
      <c r="BN9" s="126">
        <f t="shared" si="11"/>
        <v>-58.405499999999989</v>
      </c>
      <c r="BP9" s="126">
        <f t="shared" si="12"/>
        <v>15.18</v>
      </c>
      <c r="BQ9" s="126">
        <f t="shared" si="13"/>
        <v>-76.666800000000009</v>
      </c>
      <c r="BR9" s="126">
        <f t="shared" si="14"/>
        <v>-91.846800000000002</v>
      </c>
      <c r="BT9" s="126">
        <f t="shared" si="15"/>
        <v>-22.22</v>
      </c>
      <c r="BU9" s="126">
        <f t="shared" si="16"/>
        <v>-311.6236199999999</v>
      </c>
      <c r="BV9" s="126">
        <f t="shared" si="17"/>
        <v>-289.40361999999993</v>
      </c>
      <c r="CC9">
        <f t="shared" si="32"/>
        <v>-8</v>
      </c>
    </row>
    <row r="10" spans="1:81" x14ac:dyDescent="0.2">
      <c r="A10">
        <v>0.78</v>
      </c>
      <c r="B10">
        <v>115.2</v>
      </c>
      <c r="C10">
        <v>158.5</v>
      </c>
      <c r="D10" s="126">
        <f t="shared" si="18"/>
        <v>0.82330000000000003</v>
      </c>
      <c r="E10">
        <v>3688</v>
      </c>
      <c r="F10">
        <v>6595</v>
      </c>
      <c r="G10">
        <v>3610</v>
      </c>
      <c r="H10" s="126">
        <f t="shared" si="19"/>
        <v>0.70299999999999996</v>
      </c>
      <c r="J10">
        <v>-2.62</v>
      </c>
      <c r="K10">
        <v>9.0299999999999994</v>
      </c>
      <c r="L10">
        <v>4.95</v>
      </c>
      <c r="M10" s="126">
        <f t="shared" si="20"/>
        <v>-6.6999999999999993</v>
      </c>
      <c r="N10">
        <v>-13081</v>
      </c>
      <c r="O10">
        <v>4264</v>
      </c>
      <c r="P10">
        <v>7237</v>
      </c>
      <c r="Q10" s="126">
        <f t="shared" si="21"/>
        <v>-10.108000000000001</v>
      </c>
      <c r="R10">
        <v>0.77</v>
      </c>
      <c r="S10">
        <v>69.66</v>
      </c>
      <c r="T10">
        <v>72.210000000000008</v>
      </c>
      <c r="U10" s="126">
        <f t="shared" si="22"/>
        <v>3.3200000000000114</v>
      </c>
      <c r="V10">
        <v>-17.29</v>
      </c>
      <c r="W10">
        <v>9.75</v>
      </c>
      <c r="X10">
        <v>9.31</v>
      </c>
      <c r="Y10" s="126">
        <f t="shared" si="23"/>
        <v>-17.729999999999997</v>
      </c>
      <c r="Z10">
        <v>8.0400000000000009</v>
      </c>
      <c r="AA10">
        <v>42.5</v>
      </c>
      <c r="AB10">
        <v>60.550000000000004</v>
      </c>
      <c r="AC10" s="126">
        <f t="shared" si="24"/>
        <v>26.090000000000003</v>
      </c>
      <c r="AF10" s="128">
        <v>37909</v>
      </c>
      <c r="AG10" s="144">
        <v>-891.42399999999998</v>
      </c>
      <c r="AH10" s="142">
        <f>SUM($AG$1:AG10)/1000</f>
        <v>-7.3257399999999988</v>
      </c>
      <c r="AI10" s="142">
        <f t="shared" si="0"/>
        <v>59.333371000000028</v>
      </c>
      <c r="AJ10" s="147">
        <f t="shared" si="25"/>
        <v>-156.89180251865849</v>
      </c>
      <c r="AK10" s="143">
        <v>-0.1568918025186585</v>
      </c>
      <c r="AL10" s="142">
        <f t="shared" si="1"/>
        <v>24.498898797239384</v>
      </c>
      <c r="AM10" s="144">
        <v>2081.9</v>
      </c>
      <c r="AN10" s="142">
        <f>SUM($AM$1:AM10)/1000</f>
        <v>-7.7267000000000028</v>
      </c>
      <c r="AO10" s="142">
        <f t="shared" si="2"/>
        <v>80.467399999999984</v>
      </c>
      <c r="AP10" s="144">
        <v>-902.1</v>
      </c>
      <c r="AQ10" s="145">
        <f>SUM($AP$1:AP10)/1000</f>
        <v>-7.5709</v>
      </c>
      <c r="AR10" s="142">
        <f t="shared" si="3"/>
        <v>75.764700000000019</v>
      </c>
      <c r="AS10" s="144">
        <v>-1908.67</v>
      </c>
      <c r="AT10" s="142">
        <f>SUM($AS$1:AS10)/1000</f>
        <v>-23.433499999999999</v>
      </c>
      <c r="AU10" s="142">
        <f t="shared" si="4"/>
        <v>309.71494999999993</v>
      </c>
      <c r="AV10" s="144">
        <v>4755</v>
      </c>
      <c r="AW10" s="142">
        <f>SUM($AV$1:AV10)/1000</f>
        <v>26.187999999999999</v>
      </c>
      <c r="AX10" s="142">
        <f t="shared" si="5"/>
        <v>-544.32650000000001</v>
      </c>
      <c r="AZ10" s="126">
        <f t="shared" si="26"/>
        <v>-0.82330000000000003</v>
      </c>
      <c r="BA10" s="126">
        <f t="shared" si="6"/>
        <v>544.32650000000001</v>
      </c>
      <c r="BB10" s="126">
        <f t="shared" si="7"/>
        <v>-545.14980000000003</v>
      </c>
      <c r="BD10" s="126">
        <f t="shared" si="27"/>
        <v>6.6999999999999993</v>
      </c>
      <c r="BE10" s="126">
        <f t="shared" si="28"/>
        <v>-59.333371000000028</v>
      </c>
      <c r="BF10" s="126">
        <f t="shared" si="8"/>
        <v>-66.033371000000031</v>
      </c>
      <c r="BH10" s="126">
        <f t="shared" si="29"/>
        <v>10.108000000000001</v>
      </c>
      <c r="BI10" s="126">
        <f t="shared" si="30"/>
        <v>-24.498898797239384</v>
      </c>
      <c r="BJ10" s="126">
        <f t="shared" si="31"/>
        <v>-34.606898797239381</v>
      </c>
      <c r="BL10" s="126">
        <f t="shared" si="9"/>
        <v>-3.3200000000000114</v>
      </c>
      <c r="BM10" s="126">
        <f t="shared" si="10"/>
        <v>-80.467399999999984</v>
      </c>
      <c r="BN10" s="126">
        <f t="shared" si="11"/>
        <v>-77.147399999999976</v>
      </c>
      <c r="BP10" s="126">
        <f t="shared" si="12"/>
        <v>17.729999999999997</v>
      </c>
      <c r="BQ10" s="126">
        <f t="shared" si="13"/>
        <v>-75.764700000000019</v>
      </c>
      <c r="BR10" s="126">
        <f t="shared" si="14"/>
        <v>-93.494700000000023</v>
      </c>
      <c r="BT10" s="126">
        <f t="shared" si="15"/>
        <v>-26.090000000000003</v>
      </c>
      <c r="BU10" s="126">
        <f t="shared" si="16"/>
        <v>-309.71494999999993</v>
      </c>
      <c r="BV10" s="126">
        <f t="shared" si="17"/>
        <v>-283.6249499999999</v>
      </c>
      <c r="CC10">
        <f t="shared" si="32"/>
        <v>-8.4479999999999933</v>
      </c>
    </row>
    <row r="11" spans="1:81" x14ac:dyDescent="0.2">
      <c r="A11">
        <v>9.98</v>
      </c>
      <c r="B11">
        <v>117.10000000000001</v>
      </c>
      <c r="C11">
        <v>161.5</v>
      </c>
      <c r="D11" s="126">
        <f t="shared" si="18"/>
        <v>10.0244</v>
      </c>
      <c r="E11">
        <v>3699</v>
      </c>
      <c r="F11">
        <v>6708</v>
      </c>
      <c r="G11">
        <v>3712</v>
      </c>
      <c r="H11" s="126">
        <f t="shared" si="19"/>
        <v>0.70299999999999996</v>
      </c>
      <c r="J11">
        <v>-3.43</v>
      </c>
      <c r="K11">
        <v>9.19</v>
      </c>
      <c r="L11">
        <v>5.12</v>
      </c>
      <c r="M11" s="126">
        <f t="shared" si="20"/>
        <v>-7.5</v>
      </c>
      <c r="N11">
        <v>-8582</v>
      </c>
      <c r="O11">
        <v>4338</v>
      </c>
      <c r="P11">
        <v>7408</v>
      </c>
      <c r="Q11" s="126">
        <f t="shared" si="21"/>
        <v>-5.5119999999999996</v>
      </c>
      <c r="R11">
        <v>9.98</v>
      </c>
      <c r="S11">
        <v>70.84</v>
      </c>
      <c r="T11">
        <v>73.61</v>
      </c>
      <c r="U11" s="126">
        <f t="shared" si="22"/>
        <v>12.749999999999996</v>
      </c>
      <c r="V11">
        <v>-17.63</v>
      </c>
      <c r="W11">
        <v>9.91</v>
      </c>
      <c r="X11">
        <v>9.43</v>
      </c>
      <c r="Y11" s="126">
        <f t="shared" si="23"/>
        <v>-18.11</v>
      </c>
      <c r="Z11">
        <v>12.66</v>
      </c>
      <c r="AA11">
        <v>43.21</v>
      </c>
      <c r="AB11">
        <v>61.42</v>
      </c>
      <c r="AC11" s="126">
        <f t="shared" si="24"/>
        <v>30.87</v>
      </c>
      <c r="AF11" s="128">
        <v>37940</v>
      </c>
      <c r="AG11" s="144">
        <v>-936.649</v>
      </c>
      <c r="AH11" s="142">
        <f>SUM($AG$1:AG11)/1000</f>
        <v>-8.2623889999999989</v>
      </c>
      <c r="AI11" s="142">
        <f t="shared" si="0"/>
        <v>58.396722000000025</v>
      </c>
      <c r="AJ11" s="147">
        <f t="shared" si="25"/>
        <v>-2</v>
      </c>
      <c r="AK11" s="143">
        <v>-2E-3</v>
      </c>
      <c r="AL11" s="142">
        <f t="shared" si="1"/>
        <v>24.653790599758043</v>
      </c>
      <c r="AM11" s="144">
        <v>-812.6</v>
      </c>
      <c r="AN11" s="142">
        <f>SUM($AM$1:AM11)/1000</f>
        <v>-8.5393000000000026</v>
      </c>
      <c r="AO11" s="142">
        <f t="shared" si="2"/>
        <v>79.654799999999994</v>
      </c>
      <c r="AP11" s="144">
        <v>-1718.7</v>
      </c>
      <c r="AQ11" s="145">
        <f>SUM($AP$1:AP11)/1000</f>
        <v>-9.2896000000000001</v>
      </c>
      <c r="AR11" s="142">
        <f t="shared" si="3"/>
        <v>74.046000000000021</v>
      </c>
      <c r="AS11" s="144">
        <v>-1950.2</v>
      </c>
      <c r="AT11" s="142">
        <f>SUM($AS$1:AS11)/1000</f>
        <v>-25.383700000000001</v>
      </c>
      <c r="AU11" s="142">
        <f t="shared" si="4"/>
        <v>307.76474999999994</v>
      </c>
      <c r="AV11" s="144">
        <v>4527</v>
      </c>
      <c r="AW11" s="142">
        <f>SUM($AV$1:AV11)/1000</f>
        <v>30.715</v>
      </c>
      <c r="AX11" s="142">
        <f t="shared" si="5"/>
        <v>-539.79949999999997</v>
      </c>
      <c r="AZ11" s="126">
        <f t="shared" si="26"/>
        <v>-10.0244</v>
      </c>
      <c r="BA11" s="126">
        <f t="shared" si="6"/>
        <v>539.79949999999997</v>
      </c>
      <c r="BB11" s="126">
        <f t="shared" si="7"/>
        <v>-549.82389999999998</v>
      </c>
      <c r="BD11" s="126">
        <f t="shared" si="27"/>
        <v>7.5</v>
      </c>
      <c r="BE11" s="126">
        <f t="shared" si="28"/>
        <v>-58.396722000000025</v>
      </c>
      <c r="BF11" s="126">
        <f t="shared" si="8"/>
        <v>-65.896722000000025</v>
      </c>
      <c r="BH11" s="126">
        <f t="shared" si="29"/>
        <v>5.5119999999999996</v>
      </c>
      <c r="BI11" s="126">
        <f t="shared" si="30"/>
        <v>-24.653790599758043</v>
      </c>
      <c r="BJ11" s="126">
        <f t="shared" si="31"/>
        <v>-30.165790599758044</v>
      </c>
      <c r="BL11" s="126">
        <f t="shared" si="9"/>
        <v>-12.749999999999996</v>
      </c>
      <c r="BM11" s="126">
        <f t="shared" si="10"/>
        <v>-79.654799999999994</v>
      </c>
      <c r="BN11" s="126">
        <f t="shared" si="11"/>
        <v>-66.904799999999994</v>
      </c>
      <c r="BP11" s="126">
        <f t="shared" si="12"/>
        <v>18.11</v>
      </c>
      <c r="BQ11" s="126">
        <f t="shared" si="13"/>
        <v>-74.046000000000021</v>
      </c>
      <c r="BR11" s="126">
        <f t="shared" si="14"/>
        <v>-92.15600000000002</v>
      </c>
      <c r="BT11" s="126">
        <f t="shared" si="15"/>
        <v>-30.87</v>
      </c>
      <c r="BU11" s="126">
        <f t="shared" si="16"/>
        <v>-307.76474999999994</v>
      </c>
      <c r="BV11" s="126">
        <f t="shared" si="17"/>
        <v>-276.89474999999993</v>
      </c>
      <c r="CC11">
        <f t="shared" si="32"/>
        <v>-0.251999999999998</v>
      </c>
    </row>
    <row r="12" spans="1:81" x14ac:dyDescent="0.2">
      <c r="A12">
        <v>-5.95</v>
      </c>
      <c r="B12">
        <v>125.9</v>
      </c>
      <c r="C12">
        <v>170.5</v>
      </c>
      <c r="D12" s="126">
        <f t="shared" si="18"/>
        <v>-5.9054000000000002</v>
      </c>
      <c r="E12">
        <v>4000</v>
      </c>
      <c r="F12">
        <v>7215</v>
      </c>
      <c r="G12">
        <v>3918</v>
      </c>
      <c r="H12" s="126">
        <f t="shared" si="19"/>
        <v>0.70299999999999996</v>
      </c>
      <c r="J12">
        <v>4.68</v>
      </c>
      <c r="K12">
        <v>9.870000000000001</v>
      </c>
      <c r="L12">
        <v>5.71</v>
      </c>
      <c r="M12" s="126">
        <f t="shared" si="20"/>
        <v>0.51999999999999869</v>
      </c>
      <c r="N12">
        <v>-13462</v>
      </c>
      <c r="O12">
        <v>4650</v>
      </c>
      <c r="P12">
        <v>8197</v>
      </c>
      <c r="Q12" s="126">
        <f t="shared" si="21"/>
        <v>-9.9149999999999991</v>
      </c>
      <c r="R12">
        <v>-5.95</v>
      </c>
      <c r="S12">
        <v>76.09</v>
      </c>
      <c r="T12">
        <v>81.78</v>
      </c>
      <c r="U12" s="126">
        <f t="shared" si="22"/>
        <v>-0.26000000000000245</v>
      </c>
      <c r="V12">
        <v>-15.05</v>
      </c>
      <c r="W12">
        <v>10.65</v>
      </c>
      <c r="X12">
        <v>11.38</v>
      </c>
      <c r="Y12" s="126">
        <f t="shared" si="23"/>
        <v>-14.32</v>
      </c>
      <c r="Z12">
        <v>-1.08</v>
      </c>
      <c r="AA12">
        <v>46.38</v>
      </c>
      <c r="AB12">
        <v>65.73</v>
      </c>
      <c r="AC12" s="126">
        <f t="shared" si="24"/>
        <v>18.270000000000003</v>
      </c>
      <c r="AF12" s="128">
        <v>37970</v>
      </c>
      <c r="AG12" s="144">
        <v>-967.80899999999997</v>
      </c>
      <c r="AH12" s="142">
        <f>SUM($AG$1:AG12)/1000</f>
        <v>-9.2301979999999979</v>
      </c>
      <c r="AI12" s="142">
        <f t="shared" si="0"/>
        <v>57.428913000000023</v>
      </c>
      <c r="AJ12" s="147">
        <f t="shared" si="25"/>
        <v>25.088965180516741</v>
      </c>
      <c r="AK12" s="143">
        <v>2.5088965180516742E-2</v>
      </c>
      <c r="AL12" s="142">
        <f t="shared" si="1"/>
        <v>24.680879564938557</v>
      </c>
      <c r="AM12" s="144">
        <v>454.8</v>
      </c>
      <c r="AN12" s="142">
        <f>SUM($AM$1:AM12)/1000</f>
        <v>-8.084500000000002</v>
      </c>
      <c r="AO12" s="142">
        <f t="shared" si="2"/>
        <v>80.109599999999986</v>
      </c>
      <c r="AP12" s="144">
        <v>-1974.5</v>
      </c>
      <c r="AQ12" s="145">
        <f>SUM($AP$1:AP12)/1000</f>
        <v>-11.264100000000001</v>
      </c>
      <c r="AR12" s="142">
        <f t="shared" si="3"/>
        <v>72.071500000000015</v>
      </c>
      <c r="AS12" s="144">
        <v>-2092.67</v>
      </c>
      <c r="AT12" s="142">
        <f>SUM($AS$1:AS12)/1000</f>
        <v>-27.476370000000003</v>
      </c>
      <c r="AU12" s="142">
        <f t="shared" si="4"/>
        <v>305.67207999999994</v>
      </c>
      <c r="AV12" s="144">
        <v>9812</v>
      </c>
      <c r="AW12" s="142">
        <f>SUM($AV$1:AV12)/1000</f>
        <v>40.527000000000001</v>
      </c>
      <c r="AX12" s="142">
        <f t="shared" si="5"/>
        <v>-529.98749999999995</v>
      </c>
      <c r="AZ12" s="126">
        <f t="shared" si="26"/>
        <v>5.9054000000000002</v>
      </c>
      <c r="BA12" s="126">
        <f t="shared" si="6"/>
        <v>529.98749999999995</v>
      </c>
      <c r="BB12" s="126">
        <f t="shared" si="7"/>
        <v>-524.08209999999997</v>
      </c>
      <c r="BD12" s="126">
        <f t="shared" si="27"/>
        <v>-0.51999999999999869</v>
      </c>
      <c r="BE12" s="126">
        <f t="shared" si="28"/>
        <v>-57.428913000000023</v>
      </c>
      <c r="BF12" s="126">
        <f t="shared" si="8"/>
        <v>-56.908913000000027</v>
      </c>
      <c r="BH12" s="126">
        <f t="shared" si="29"/>
        <v>9.9149999999999991</v>
      </c>
      <c r="BI12" s="126">
        <f t="shared" si="30"/>
        <v>-24.680879564938557</v>
      </c>
      <c r="BJ12" s="126">
        <f t="shared" si="31"/>
        <v>-34.595879564938556</v>
      </c>
      <c r="BL12" s="126">
        <f t="shared" si="9"/>
        <v>0.26000000000000245</v>
      </c>
      <c r="BM12" s="126">
        <f t="shared" si="10"/>
        <v>-80.109599999999986</v>
      </c>
      <c r="BN12" s="126">
        <f t="shared" si="11"/>
        <v>-80.369599999999991</v>
      </c>
      <c r="BP12" s="126">
        <f t="shared" si="12"/>
        <v>14.32</v>
      </c>
      <c r="BQ12" s="126">
        <f t="shared" si="13"/>
        <v>-72.071500000000015</v>
      </c>
      <c r="BR12" s="126">
        <f t="shared" si="14"/>
        <v>-86.391500000000008</v>
      </c>
      <c r="BT12" s="126">
        <f t="shared" si="15"/>
        <v>-18.270000000000003</v>
      </c>
      <c r="BU12" s="126">
        <f t="shared" si="16"/>
        <v>-305.67207999999994</v>
      </c>
      <c r="BV12" s="126">
        <f t="shared" si="17"/>
        <v>-287.40207999999996</v>
      </c>
      <c r="CC12">
        <f t="shared" si="32"/>
        <v>-5.4449999999999976</v>
      </c>
    </row>
    <row r="13" spans="1:81" x14ac:dyDescent="0.2">
      <c r="A13">
        <v>17.510000000000002</v>
      </c>
      <c r="B13">
        <v>116.80000000000001</v>
      </c>
      <c r="C13">
        <v>164.9</v>
      </c>
      <c r="D13" s="126">
        <f t="shared" si="18"/>
        <v>17.558100000000003</v>
      </c>
      <c r="E13">
        <v>4094</v>
      </c>
      <c r="F13">
        <v>7148</v>
      </c>
      <c r="G13">
        <v>3773</v>
      </c>
      <c r="H13" s="126">
        <f t="shared" si="19"/>
        <v>0.71899999999999997</v>
      </c>
      <c r="J13">
        <v>-1.25</v>
      </c>
      <c r="K13">
        <v>10.01</v>
      </c>
      <c r="L13">
        <v>5.12</v>
      </c>
      <c r="M13" s="126">
        <f t="shared" si="20"/>
        <v>-6.14</v>
      </c>
      <c r="N13">
        <v>-9820</v>
      </c>
      <c r="O13">
        <v>5369</v>
      </c>
      <c r="P13">
        <v>7642</v>
      </c>
      <c r="Q13" s="126">
        <f t="shared" si="21"/>
        <v>-7.5469999999999997</v>
      </c>
      <c r="R13">
        <v>17.510000000000002</v>
      </c>
      <c r="S13">
        <v>72.260000000000005</v>
      </c>
      <c r="T13">
        <v>77.010000000000005</v>
      </c>
      <c r="U13" s="126">
        <f t="shared" si="22"/>
        <v>22.26</v>
      </c>
      <c r="V13">
        <v>-15.91</v>
      </c>
      <c r="W13">
        <v>10.84</v>
      </c>
      <c r="X13">
        <v>10.32</v>
      </c>
      <c r="Y13" s="126">
        <f t="shared" si="23"/>
        <v>-16.43</v>
      </c>
      <c r="Z13">
        <v>6.6000000000000005</v>
      </c>
      <c r="AA13">
        <v>44.480000000000004</v>
      </c>
      <c r="AB13">
        <v>63.22</v>
      </c>
      <c r="AC13" s="126">
        <f t="shared" si="24"/>
        <v>25.339999999999996</v>
      </c>
      <c r="AF13" s="128">
        <v>38001</v>
      </c>
      <c r="AG13" s="144">
        <v>-935.16700000000003</v>
      </c>
      <c r="AH13" s="142">
        <f>SUM($AG$1:AG13)/1000</f>
        <v>-10.165364999999998</v>
      </c>
      <c r="AI13" s="142">
        <f t="shared" si="0"/>
        <v>56.49374600000003</v>
      </c>
      <c r="AJ13" s="147">
        <f t="shared" si="25"/>
        <v>-33.550968637268348</v>
      </c>
      <c r="AK13" s="143">
        <v>-3.355096863726835E-2</v>
      </c>
      <c r="AL13" s="142">
        <f t="shared" si="1"/>
        <v>24.622239631120774</v>
      </c>
      <c r="AM13" s="144">
        <v>-2342.7000000000003</v>
      </c>
      <c r="AN13" s="142">
        <f>SUM($AM$1:AM13)/1000</f>
        <v>-10.427200000000003</v>
      </c>
      <c r="AO13" s="142">
        <f t="shared" si="2"/>
        <v>77.766899999999993</v>
      </c>
      <c r="AP13" s="144">
        <v>-1435.5</v>
      </c>
      <c r="AQ13" s="145">
        <f>SUM($AP$1:AP13)/1000</f>
        <v>-12.6996</v>
      </c>
      <c r="AR13" s="142">
        <f t="shared" si="3"/>
        <v>70.63600000000001</v>
      </c>
      <c r="AS13" s="144">
        <v>-3570.08</v>
      </c>
      <c r="AT13" s="142">
        <f>SUM($AS$1:AS13)/1000</f>
        <v>-31.046450000000004</v>
      </c>
      <c r="AU13" s="142">
        <f t="shared" si="4"/>
        <v>302.10199999999992</v>
      </c>
      <c r="AV13" s="144">
        <v>4784</v>
      </c>
      <c r="AW13" s="142">
        <f>SUM($AV$1:AV13)/1000</f>
        <v>45.311</v>
      </c>
      <c r="AX13" s="142">
        <f t="shared" si="5"/>
        <v>-525.20349999999996</v>
      </c>
      <c r="AZ13" s="126">
        <f t="shared" si="26"/>
        <v>-17.558100000000003</v>
      </c>
      <c r="BA13" s="126">
        <f t="shared" si="6"/>
        <v>525.20349999999996</v>
      </c>
      <c r="BB13" s="126">
        <f t="shared" si="7"/>
        <v>-542.76159999999993</v>
      </c>
      <c r="BD13" s="126">
        <f t="shared" si="27"/>
        <v>6.14</v>
      </c>
      <c r="BE13" s="126">
        <f t="shared" si="28"/>
        <v>-56.49374600000003</v>
      </c>
      <c r="BF13" s="126">
        <f t="shared" si="8"/>
        <v>-62.633746000000031</v>
      </c>
      <c r="BH13" s="126">
        <f t="shared" si="29"/>
        <v>7.5469999999999997</v>
      </c>
      <c r="BI13" s="126">
        <f t="shared" si="30"/>
        <v>-24.622239631120774</v>
      </c>
      <c r="BJ13" s="126">
        <f t="shared" si="31"/>
        <v>-32.169239631120774</v>
      </c>
      <c r="BL13" s="126">
        <f t="shared" si="9"/>
        <v>-22.26</v>
      </c>
      <c r="BM13" s="126">
        <f t="shared" si="10"/>
        <v>-77.766899999999993</v>
      </c>
      <c r="BN13" s="126">
        <f t="shared" si="11"/>
        <v>-55.506899999999987</v>
      </c>
      <c r="BP13" s="126">
        <f t="shared" si="12"/>
        <v>16.43</v>
      </c>
      <c r="BQ13" s="126">
        <f t="shared" si="13"/>
        <v>-70.63600000000001</v>
      </c>
      <c r="BR13" s="126">
        <f t="shared" si="14"/>
        <v>-87.066000000000003</v>
      </c>
      <c r="BT13" s="126">
        <f t="shared" si="15"/>
        <v>-25.339999999999996</v>
      </c>
      <c r="BU13" s="126">
        <f t="shared" si="16"/>
        <v>-302.10199999999992</v>
      </c>
      <c r="BV13" s="126">
        <f t="shared" si="17"/>
        <v>-276.76199999999994</v>
      </c>
      <c r="CC13">
        <f t="shared" si="32"/>
        <v>-4.7770000000000028</v>
      </c>
    </row>
    <row r="14" spans="1:81" x14ac:dyDescent="0.2">
      <c r="A14">
        <v>21.64</v>
      </c>
      <c r="B14">
        <v>117.80000000000001</v>
      </c>
      <c r="C14">
        <v>167</v>
      </c>
      <c r="D14" s="126">
        <f t="shared" si="18"/>
        <v>21.6892</v>
      </c>
      <c r="E14">
        <v>4094</v>
      </c>
      <c r="F14">
        <v>7204</v>
      </c>
      <c r="G14">
        <v>3829</v>
      </c>
      <c r="H14" s="126">
        <f t="shared" si="19"/>
        <v>0.71899999999999997</v>
      </c>
      <c r="J14">
        <v>-1.85</v>
      </c>
      <c r="K14">
        <v>10.09</v>
      </c>
      <c r="L14">
        <v>5.12</v>
      </c>
      <c r="M14" s="126">
        <f t="shared" si="20"/>
        <v>-6.82</v>
      </c>
      <c r="N14">
        <v>-10248</v>
      </c>
      <c r="O14">
        <v>5411</v>
      </c>
      <c r="P14">
        <v>7890</v>
      </c>
      <c r="Q14" s="126">
        <f t="shared" si="21"/>
        <v>-7.7690000000000001</v>
      </c>
      <c r="R14">
        <v>21.64</v>
      </c>
      <c r="S14">
        <v>72.84</v>
      </c>
      <c r="T14">
        <v>77.400000000000006</v>
      </c>
      <c r="U14" s="126">
        <f t="shared" si="22"/>
        <v>26.200000000000003</v>
      </c>
      <c r="V14">
        <v>-14.790000000000001</v>
      </c>
      <c r="W14">
        <v>10.92</v>
      </c>
      <c r="X14">
        <v>10.51</v>
      </c>
      <c r="Y14" s="126">
        <f t="shared" si="23"/>
        <v>-15.200000000000001</v>
      </c>
      <c r="Z14">
        <v>1.81</v>
      </c>
      <c r="AA14">
        <v>44.82</v>
      </c>
      <c r="AB14">
        <v>63.67</v>
      </c>
      <c r="AC14" s="126">
        <f t="shared" si="24"/>
        <v>20.66</v>
      </c>
      <c r="AF14" s="128">
        <v>38032</v>
      </c>
      <c r="AG14" s="144">
        <v>-903.33400000000006</v>
      </c>
      <c r="AH14" s="142">
        <f>SUM($AG$1:AG14)/1000</f>
        <v>-11.068698999999999</v>
      </c>
      <c r="AI14" s="142">
        <f t="shared" si="0"/>
        <v>55.590412000000029</v>
      </c>
      <c r="AJ14" s="147">
        <f t="shared" si="25"/>
        <v>-109</v>
      </c>
      <c r="AK14" s="143">
        <v>-0.109</v>
      </c>
      <c r="AL14" s="142">
        <f t="shared" si="1"/>
        <v>24.54679059975804</v>
      </c>
      <c r="AM14" s="144">
        <v>-381.40000000000003</v>
      </c>
      <c r="AN14" s="142">
        <f>SUM($AM$1:AM14)/1000</f>
        <v>-10.808600000000002</v>
      </c>
      <c r="AO14" s="142">
        <f t="shared" si="2"/>
        <v>77.385499999999993</v>
      </c>
      <c r="AP14" s="144">
        <v>-870.30000000000007</v>
      </c>
      <c r="AQ14" s="145">
        <f>SUM($AP$1:AP14)/1000</f>
        <v>-13.569900000000001</v>
      </c>
      <c r="AR14" s="142">
        <f t="shared" si="3"/>
        <v>69.76570000000001</v>
      </c>
      <c r="AS14" s="144">
        <v>-3418.7000000000003</v>
      </c>
      <c r="AT14" s="142">
        <f>SUM($AS$1:AS14)/1000</f>
        <v>-34.465150000000001</v>
      </c>
      <c r="AU14" s="142">
        <f t="shared" si="4"/>
        <v>298.68329999999992</v>
      </c>
      <c r="AV14" s="144">
        <v>7742</v>
      </c>
      <c r="AW14" s="142">
        <f>SUM($AV$1:AV14)/1000</f>
        <v>53.052999999999997</v>
      </c>
      <c r="AX14" s="142">
        <f t="shared" si="5"/>
        <v>-517.4615</v>
      </c>
      <c r="AZ14" s="126">
        <f t="shared" si="26"/>
        <v>-21.6892</v>
      </c>
      <c r="BA14" s="126">
        <f t="shared" si="6"/>
        <v>517.4615</v>
      </c>
      <c r="BB14" s="126">
        <f t="shared" si="7"/>
        <v>-539.15070000000003</v>
      </c>
      <c r="BD14" s="126">
        <f t="shared" si="27"/>
        <v>6.82</v>
      </c>
      <c r="BE14" s="126">
        <f t="shared" si="28"/>
        <v>-55.590412000000029</v>
      </c>
      <c r="BF14" s="126">
        <f t="shared" si="8"/>
        <v>-62.410412000000029</v>
      </c>
      <c r="BH14" s="126">
        <f t="shared" si="29"/>
        <v>7.7690000000000001</v>
      </c>
      <c r="BI14" s="126">
        <f t="shared" si="30"/>
        <v>-24.54679059975804</v>
      </c>
      <c r="BJ14" s="126">
        <f t="shared" si="31"/>
        <v>-32.315790599758039</v>
      </c>
      <c r="BL14" s="126">
        <f t="shared" si="9"/>
        <v>-26.200000000000003</v>
      </c>
      <c r="BM14" s="126">
        <f t="shared" si="10"/>
        <v>-77.385499999999993</v>
      </c>
      <c r="BN14" s="126">
        <f t="shared" si="11"/>
        <v>-51.18549999999999</v>
      </c>
      <c r="BP14" s="126">
        <f t="shared" si="12"/>
        <v>15.200000000000001</v>
      </c>
      <c r="BQ14" s="126">
        <f t="shared" si="13"/>
        <v>-69.76570000000001</v>
      </c>
      <c r="BR14" s="126">
        <f t="shared" si="14"/>
        <v>-84.965700000000012</v>
      </c>
      <c r="BT14" s="126">
        <f t="shared" si="15"/>
        <v>-20.66</v>
      </c>
      <c r="BU14" s="126">
        <f t="shared" si="16"/>
        <v>-298.68329999999992</v>
      </c>
      <c r="BV14" s="126">
        <f t="shared" si="17"/>
        <v>-278.02329999999989</v>
      </c>
      <c r="CC14">
        <f t="shared" si="32"/>
        <v>-9.1290000000000013</v>
      </c>
    </row>
    <row r="15" spans="1:81" x14ac:dyDescent="0.2">
      <c r="A15">
        <v>13.3</v>
      </c>
      <c r="B15">
        <v>119.5</v>
      </c>
      <c r="C15">
        <v>170</v>
      </c>
      <c r="D15" s="126">
        <f t="shared" si="18"/>
        <v>13.3505</v>
      </c>
      <c r="E15">
        <v>4159</v>
      </c>
      <c r="F15">
        <v>7315</v>
      </c>
      <c r="G15">
        <v>3875</v>
      </c>
      <c r="H15" s="126">
        <f t="shared" si="19"/>
        <v>0.71899999999999997</v>
      </c>
      <c r="J15">
        <v>-2.15</v>
      </c>
      <c r="K15">
        <v>10.25</v>
      </c>
      <c r="L15">
        <v>5.0600000000000005</v>
      </c>
      <c r="M15" s="126">
        <f t="shared" si="20"/>
        <v>-7.34</v>
      </c>
      <c r="N15">
        <v>-10481</v>
      </c>
      <c r="O15">
        <v>5489</v>
      </c>
      <c r="P15">
        <v>8201</v>
      </c>
      <c r="Q15" s="126">
        <f t="shared" si="21"/>
        <v>-7.7690000000000001</v>
      </c>
      <c r="R15">
        <v>13.3</v>
      </c>
      <c r="S15">
        <v>73.960000000000008</v>
      </c>
      <c r="T15">
        <v>78.739999999999995</v>
      </c>
      <c r="U15" s="126">
        <f t="shared" si="22"/>
        <v>18.079999999999988</v>
      </c>
      <c r="V15">
        <v>-12.92</v>
      </c>
      <c r="W15">
        <v>11.08</v>
      </c>
      <c r="X15">
        <v>10.97</v>
      </c>
      <c r="Y15" s="126">
        <f t="shared" si="23"/>
        <v>-13.03</v>
      </c>
      <c r="Z15">
        <v>3.75</v>
      </c>
      <c r="AA15">
        <v>45.45</v>
      </c>
      <c r="AB15">
        <v>64.77</v>
      </c>
      <c r="AC15" s="126">
        <f t="shared" si="24"/>
        <v>23.069999999999993</v>
      </c>
      <c r="AF15" s="128">
        <v>38061</v>
      </c>
      <c r="AG15" s="144">
        <v>-968.58</v>
      </c>
      <c r="AH15" s="142">
        <f>SUM($AG$1:AG15)/1000</f>
        <v>-12.037278999999998</v>
      </c>
      <c r="AI15" s="142">
        <f t="shared" si="0"/>
        <v>54.621832000000026</v>
      </c>
      <c r="AJ15" s="147">
        <f t="shared" si="25"/>
        <v>-151.26411764601471</v>
      </c>
      <c r="AK15" s="143">
        <v>-0.15126411764601472</v>
      </c>
      <c r="AL15" s="142">
        <f t="shared" si="1"/>
        <v>24.504526482112027</v>
      </c>
      <c r="AM15" s="144">
        <v>98.4</v>
      </c>
      <c r="AN15" s="142">
        <f>SUM($AM$1:AM15)/1000</f>
        <v>-10.710200000000002</v>
      </c>
      <c r="AO15" s="142">
        <f t="shared" si="2"/>
        <v>77.483899999999991</v>
      </c>
      <c r="AP15" s="144">
        <v>-1074.9000000000001</v>
      </c>
      <c r="AQ15" s="145">
        <f>SUM($AP$1:AP15)/1000</f>
        <v>-14.6448</v>
      </c>
      <c r="AR15" s="142">
        <f t="shared" si="3"/>
        <v>68.69080000000001</v>
      </c>
      <c r="AS15" s="144">
        <v>-4292.0200000000004</v>
      </c>
      <c r="AT15" s="142">
        <f>SUM($AS$1:AS15)/1000</f>
        <v>-38.757169999999995</v>
      </c>
      <c r="AU15" s="142">
        <f t="shared" si="4"/>
        <v>294.39127999999994</v>
      </c>
      <c r="AV15" s="144">
        <v>13571</v>
      </c>
      <c r="AW15" s="142">
        <f>SUM($AV$1:AV15)/1000</f>
        <v>66.623999999999995</v>
      </c>
      <c r="AX15" s="142">
        <f t="shared" si="5"/>
        <v>-503.89049999999997</v>
      </c>
      <c r="AZ15" s="126">
        <f t="shared" si="26"/>
        <v>-13.3505</v>
      </c>
      <c r="BA15" s="126">
        <f t="shared" si="6"/>
        <v>503.89049999999997</v>
      </c>
      <c r="BB15" s="126">
        <f t="shared" si="7"/>
        <v>-517.24099999999999</v>
      </c>
      <c r="BD15" s="126">
        <f t="shared" si="27"/>
        <v>7.34</v>
      </c>
      <c r="BE15" s="126">
        <f t="shared" si="28"/>
        <v>-54.621832000000026</v>
      </c>
      <c r="BF15" s="126">
        <f t="shared" si="8"/>
        <v>-61.96183200000003</v>
      </c>
      <c r="BH15" s="126">
        <f t="shared" si="29"/>
        <v>7.7690000000000001</v>
      </c>
      <c r="BI15" s="126">
        <f t="shared" si="30"/>
        <v>-24.504526482112027</v>
      </c>
      <c r="BJ15" s="126">
        <f t="shared" si="31"/>
        <v>-32.273526482112025</v>
      </c>
      <c r="BL15" s="126">
        <f t="shared" si="9"/>
        <v>-18.079999999999988</v>
      </c>
      <c r="BM15" s="126">
        <f t="shared" si="10"/>
        <v>-77.483899999999991</v>
      </c>
      <c r="BN15" s="126">
        <f t="shared" si="11"/>
        <v>-59.403900000000007</v>
      </c>
      <c r="BP15" s="126">
        <f t="shared" si="12"/>
        <v>13.03</v>
      </c>
      <c r="BQ15" s="126">
        <f t="shared" si="13"/>
        <v>-68.69080000000001</v>
      </c>
      <c r="BR15" s="126">
        <f t="shared" si="14"/>
        <v>-81.720800000000011</v>
      </c>
      <c r="BT15" s="126">
        <f t="shared" si="15"/>
        <v>-23.069999999999993</v>
      </c>
      <c r="BU15" s="126">
        <f t="shared" si="16"/>
        <v>-294.39127999999994</v>
      </c>
      <c r="BV15" s="126">
        <f t="shared" si="17"/>
        <v>-271.32127999999994</v>
      </c>
      <c r="CC15">
        <f t="shared" si="32"/>
        <v>-5.0690000000000062</v>
      </c>
    </row>
    <row r="16" spans="1:81" x14ac:dyDescent="0.2">
      <c r="A16">
        <v>11.68</v>
      </c>
      <c r="B16">
        <v>122.4</v>
      </c>
      <c r="C16">
        <v>174.70000000000002</v>
      </c>
      <c r="D16" s="126">
        <f t="shared" si="18"/>
        <v>11.7323</v>
      </c>
      <c r="E16">
        <v>4202</v>
      </c>
      <c r="F16">
        <v>7517</v>
      </c>
      <c r="G16">
        <v>4036</v>
      </c>
      <c r="H16" s="126">
        <f t="shared" si="19"/>
        <v>0.72099999999999997</v>
      </c>
      <c r="J16">
        <v>-2.44</v>
      </c>
      <c r="K16">
        <v>10.49</v>
      </c>
      <c r="L16">
        <v>5.04</v>
      </c>
      <c r="M16" s="126">
        <f t="shared" si="20"/>
        <v>-7.8900000000000006</v>
      </c>
      <c r="N16">
        <v>-9779</v>
      </c>
      <c r="O16">
        <v>5610</v>
      </c>
      <c r="P16">
        <v>8592</v>
      </c>
      <c r="Q16" s="126">
        <f t="shared" si="21"/>
        <v>-6.7969999999999997</v>
      </c>
      <c r="R16">
        <v>11.68</v>
      </c>
      <c r="S16">
        <v>75.69</v>
      </c>
      <c r="T16">
        <v>80.010000000000005</v>
      </c>
      <c r="U16" s="126">
        <f t="shared" si="22"/>
        <v>16.000000000000007</v>
      </c>
      <c r="V16">
        <v>-12.64</v>
      </c>
      <c r="W16">
        <v>11.34</v>
      </c>
      <c r="X16">
        <v>11.33</v>
      </c>
      <c r="Y16" s="126">
        <f t="shared" si="23"/>
        <v>-12.65</v>
      </c>
      <c r="Z16">
        <v>3.0700000000000003</v>
      </c>
      <c r="AA16">
        <v>46.49</v>
      </c>
      <c r="AB16">
        <v>65.92</v>
      </c>
      <c r="AC16" s="126">
        <f t="shared" si="24"/>
        <v>22.5</v>
      </c>
      <c r="AF16" s="128">
        <v>38092</v>
      </c>
      <c r="AG16" s="144">
        <v>-1199.6010000000001</v>
      </c>
      <c r="AH16" s="142">
        <f>SUM($AG$1:AG16)/1000</f>
        <v>-13.236879999999999</v>
      </c>
      <c r="AI16" s="142">
        <f t="shared" si="0"/>
        <v>53.422231000000025</v>
      </c>
      <c r="AJ16" s="147">
        <f t="shared" si="25"/>
        <v>-186.05247108041624</v>
      </c>
      <c r="AK16" s="143">
        <v>-0.18605247108041623</v>
      </c>
      <c r="AL16" s="142">
        <f t="shared" si="1"/>
        <v>24.469738128677626</v>
      </c>
      <c r="AM16" s="144">
        <v>-1178.1000000000001</v>
      </c>
      <c r="AN16" s="142">
        <f>SUM($AM$1:AM16)/1000</f>
        <v>-11.888300000000003</v>
      </c>
      <c r="AO16" s="142">
        <f t="shared" si="2"/>
        <v>76.305799999999991</v>
      </c>
      <c r="AP16" s="144">
        <v>-1354.3</v>
      </c>
      <c r="AQ16" s="145">
        <f>SUM($AP$1:AP16)/1000</f>
        <v>-15.999099999999999</v>
      </c>
      <c r="AR16" s="142">
        <f t="shared" si="3"/>
        <v>67.336500000000015</v>
      </c>
      <c r="AS16" s="144">
        <v>-3094.76</v>
      </c>
      <c r="AT16" s="142">
        <f>SUM($AS$1:AS16)/1000</f>
        <v>-41.851930000000003</v>
      </c>
      <c r="AU16" s="142">
        <f t="shared" si="4"/>
        <v>291.29651999999993</v>
      </c>
      <c r="AV16" s="144">
        <v>9084</v>
      </c>
      <c r="AW16" s="142">
        <f>SUM($AV$1:AV16)/1000</f>
        <v>75.707999999999998</v>
      </c>
      <c r="AX16" s="142">
        <f t="shared" si="5"/>
        <v>-494.80650000000003</v>
      </c>
      <c r="AZ16" s="126">
        <f t="shared" si="26"/>
        <v>-11.7323</v>
      </c>
      <c r="BA16" s="126">
        <f t="shared" si="6"/>
        <v>494.80650000000003</v>
      </c>
      <c r="BB16" s="126">
        <f t="shared" si="7"/>
        <v>-506.53880000000004</v>
      </c>
      <c r="BD16" s="126">
        <f t="shared" si="27"/>
        <v>7.8900000000000006</v>
      </c>
      <c r="BE16" s="126">
        <f t="shared" si="28"/>
        <v>-53.422231000000025</v>
      </c>
      <c r="BF16" s="126">
        <f t="shared" si="8"/>
        <v>-61.312231000000025</v>
      </c>
      <c r="BH16" s="126">
        <f t="shared" si="29"/>
        <v>6.7969999999999997</v>
      </c>
      <c r="BI16" s="126">
        <f t="shared" si="30"/>
        <v>-24.469738128677626</v>
      </c>
      <c r="BJ16" s="126">
        <f t="shared" si="31"/>
        <v>-31.266738128677627</v>
      </c>
      <c r="BL16" s="126">
        <f t="shared" si="9"/>
        <v>-16.000000000000007</v>
      </c>
      <c r="BM16" s="126">
        <f t="shared" si="10"/>
        <v>-76.305799999999991</v>
      </c>
      <c r="BN16" s="126">
        <f t="shared" si="11"/>
        <v>-60.305799999999984</v>
      </c>
      <c r="BP16" s="126">
        <f t="shared" si="12"/>
        <v>12.65</v>
      </c>
      <c r="BQ16" s="126">
        <f t="shared" si="13"/>
        <v>-67.336500000000015</v>
      </c>
      <c r="BR16" s="126">
        <f t="shared" si="14"/>
        <v>-79.986500000000021</v>
      </c>
      <c r="BT16" s="126">
        <f t="shared" si="15"/>
        <v>-22.5</v>
      </c>
      <c r="BU16" s="126">
        <f t="shared" si="16"/>
        <v>-291.29651999999993</v>
      </c>
      <c r="BV16" s="126">
        <f t="shared" si="17"/>
        <v>-268.79651999999993</v>
      </c>
      <c r="CC16">
        <f t="shared" si="32"/>
        <v>-4.8370000000000006</v>
      </c>
    </row>
    <row r="17" spans="1:81" x14ac:dyDescent="0.2">
      <c r="A17">
        <v>11.4</v>
      </c>
      <c r="B17">
        <v>125.60000000000001</v>
      </c>
      <c r="C17">
        <v>178.9</v>
      </c>
      <c r="D17" s="126">
        <f t="shared" si="18"/>
        <v>11.4533</v>
      </c>
      <c r="E17">
        <v>4255</v>
      </c>
      <c r="F17">
        <v>7667</v>
      </c>
      <c r="G17">
        <v>4133</v>
      </c>
      <c r="H17" s="126">
        <f t="shared" si="19"/>
        <v>0.72099999999999997</v>
      </c>
      <c r="J17">
        <v>-2.65</v>
      </c>
      <c r="K17">
        <v>10.46</v>
      </c>
      <c r="L17">
        <v>5.01</v>
      </c>
      <c r="M17" s="126">
        <f t="shared" si="20"/>
        <v>-8.1000000000000014</v>
      </c>
      <c r="N17">
        <v>-6402</v>
      </c>
      <c r="O17">
        <v>5724</v>
      </c>
      <c r="P17">
        <v>8764</v>
      </c>
      <c r="Q17" s="126">
        <f t="shared" si="21"/>
        <v>-3.3620000000000001</v>
      </c>
      <c r="R17">
        <v>11.4</v>
      </c>
      <c r="S17">
        <v>77.03</v>
      </c>
      <c r="T17">
        <v>81.22</v>
      </c>
      <c r="U17" s="126">
        <f t="shared" si="22"/>
        <v>15.589999999999998</v>
      </c>
      <c r="V17">
        <v>-13.540000000000001</v>
      </c>
      <c r="W17">
        <v>11.33</v>
      </c>
      <c r="X17">
        <v>11.57</v>
      </c>
      <c r="Y17" s="126">
        <f t="shared" si="23"/>
        <v>-13.3</v>
      </c>
      <c r="Z17">
        <v>9.08</v>
      </c>
      <c r="AA17">
        <v>46.81</v>
      </c>
      <c r="AB17">
        <v>66.650000000000006</v>
      </c>
      <c r="AC17" s="126">
        <f t="shared" si="24"/>
        <v>28.92</v>
      </c>
      <c r="AF17" s="128">
        <v>38122</v>
      </c>
      <c r="AG17" s="144">
        <v>-1103.4850000000001</v>
      </c>
      <c r="AH17" s="142">
        <f>SUM($AG$1:AG17)/1000</f>
        <v>-14.340365</v>
      </c>
      <c r="AI17" s="142">
        <f t="shared" si="0"/>
        <v>52.318746000000026</v>
      </c>
      <c r="AJ17" s="147">
        <f t="shared" si="25"/>
        <v>-258</v>
      </c>
      <c r="AK17" s="143">
        <v>-0.25800000000000001</v>
      </c>
      <c r="AL17" s="142">
        <f t="shared" si="1"/>
        <v>24.397790599758043</v>
      </c>
      <c r="AM17" s="144">
        <v>-721.7</v>
      </c>
      <c r="AN17" s="142">
        <f>SUM($AM$1:AM17)/1000</f>
        <v>-12.610000000000003</v>
      </c>
      <c r="AO17" s="142">
        <f t="shared" si="2"/>
        <v>75.584099999999992</v>
      </c>
      <c r="AP17" s="144">
        <v>-798.1</v>
      </c>
      <c r="AQ17" s="145">
        <f>SUM($AP$1:AP17)/1000</f>
        <v>-16.797199999999997</v>
      </c>
      <c r="AR17" s="142">
        <f t="shared" si="3"/>
        <v>66.538400000000024</v>
      </c>
      <c r="AS17" s="144">
        <v>-3480.9500000000003</v>
      </c>
      <c r="AT17" s="142">
        <f>SUM($AS$1:AS17)/1000</f>
        <v>-45.332879999999996</v>
      </c>
      <c r="AU17" s="142">
        <f t="shared" si="4"/>
        <v>287.81556999999992</v>
      </c>
      <c r="AV17" s="144">
        <v>8658</v>
      </c>
      <c r="AW17" s="142">
        <f>SUM($AV$1:AV17)/1000</f>
        <v>84.366</v>
      </c>
      <c r="AX17" s="142">
        <f t="shared" si="5"/>
        <v>-486.14850000000001</v>
      </c>
      <c r="AZ17" s="126">
        <f t="shared" si="26"/>
        <v>-11.4533</v>
      </c>
      <c r="BA17" s="126">
        <f t="shared" si="6"/>
        <v>486.14850000000001</v>
      </c>
      <c r="BB17" s="126">
        <f t="shared" si="7"/>
        <v>-497.60180000000003</v>
      </c>
      <c r="BD17" s="126">
        <f t="shared" si="27"/>
        <v>8.1000000000000014</v>
      </c>
      <c r="BE17" s="126">
        <f t="shared" si="28"/>
        <v>-52.318746000000026</v>
      </c>
      <c r="BF17" s="126">
        <f t="shared" si="8"/>
        <v>-60.418746000000027</v>
      </c>
      <c r="BH17" s="126">
        <f t="shared" si="29"/>
        <v>3.3620000000000001</v>
      </c>
      <c r="BI17" s="126">
        <f t="shared" si="30"/>
        <v>-24.397790599758043</v>
      </c>
      <c r="BJ17" s="126">
        <f t="shared" si="31"/>
        <v>-27.759790599758041</v>
      </c>
      <c r="BL17" s="126">
        <f t="shared" si="9"/>
        <v>-15.589999999999998</v>
      </c>
      <c r="BM17" s="126">
        <f t="shared" si="10"/>
        <v>-75.584099999999992</v>
      </c>
      <c r="BN17" s="126">
        <f t="shared" si="11"/>
        <v>-59.994099999999996</v>
      </c>
      <c r="BP17" s="126">
        <f t="shared" si="12"/>
        <v>13.3</v>
      </c>
      <c r="BQ17" s="126">
        <f t="shared" si="13"/>
        <v>-66.538400000000024</v>
      </c>
      <c r="BR17" s="126">
        <f t="shared" si="14"/>
        <v>-79.838400000000021</v>
      </c>
      <c r="BT17" s="126">
        <f t="shared" si="15"/>
        <v>-28.92</v>
      </c>
      <c r="BU17" s="126">
        <f t="shared" si="16"/>
        <v>-287.81556999999992</v>
      </c>
      <c r="BV17" s="126">
        <f t="shared" si="17"/>
        <v>-258.89556999999991</v>
      </c>
      <c r="CC17">
        <f t="shared" si="32"/>
        <v>4.1579999999999995</v>
      </c>
    </row>
    <row r="18" spans="1:81" x14ac:dyDescent="0.2">
      <c r="A18">
        <v>31.03</v>
      </c>
      <c r="B18">
        <v>127.10000000000001</v>
      </c>
      <c r="C18">
        <v>181</v>
      </c>
      <c r="D18" s="126">
        <f t="shared" si="18"/>
        <v>31.0839</v>
      </c>
      <c r="E18">
        <v>4230</v>
      </c>
      <c r="F18">
        <v>7760</v>
      </c>
      <c r="G18">
        <v>4251</v>
      </c>
      <c r="H18" s="126">
        <f t="shared" si="19"/>
        <v>0.72099999999999997</v>
      </c>
      <c r="J18">
        <v>-2.98</v>
      </c>
      <c r="K18">
        <v>10.6</v>
      </c>
      <c r="L18">
        <v>5.03</v>
      </c>
      <c r="M18" s="126">
        <f t="shared" si="20"/>
        <v>-8.5499999999999989</v>
      </c>
      <c r="N18">
        <v>-5665</v>
      </c>
      <c r="O18">
        <v>5790</v>
      </c>
      <c r="P18">
        <v>9130</v>
      </c>
      <c r="Q18" s="126">
        <f t="shared" si="21"/>
        <v>-2.3250000000000002</v>
      </c>
      <c r="R18">
        <v>31.03</v>
      </c>
      <c r="S18">
        <v>77.97</v>
      </c>
      <c r="T18">
        <v>81.89</v>
      </c>
      <c r="U18" s="126">
        <f t="shared" si="22"/>
        <v>34.950000000000003</v>
      </c>
      <c r="V18">
        <v>-15.06</v>
      </c>
      <c r="W18">
        <v>11.47</v>
      </c>
      <c r="X18">
        <v>11.55</v>
      </c>
      <c r="Y18" s="126">
        <f t="shared" si="23"/>
        <v>-14.98</v>
      </c>
      <c r="Z18">
        <v>6.91</v>
      </c>
      <c r="AA18">
        <v>47.43</v>
      </c>
      <c r="AB18">
        <v>68.460000000000008</v>
      </c>
      <c r="AC18" s="126">
        <f t="shared" si="24"/>
        <v>27.940000000000008</v>
      </c>
      <c r="AF18" s="128">
        <v>38153</v>
      </c>
      <c r="AG18" s="144">
        <v>-836.11500000000001</v>
      </c>
      <c r="AH18" s="142">
        <f>SUM($AG$1:AG18)/1000</f>
        <v>-15.17648</v>
      </c>
      <c r="AI18" s="142">
        <f t="shared" si="0"/>
        <v>51.482631000000026</v>
      </c>
      <c r="AJ18" s="147">
        <f t="shared" si="25"/>
        <v>-392.25471681868004</v>
      </c>
      <c r="AK18" s="143">
        <v>-0.39225471681868002</v>
      </c>
      <c r="AL18" s="142">
        <f t="shared" si="1"/>
        <v>24.263535882939362</v>
      </c>
      <c r="AM18" s="144">
        <v>-1197.7</v>
      </c>
      <c r="AN18" s="142">
        <f>SUM($AM$1:AM18)/1000</f>
        <v>-13.807700000000004</v>
      </c>
      <c r="AO18" s="142">
        <f t="shared" si="2"/>
        <v>74.386399999999981</v>
      </c>
      <c r="AP18" s="144">
        <v>-905.1</v>
      </c>
      <c r="AQ18" s="145">
        <f>SUM($AP$1:AP18)/1000</f>
        <v>-17.702299999999994</v>
      </c>
      <c r="AR18" s="142">
        <f t="shared" si="3"/>
        <v>65.63330000000002</v>
      </c>
      <c r="AS18" s="144">
        <v>-4558.24</v>
      </c>
      <c r="AT18" s="142">
        <f>SUM($AS$1:AS18)/1000</f>
        <v>-49.891119999999994</v>
      </c>
      <c r="AU18" s="142">
        <f t="shared" si="4"/>
        <v>283.25732999999991</v>
      </c>
      <c r="AV18" s="144">
        <v>10594</v>
      </c>
      <c r="AW18" s="142">
        <f>SUM($AV$1:AV18)/1000</f>
        <v>94.96</v>
      </c>
      <c r="AX18" s="142">
        <f t="shared" si="5"/>
        <v>-475.55450000000002</v>
      </c>
      <c r="AZ18" s="126">
        <f t="shared" si="26"/>
        <v>-31.0839</v>
      </c>
      <c r="BA18" s="126">
        <f t="shared" si="6"/>
        <v>475.55450000000002</v>
      </c>
      <c r="BB18" s="126">
        <f t="shared" si="7"/>
        <v>-506.63840000000005</v>
      </c>
      <c r="BD18" s="126">
        <f t="shared" si="27"/>
        <v>8.5499999999999989</v>
      </c>
      <c r="BE18" s="126">
        <f t="shared" si="28"/>
        <v>-51.482631000000026</v>
      </c>
      <c r="BF18" s="126">
        <f t="shared" si="8"/>
        <v>-60.032631000000023</v>
      </c>
      <c r="BH18" s="126">
        <f t="shared" si="29"/>
        <v>2.3250000000000002</v>
      </c>
      <c r="BI18" s="126">
        <f t="shared" si="30"/>
        <v>-24.263535882939362</v>
      </c>
      <c r="BJ18" s="126">
        <f t="shared" si="31"/>
        <v>-26.588535882939361</v>
      </c>
      <c r="BL18" s="126">
        <f t="shared" si="9"/>
        <v>-34.950000000000003</v>
      </c>
      <c r="BM18" s="126">
        <f t="shared" si="10"/>
        <v>-74.386399999999981</v>
      </c>
      <c r="BN18" s="126">
        <f t="shared" si="11"/>
        <v>-39.436399999999978</v>
      </c>
      <c r="BP18" s="126">
        <f t="shared" si="12"/>
        <v>14.98</v>
      </c>
      <c r="BQ18" s="126">
        <f t="shared" si="13"/>
        <v>-65.63330000000002</v>
      </c>
      <c r="BR18" s="126">
        <f t="shared" si="14"/>
        <v>-80.613300000000024</v>
      </c>
      <c r="BT18" s="126">
        <f t="shared" si="15"/>
        <v>-27.940000000000008</v>
      </c>
      <c r="BU18" s="126">
        <f t="shared" si="16"/>
        <v>-283.25732999999991</v>
      </c>
      <c r="BV18" s="126">
        <f t="shared" si="17"/>
        <v>-255.31732999999991</v>
      </c>
      <c r="CC18">
        <f t="shared" si="32"/>
        <v>2.0850000000000088</v>
      </c>
    </row>
    <row r="19" spans="1:81" x14ac:dyDescent="0.2">
      <c r="A19">
        <v>23.36</v>
      </c>
      <c r="B19">
        <v>130.80000000000001</v>
      </c>
      <c r="C19">
        <v>186.4</v>
      </c>
      <c r="D19" s="126">
        <f t="shared" si="18"/>
        <v>23.415599999999998</v>
      </c>
      <c r="E19">
        <v>4313</v>
      </c>
      <c r="F19">
        <v>7991</v>
      </c>
      <c r="G19">
        <v>4399</v>
      </c>
      <c r="H19" s="126">
        <f t="shared" si="19"/>
        <v>0.72099999999999997</v>
      </c>
      <c r="J19">
        <v>-3.04</v>
      </c>
      <c r="K19">
        <v>10.92</v>
      </c>
      <c r="L19">
        <v>5.36</v>
      </c>
      <c r="M19" s="126">
        <f t="shared" si="20"/>
        <v>-8.6</v>
      </c>
      <c r="N19">
        <v>-6135</v>
      </c>
      <c r="O19">
        <v>5953</v>
      </c>
      <c r="P19">
        <v>9623</v>
      </c>
      <c r="Q19" s="126">
        <f t="shared" si="21"/>
        <v>-2.4649999999999999</v>
      </c>
      <c r="R19">
        <v>23.36</v>
      </c>
      <c r="S19">
        <v>80.260000000000005</v>
      </c>
      <c r="T19">
        <v>84.51</v>
      </c>
      <c r="U19" s="126">
        <f t="shared" si="22"/>
        <v>27.61</v>
      </c>
      <c r="V19">
        <v>-13.61</v>
      </c>
      <c r="W19">
        <v>11.81</v>
      </c>
      <c r="X19">
        <v>12.07</v>
      </c>
      <c r="Y19" s="126">
        <f t="shared" si="23"/>
        <v>-13.35</v>
      </c>
      <c r="Z19">
        <v>13.06</v>
      </c>
      <c r="AA19">
        <v>48.82</v>
      </c>
      <c r="AB19">
        <v>70.03</v>
      </c>
      <c r="AC19" s="126">
        <f t="shared" si="24"/>
        <v>34.270000000000003</v>
      </c>
      <c r="AF19" s="128">
        <v>38183</v>
      </c>
      <c r="AG19" s="144">
        <v>-417.19800000000004</v>
      </c>
      <c r="AH19" s="142">
        <f>SUM($AG$1:AG19)/1000</f>
        <v>-15.593678000000001</v>
      </c>
      <c r="AI19" s="142">
        <f t="shared" si="0"/>
        <v>51.065433000000027</v>
      </c>
      <c r="AJ19" s="147">
        <f t="shared" si="25"/>
        <v>-536.01692481884447</v>
      </c>
      <c r="AK19" s="143">
        <v>-0.53601692481884444</v>
      </c>
      <c r="AL19" s="142">
        <f t="shared" si="1"/>
        <v>24.119773674939196</v>
      </c>
      <c r="AM19" s="144">
        <v>4013.6000000000004</v>
      </c>
      <c r="AN19" s="142">
        <f>SUM($AM$1:AM19)/1000</f>
        <v>-9.7941000000000038</v>
      </c>
      <c r="AO19" s="142">
        <f t="shared" si="2"/>
        <v>78.399999999999991</v>
      </c>
      <c r="AP19" s="144">
        <v>-254.3</v>
      </c>
      <c r="AQ19" s="145">
        <f>SUM($AP$1:AP19)/1000</f>
        <v>-17.956599999999995</v>
      </c>
      <c r="AR19" s="142">
        <f t="shared" si="3"/>
        <v>65.379000000000019</v>
      </c>
      <c r="AS19" s="144">
        <v>-3542.15</v>
      </c>
      <c r="AT19" s="142">
        <f>SUM($AS$1:AS19)/1000</f>
        <v>-53.43327</v>
      </c>
      <c r="AU19" s="142">
        <f t="shared" si="4"/>
        <v>279.71517999999992</v>
      </c>
      <c r="AV19" s="144">
        <v>7772</v>
      </c>
      <c r="AW19" s="142">
        <f>SUM($AV$1:AV19)/1000</f>
        <v>102.732</v>
      </c>
      <c r="AX19" s="142">
        <f t="shared" si="5"/>
        <v>-467.78250000000003</v>
      </c>
      <c r="AZ19" s="126">
        <f t="shared" si="26"/>
        <v>-23.415599999999998</v>
      </c>
      <c r="BA19" s="126">
        <f t="shared" si="6"/>
        <v>467.78250000000003</v>
      </c>
      <c r="BB19" s="126">
        <f t="shared" si="7"/>
        <v>-491.19810000000001</v>
      </c>
      <c r="BD19" s="126">
        <f t="shared" si="27"/>
        <v>8.6</v>
      </c>
      <c r="BE19" s="126">
        <f t="shared" si="28"/>
        <v>-51.065433000000027</v>
      </c>
      <c r="BF19" s="126">
        <f t="shared" si="8"/>
        <v>-59.665433000000029</v>
      </c>
      <c r="BH19" s="126">
        <f t="shared" si="29"/>
        <v>2.4649999999999999</v>
      </c>
      <c r="BI19" s="126">
        <f t="shared" si="30"/>
        <v>-24.119773674939196</v>
      </c>
      <c r="BJ19" s="126">
        <f t="shared" si="31"/>
        <v>-26.584773674939196</v>
      </c>
      <c r="BL19" s="126">
        <f t="shared" si="9"/>
        <v>-27.61</v>
      </c>
      <c r="BM19" s="126">
        <f t="shared" si="10"/>
        <v>-78.399999999999991</v>
      </c>
      <c r="BN19" s="126">
        <f t="shared" si="11"/>
        <v>-50.789999999999992</v>
      </c>
      <c r="BP19" s="126">
        <f t="shared" si="12"/>
        <v>13.35</v>
      </c>
      <c r="BQ19" s="126">
        <f t="shared" si="13"/>
        <v>-65.379000000000019</v>
      </c>
      <c r="BR19" s="126">
        <f t="shared" si="14"/>
        <v>-78.729000000000013</v>
      </c>
      <c r="BT19" s="126">
        <f t="shared" si="15"/>
        <v>-34.270000000000003</v>
      </c>
      <c r="BU19" s="126">
        <f t="shared" si="16"/>
        <v>-279.71517999999992</v>
      </c>
      <c r="BV19" s="126">
        <f t="shared" si="17"/>
        <v>-245.44517999999991</v>
      </c>
      <c r="CC19">
        <f t="shared" si="32"/>
        <v>9.8550000000000022</v>
      </c>
    </row>
    <row r="20" spans="1:81" x14ac:dyDescent="0.2">
      <c r="A20">
        <v>25.37</v>
      </c>
      <c r="B20">
        <v>130</v>
      </c>
      <c r="C20">
        <v>188.60000000000002</v>
      </c>
      <c r="D20" s="126">
        <f t="shared" si="18"/>
        <v>25.428599999999999</v>
      </c>
      <c r="E20">
        <v>4306</v>
      </c>
      <c r="F20">
        <v>7945</v>
      </c>
      <c r="G20">
        <v>4360</v>
      </c>
      <c r="H20" s="126">
        <f t="shared" si="19"/>
        <v>0.72099999999999997</v>
      </c>
      <c r="J20">
        <v>-2.35</v>
      </c>
      <c r="K20">
        <v>10.85</v>
      </c>
      <c r="L20">
        <v>5.01</v>
      </c>
      <c r="M20" s="126">
        <f t="shared" si="20"/>
        <v>-8.19</v>
      </c>
      <c r="N20">
        <v>-7122</v>
      </c>
      <c r="O20">
        <v>5923</v>
      </c>
      <c r="P20">
        <v>9795</v>
      </c>
      <c r="Q20" s="126">
        <f t="shared" si="21"/>
        <v>-3.25</v>
      </c>
      <c r="R20">
        <v>25.37</v>
      </c>
      <c r="S20">
        <v>79.77</v>
      </c>
      <c r="T20">
        <v>83.29</v>
      </c>
      <c r="U20" s="126">
        <f t="shared" si="22"/>
        <v>28.890000000000011</v>
      </c>
      <c r="V20">
        <v>-12.72</v>
      </c>
      <c r="W20">
        <v>11.74</v>
      </c>
      <c r="X20">
        <v>11.36</v>
      </c>
      <c r="Y20" s="126">
        <f t="shared" si="23"/>
        <v>-13.100000000000001</v>
      </c>
      <c r="Z20">
        <v>6.8</v>
      </c>
      <c r="AA20">
        <v>48.56</v>
      </c>
      <c r="AB20">
        <v>68.38</v>
      </c>
      <c r="AC20" s="126">
        <f t="shared" si="24"/>
        <v>26.619999999999994</v>
      </c>
      <c r="AF20" s="128">
        <v>38214</v>
      </c>
      <c r="AG20" s="144">
        <v>-904.03700000000003</v>
      </c>
      <c r="AH20" s="142">
        <f>SUM($AG$1:AG20)/1000</f>
        <v>-16.497714999999999</v>
      </c>
      <c r="AI20" s="142">
        <f t="shared" si="0"/>
        <v>50.161396000000025</v>
      </c>
      <c r="AJ20" s="147">
        <f t="shared" si="25"/>
        <v>-617</v>
      </c>
      <c r="AK20" s="143">
        <v>-0.61699999999999999</v>
      </c>
      <c r="AL20" s="142">
        <f t="shared" si="1"/>
        <v>24.038790599758041</v>
      </c>
      <c r="AM20" s="144">
        <v>1026.7</v>
      </c>
      <c r="AN20" s="142">
        <f>SUM($AM$1:AM20)/1000</f>
        <v>-8.7674000000000039</v>
      </c>
      <c r="AO20" s="142">
        <f t="shared" si="2"/>
        <v>79.426699999999983</v>
      </c>
      <c r="AP20" s="144">
        <v>1011.1</v>
      </c>
      <c r="AQ20" s="145">
        <f>SUM($AP$1:AP20)/1000</f>
        <v>-16.945499999999996</v>
      </c>
      <c r="AR20" s="142">
        <f t="shared" si="3"/>
        <v>66.390100000000018</v>
      </c>
      <c r="AS20" s="144">
        <v>-2658.9900000000002</v>
      </c>
      <c r="AT20" s="142">
        <f>SUM($AS$1:AS20)/1000</f>
        <v>-56.092259999999996</v>
      </c>
      <c r="AU20" s="142">
        <f t="shared" si="4"/>
        <v>277.0561899999999</v>
      </c>
      <c r="AV20" s="144">
        <v>3731</v>
      </c>
      <c r="AW20" s="142">
        <f>SUM($AV$1:AV20)/1000</f>
        <v>106.46299999999999</v>
      </c>
      <c r="AX20" s="142">
        <f t="shared" si="5"/>
        <v>-464.05150000000003</v>
      </c>
      <c r="AZ20" s="126">
        <f t="shared" si="26"/>
        <v>-25.428599999999999</v>
      </c>
      <c r="BA20" s="126">
        <f t="shared" si="6"/>
        <v>464.05150000000003</v>
      </c>
      <c r="BB20" s="126">
        <f t="shared" si="7"/>
        <v>-489.48010000000005</v>
      </c>
      <c r="BD20" s="126">
        <f t="shared" si="27"/>
        <v>8.19</v>
      </c>
      <c r="BE20" s="126">
        <f t="shared" si="28"/>
        <v>-50.161396000000025</v>
      </c>
      <c r="BF20" s="126">
        <f t="shared" si="8"/>
        <v>-58.351396000000022</v>
      </c>
      <c r="BH20" s="126">
        <f t="shared" si="29"/>
        <v>3.25</v>
      </c>
      <c r="BI20" s="126">
        <f t="shared" si="30"/>
        <v>-24.038790599758041</v>
      </c>
      <c r="BJ20" s="126">
        <f t="shared" si="31"/>
        <v>-27.288790599758041</v>
      </c>
      <c r="BL20" s="126">
        <f t="shared" si="9"/>
        <v>-28.890000000000011</v>
      </c>
      <c r="BM20" s="126">
        <f t="shared" si="10"/>
        <v>-79.426699999999983</v>
      </c>
      <c r="BN20" s="126">
        <f t="shared" si="11"/>
        <v>-50.536699999999968</v>
      </c>
      <c r="BP20" s="126">
        <f t="shared" si="12"/>
        <v>13.100000000000001</v>
      </c>
      <c r="BQ20" s="126">
        <f t="shared" si="13"/>
        <v>-66.390100000000018</v>
      </c>
      <c r="BR20" s="126">
        <f t="shared" si="14"/>
        <v>-79.490100000000012</v>
      </c>
      <c r="BT20" s="126">
        <f t="shared" si="15"/>
        <v>-26.619999999999994</v>
      </c>
      <c r="BU20" s="126">
        <f t="shared" si="16"/>
        <v>-277.0561899999999</v>
      </c>
      <c r="BV20" s="126">
        <f t="shared" si="17"/>
        <v>-250.4361899999999</v>
      </c>
      <c r="CC20">
        <f t="shared" si="32"/>
        <v>2.079999999999993</v>
      </c>
    </row>
    <row r="21" spans="1:81" x14ac:dyDescent="0.2">
      <c r="A21">
        <v>22.080000000000002</v>
      </c>
      <c r="B21">
        <v>131.30000000000001</v>
      </c>
      <c r="C21">
        <v>192.3</v>
      </c>
      <c r="D21" s="126">
        <f t="shared" si="18"/>
        <v>22.141000000000002</v>
      </c>
      <c r="E21">
        <v>4281</v>
      </c>
      <c r="F21">
        <v>8026</v>
      </c>
      <c r="G21">
        <v>4466</v>
      </c>
      <c r="H21" s="126">
        <f t="shared" si="19"/>
        <v>0.72099999999999997</v>
      </c>
      <c r="J21">
        <v>-3.37</v>
      </c>
      <c r="K21">
        <v>10.97</v>
      </c>
      <c r="L21">
        <v>4.74</v>
      </c>
      <c r="M21" s="126">
        <f t="shared" si="20"/>
        <v>-9.6000000000000014</v>
      </c>
      <c r="N21">
        <v>-7489</v>
      </c>
      <c r="O21">
        <v>5983</v>
      </c>
      <c r="P21">
        <v>10036</v>
      </c>
      <c r="Q21" s="126">
        <f t="shared" si="21"/>
        <v>-3.4359999999999999</v>
      </c>
      <c r="R21">
        <v>22.080000000000002</v>
      </c>
      <c r="S21">
        <v>80.61</v>
      </c>
      <c r="T21">
        <v>84.19</v>
      </c>
      <c r="U21" s="126">
        <f t="shared" si="22"/>
        <v>25.66</v>
      </c>
      <c r="V21">
        <v>-10.07</v>
      </c>
      <c r="W21">
        <v>11.870000000000001</v>
      </c>
      <c r="X21">
        <v>11.27</v>
      </c>
      <c r="Y21" s="126">
        <f t="shared" si="23"/>
        <v>-10.670000000000002</v>
      </c>
      <c r="Z21">
        <v>0.85</v>
      </c>
      <c r="AA21">
        <v>49.050000000000004</v>
      </c>
      <c r="AB21">
        <v>68.710000000000008</v>
      </c>
      <c r="AC21" s="126">
        <f t="shared" si="24"/>
        <v>20.510000000000005</v>
      </c>
      <c r="AF21" s="128">
        <v>38245</v>
      </c>
      <c r="AG21" s="144">
        <v>-1236.8820000000001</v>
      </c>
      <c r="AH21" s="142">
        <f>SUM($AG$1:AG21)/1000</f>
        <v>-17.734597000000001</v>
      </c>
      <c r="AI21" s="142">
        <f t="shared" si="0"/>
        <v>48.924514000000023</v>
      </c>
      <c r="AJ21" s="147">
        <f t="shared" si="25"/>
        <v>-603.97627433852426</v>
      </c>
      <c r="AK21" s="143">
        <v>-0.6039762743385243</v>
      </c>
      <c r="AL21" s="142">
        <f t="shared" si="1"/>
        <v>24.051814325419517</v>
      </c>
      <c r="AM21" s="144">
        <v>399.90000000000003</v>
      </c>
      <c r="AN21" s="142">
        <f>SUM($AM$1:AM21)/1000</f>
        <v>-8.3675000000000033</v>
      </c>
      <c r="AO21" s="142">
        <f t="shared" si="2"/>
        <v>79.826599999999985</v>
      </c>
      <c r="AP21" s="144">
        <v>-332.90000000000003</v>
      </c>
      <c r="AQ21" s="145">
        <f>SUM($AP$1:AP21)/1000</f>
        <v>-17.278399999999998</v>
      </c>
      <c r="AR21" s="142">
        <f t="shared" si="3"/>
        <v>66.057200000000023</v>
      </c>
      <c r="AS21" s="144">
        <v>-4824.07</v>
      </c>
      <c r="AT21" s="142">
        <f>SUM($AS$1:AS21)/1000</f>
        <v>-60.916329999999995</v>
      </c>
      <c r="AU21" s="142">
        <f t="shared" si="4"/>
        <v>272.2321199999999</v>
      </c>
      <c r="AV21" s="144">
        <v>7310</v>
      </c>
      <c r="AW21" s="142">
        <f>SUM($AV$1:AV21)/1000</f>
        <v>113.773</v>
      </c>
      <c r="AX21" s="142">
        <f t="shared" si="5"/>
        <v>-456.74149999999997</v>
      </c>
      <c r="AZ21" s="126">
        <f t="shared" si="26"/>
        <v>-22.141000000000002</v>
      </c>
      <c r="BA21" s="126">
        <f t="shared" si="6"/>
        <v>456.74149999999997</v>
      </c>
      <c r="BB21" s="126">
        <f t="shared" si="7"/>
        <v>-478.88249999999999</v>
      </c>
      <c r="BD21" s="126">
        <f t="shared" si="27"/>
        <v>9.6000000000000014</v>
      </c>
      <c r="BE21" s="126">
        <f t="shared" si="28"/>
        <v>-48.924514000000023</v>
      </c>
      <c r="BF21" s="126">
        <f t="shared" si="8"/>
        <v>-58.524514000000025</v>
      </c>
      <c r="BH21" s="126">
        <f t="shared" si="29"/>
        <v>3.4359999999999999</v>
      </c>
      <c r="BI21" s="126">
        <f t="shared" si="30"/>
        <v>-24.051814325419517</v>
      </c>
      <c r="BJ21" s="126">
        <f t="shared" si="31"/>
        <v>-27.487814325419517</v>
      </c>
      <c r="BL21" s="126">
        <f t="shared" si="9"/>
        <v>-25.66</v>
      </c>
      <c r="BM21" s="126">
        <f t="shared" si="10"/>
        <v>-79.826599999999985</v>
      </c>
      <c r="BN21" s="126">
        <f t="shared" si="11"/>
        <v>-54.166599999999988</v>
      </c>
      <c r="BP21" s="126">
        <f t="shared" si="12"/>
        <v>10.670000000000002</v>
      </c>
      <c r="BQ21" s="126">
        <f t="shared" si="13"/>
        <v>-66.057200000000023</v>
      </c>
      <c r="BR21" s="126">
        <f t="shared" si="14"/>
        <v>-76.727200000000025</v>
      </c>
      <c r="BT21" s="126">
        <f t="shared" si="15"/>
        <v>-20.510000000000005</v>
      </c>
      <c r="BU21" s="126">
        <f t="shared" si="16"/>
        <v>-272.2321199999999</v>
      </c>
      <c r="BV21" s="126">
        <f t="shared" si="17"/>
        <v>-251.7221199999999</v>
      </c>
      <c r="CC21">
        <f t="shared" si="32"/>
        <v>-3.195999999999998</v>
      </c>
    </row>
    <row r="22" spans="1:81" x14ac:dyDescent="0.2">
      <c r="A22">
        <v>14.07</v>
      </c>
      <c r="B22">
        <v>133.1</v>
      </c>
      <c r="C22">
        <v>195.3</v>
      </c>
      <c r="D22" s="126">
        <f t="shared" si="18"/>
        <v>14.132200000000001</v>
      </c>
      <c r="E22">
        <v>4303</v>
      </c>
      <c r="F22">
        <v>8131</v>
      </c>
      <c r="G22">
        <v>4548</v>
      </c>
      <c r="H22" s="126">
        <f t="shared" si="19"/>
        <v>0.72</v>
      </c>
      <c r="J22">
        <v>-2.52</v>
      </c>
      <c r="K22">
        <v>11.120000000000001</v>
      </c>
      <c r="L22">
        <v>4.8100000000000005</v>
      </c>
      <c r="M22" s="126">
        <f t="shared" si="20"/>
        <v>-8.83</v>
      </c>
      <c r="N22">
        <v>-9321</v>
      </c>
      <c r="O22">
        <v>6060</v>
      </c>
      <c r="P22">
        <v>10351</v>
      </c>
      <c r="Q22" s="126">
        <f t="shared" si="21"/>
        <v>-5.03</v>
      </c>
      <c r="R22">
        <v>14.07</v>
      </c>
      <c r="S22">
        <v>81.69</v>
      </c>
      <c r="T22">
        <v>84.97</v>
      </c>
      <c r="U22" s="126">
        <f t="shared" si="22"/>
        <v>17.350000000000001</v>
      </c>
      <c r="V22">
        <v>-11.370000000000001</v>
      </c>
      <c r="W22">
        <v>12.02</v>
      </c>
      <c r="X22">
        <v>11.48</v>
      </c>
      <c r="Y22" s="126">
        <f t="shared" si="23"/>
        <v>-11.91</v>
      </c>
      <c r="Z22">
        <v>28.64</v>
      </c>
      <c r="AA22">
        <v>49.67</v>
      </c>
      <c r="AB22">
        <v>69.12</v>
      </c>
      <c r="AC22" s="126">
        <f t="shared" si="24"/>
        <v>48.09</v>
      </c>
      <c r="AF22" s="128">
        <v>38275</v>
      </c>
      <c r="AG22" s="144">
        <v>-1251.278</v>
      </c>
      <c r="AH22" s="142">
        <f>SUM($AG$1:AG22)/1000</f>
        <v>-18.985875</v>
      </c>
      <c r="AI22" s="142">
        <f t="shared" si="0"/>
        <v>47.673236000000024</v>
      </c>
      <c r="AJ22" s="147">
        <f t="shared" si="25"/>
        <v>-629.95390371827978</v>
      </c>
      <c r="AK22" s="143">
        <v>-0.62995390371827975</v>
      </c>
      <c r="AL22" s="142">
        <f t="shared" si="1"/>
        <v>24.025836696039761</v>
      </c>
      <c r="AM22" s="144">
        <v>571</v>
      </c>
      <c r="AN22" s="142">
        <f>SUM($AM$1:AM22)/1000</f>
        <v>-7.7965000000000035</v>
      </c>
      <c r="AO22" s="142">
        <f t="shared" si="2"/>
        <v>80.397599999999983</v>
      </c>
      <c r="AP22" s="144">
        <v>-899.2</v>
      </c>
      <c r="AQ22" s="145">
        <f>SUM($AP$1:AP22)/1000</f>
        <v>-18.177599999999998</v>
      </c>
      <c r="AR22" s="142">
        <f t="shared" si="3"/>
        <v>65.158000000000015</v>
      </c>
      <c r="AS22" s="144">
        <v>-3333.58</v>
      </c>
      <c r="AT22" s="142">
        <f>SUM($AS$1:AS22)/1000</f>
        <v>-64.24991</v>
      </c>
      <c r="AU22" s="142">
        <f t="shared" si="4"/>
        <v>268.89853999999991</v>
      </c>
      <c r="AV22" s="144">
        <v>8205</v>
      </c>
      <c r="AW22" s="142">
        <f>SUM($AV$1:AV22)/1000</f>
        <v>121.97799999999999</v>
      </c>
      <c r="AX22" s="142">
        <f t="shared" si="5"/>
        <v>-448.53649999999999</v>
      </c>
      <c r="AZ22" s="126">
        <f t="shared" si="26"/>
        <v>-14.132200000000001</v>
      </c>
      <c r="BA22" s="126">
        <f t="shared" si="6"/>
        <v>448.53649999999999</v>
      </c>
      <c r="BB22" s="126">
        <f t="shared" si="7"/>
        <v>-462.6687</v>
      </c>
      <c r="BD22" s="126">
        <f t="shared" si="27"/>
        <v>8.83</v>
      </c>
      <c r="BE22" s="126">
        <f t="shared" si="28"/>
        <v>-47.673236000000024</v>
      </c>
      <c r="BF22" s="126">
        <f t="shared" si="8"/>
        <v>-56.503236000000022</v>
      </c>
      <c r="BH22" s="126">
        <f t="shared" si="29"/>
        <v>5.03</v>
      </c>
      <c r="BI22" s="126">
        <f t="shared" si="30"/>
        <v>-24.025836696039761</v>
      </c>
      <c r="BJ22" s="126">
        <f t="shared" si="31"/>
        <v>-29.055836696039762</v>
      </c>
      <c r="BL22" s="126">
        <f t="shared" si="9"/>
        <v>-17.350000000000001</v>
      </c>
      <c r="BM22" s="126">
        <f t="shared" si="10"/>
        <v>-80.397599999999983</v>
      </c>
      <c r="BN22" s="126">
        <f t="shared" si="11"/>
        <v>-63.047599999999981</v>
      </c>
      <c r="BP22" s="126">
        <f t="shared" si="12"/>
        <v>11.91</v>
      </c>
      <c r="BQ22" s="126">
        <f t="shared" si="13"/>
        <v>-65.158000000000015</v>
      </c>
      <c r="BR22" s="126">
        <f t="shared" si="14"/>
        <v>-77.068000000000012</v>
      </c>
      <c r="BT22" s="126">
        <f t="shared" si="15"/>
        <v>-48.09</v>
      </c>
      <c r="BU22" s="126">
        <f t="shared" si="16"/>
        <v>-268.89853999999991</v>
      </c>
      <c r="BV22" s="126">
        <f t="shared" si="17"/>
        <v>-220.80853999999991</v>
      </c>
      <c r="CC22">
        <f t="shared" si="32"/>
        <v>22.320000000000007</v>
      </c>
    </row>
    <row r="23" spans="1:81" x14ac:dyDescent="0.2">
      <c r="A23">
        <v>15.39</v>
      </c>
      <c r="B23">
        <v>134.4</v>
      </c>
      <c r="C23">
        <v>197.5</v>
      </c>
      <c r="D23" s="126">
        <f t="shared" si="18"/>
        <v>15.453100000000001</v>
      </c>
      <c r="E23">
        <v>4313</v>
      </c>
      <c r="F23">
        <v>8214</v>
      </c>
      <c r="G23">
        <v>4617</v>
      </c>
      <c r="H23" s="126">
        <f t="shared" si="19"/>
        <v>0.71599999999999997</v>
      </c>
      <c r="J23">
        <v>-3.5500000000000003</v>
      </c>
      <c r="K23">
        <v>11.23</v>
      </c>
      <c r="L23">
        <v>4.8600000000000003</v>
      </c>
      <c r="M23" s="126">
        <f t="shared" si="20"/>
        <v>-9.92</v>
      </c>
      <c r="N23">
        <v>-7183</v>
      </c>
      <c r="O23">
        <v>6127</v>
      </c>
      <c r="P23">
        <v>10713</v>
      </c>
      <c r="Q23" s="126">
        <f t="shared" si="21"/>
        <v>-2.597</v>
      </c>
      <c r="R23">
        <v>15.39</v>
      </c>
      <c r="S23">
        <v>82.54</v>
      </c>
      <c r="T23">
        <v>86.17</v>
      </c>
      <c r="U23" s="126">
        <f t="shared" si="22"/>
        <v>19.019999999999996</v>
      </c>
      <c r="V23">
        <v>-12.24</v>
      </c>
      <c r="W23">
        <v>12.14</v>
      </c>
      <c r="X23">
        <v>11.46</v>
      </c>
      <c r="Y23" s="126">
        <f t="shared" si="23"/>
        <v>-12.92</v>
      </c>
      <c r="Z23">
        <v>15.08</v>
      </c>
      <c r="AA23">
        <v>50.160000000000004</v>
      </c>
      <c r="AB23">
        <v>70.03</v>
      </c>
      <c r="AC23" s="126">
        <f t="shared" si="24"/>
        <v>34.949999999999996</v>
      </c>
      <c r="AF23" s="128">
        <v>38306</v>
      </c>
      <c r="AG23" s="144">
        <v>-1209.1970000000001</v>
      </c>
      <c r="AH23" s="142">
        <f>SUM($AG$1:AG23)/1000</f>
        <v>-20.195072</v>
      </c>
      <c r="AI23" s="142">
        <f t="shared" si="0"/>
        <v>46.464039000000028</v>
      </c>
      <c r="AJ23" s="147">
        <f t="shared" si="25"/>
        <v>-869</v>
      </c>
      <c r="AK23" s="143">
        <v>-0.86899999999999999</v>
      </c>
      <c r="AL23" s="142">
        <f t="shared" si="1"/>
        <v>23.786790599758042</v>
      </c>
      <c r="AM23" s="144">
        <v>-1509.7</v>
      </c>
      <c r="AN23" s="142">
        <f>SUM($AM$1:AM23)/1000</f>
        <v>-9.306200000000004</v>
      </c>
      <c r="AO23" s="142">
        <f t="shared" si="2"/>
        <v>78.887899999999988</v>
      </c>
      <c r="AP23" s="144">
        <v>-1961.2</v>
      </c>
      <c r="AQ23" s="145">
        <f>SUM($AP$1:AP23)/1000</f>
        <v>-20.1388</v>
      </c>
      <c r="AR23" s="142">
        <f t="shared" si="3"/>
        <v>63.19680000000001</v>
      </c>
      <c r="AS23" s="144">
        <v>-2668.21</v>
      </c>
      <c r="AT23" s="142">
        <f>SUM($AS$1:AS23)/1000</f>
        <v>-66.918120000000002</v>
      </c>
      <c r="AU23" s="142">
        <f t="shared" si="4"/>
        <v>266.23032999999992</v>
      </c>
      <c r="AV23" s="144">
        <v>9221</v>
      </c>
      <c r="AW23" s="142">
        <f>SUM($AV$1:AV23)/1000</f>
        <v>131.19900000000001</v>
      </c>
      <c r="AX23" s="142">
        <f t="shared" si="5"/>
        <v>-439.31549999999999</v>
      </c>
      <c r="AZ23" s="126">
        <f t="shared" si="26"/>
        <v>-15.453100000000001</v>
      </c>
      <c r="BA23" s="126">
        <f t="shared" si="6"/>
        <v>439.31549999999999</v>
      </c>
      <c r="BB23" s="126">
        <f t="shared" si="7"/>
        <v>-454.76859999999999</v>
      </c>
      <c r="BD23" s="126">
        <f t="shared" si="27"/>
        <v>9.92</v>
      </c>
      <c r="BE23" s="126">
        <f t="shared" si="28"/>
        <v>-46.464039000000028</v>
      </c>
      <c r="BF23" s="126">
        <f t="shared" si="8"/>
        <v>-56.38403900000003</v>
      </c>
      <c r="BH23" s="126">
        <f t="shared" si="29"/>
        <v>2.597</v>
      </c>
      <c r="BI23" s="126">
        <f t="shared" si="30"/>
        <v>-23.786790599758042</v>
      </c>
      <c r="BJ23" s="126">
        <f t="shared" si="31"/>
        <v>-26.383790599758044</v>
      </c>
      <c r="BL23" s="126">
        <f t="shared" si="9"/>
        <v>-19.019999999999996</v>
      </c>
      <c r="BM23" s="126">
        <f t="shared" si="10"/>
        <v>-78.887899999999988</v>
      </c>
      <c r="BN23" s="126">
        <f t="shared" si="11"/>
        <v>-59.867899999999992</v>
      </c>
      <c r="BP23" s="126">
        <f t="shared" si="12"/>
        <v>12.92</v>
      </c>
      <c r="BQ23" s="126">
        <f t="shared" si="13"/>
        <v>-63.19680000000001</v>
      </c>
      <c r="BR23" s="126">
        <f t="shared" si="14"/>
        <v>-76.116800000000012</v>
      </c>
      <c r="BT23" s="126">
        <f t="shared" si="15"/>
        <v>-34.949999999999996</v>
      </c>
      <c r="BU23" s="126">
        <f t="shared" si="16"/>
        <v>-266.23032999999992</v>
      </c>
      <c r="BV23" s="126">
        <f t="shared" si="17"/>
        <v>-231.28032999999994</v>
      </c>
      <c r="CC23">
        <f t="shared" si="32"/>
        <v>9.5129999999999946</v>
      </c>
    </row>
    <row r="24" spans="1:81" x14ac:dyDescent="0.2">
      <c r="A24">
        <v>2.37</v>
      </c>
      <c r="B24">
        <v>141.30000000000001</v>
      </c>
      <c r="C24">
        <v>204.70000000000002</v>
      </c>
      <c r="D24" s="126">
        <f t="shared" si="18"/>
        <v>2.4334000000000002</v>
      </c>
      <c r="E24">
        <v>4564</v>
      </c>
      <c r="F24">
        <v>8643</v>
      </c>
      <c r="G24">
        <v>4796</v>
      </c>
      <c r="H24" s="126">
        <f t="shared" si="19"/>
        <v>0.71699999999999997</v>
      </c>
      <c r="J24">
        <v>-0.34</v>
      </c>
      <c r="K24">
        <v>11.8</v>
      </c>
      <c r="L24">
        <v>5.42</v>
      </c>
      <c r="M24" s="126">
        <f t="shared" si="20"/>
        <v>-6.7200000000000006</v>
      </c>
      <c r="N24">
        <v>-11222</v>
      </c>
      <c r="O24">
        <v>6437</v>
      </c>
      <c r="P24">
        <v>11491</v>
      </c>
      <c r="Q24" s="126">
        <f t="shared" si="21"/>
        <v>-6.1680000000000001</v>
      </c>
      <c r="R24">
        <v>2.37</v>
      </c>
      <c r="S24">
        <v>86.79</v>
      </c>
      <c r="T24">
        <v>92.87</v>
      </c>
      <c r="U24" s="126">
        <f t="shared" si="22"/>
        <v>8.4499999999999993</v>
      </c>
      <c r="V24">
        <v>-5.92</v>
      </c>
      <c r="W24">
        <v>12.76</v>
      </c>
      <c r="X24">
        <v>13.19</v>
      </c>
      <c r="Y24" s="126">
        <f t="shared" si="23"/>
        <v>-5.49</v>
      </c>
      <c r="Z24">
        <v>10.41</v>
      </c>
      <c r="AA24">
        <v>52.7</v>
      </c>
      <c r="AB24">
        <v>74.2</v>
      </c>
      <c r="AC24" s="126">
        <f t="shared" si="24"/>
        <v>31.91</v>
      </c>
      <c r="AF24" s="128">
        <v>38336</v>
      </c>
      <c r="AG24" s="144">
        <v>-1467.6610000000001</v>
      </c>
      <c r="AH24" s="142">
        <f>SUM($AG$1:AG24)/1000</f>
        <v>-21.662732999999999</v>
      </c>
      <c r="AI24" s="142">
        <f t="shared" si="0"/>
        <v>44.996378000000021</v>
      </c>
      <c r="AJ24" s="147">
        <f t="shared" si="25"/>
        <v>-1431.210556197593</v>
      </c>
      <c r="AK24" s="143">
        <v>-1.431210556197593</v>
      </c>
      <c r="AL24" s="142">
        <f t="shared" si="1"/>
        <v>23.224580043560451</v>
      </c>
      <c r="AM24" s="144">
        <v>-1678</v>
      </c>
      <c r="AN24" s="142">
        <f>SUM($AM$1:AM24)/1000</f>
        <v>-10.984200000000005</v>
      </c>
      <c r="AO24" s="142">
        <f t="shared" si="2"/>
        <v>77.20989999999999</v>
      </c>
      <c r="AP24" s="144">
        <v>-1842.4</v>
      </c>
      <c r="AQ24" s="145">
        <f>SUM($AP$1:AP24)/1000</f>
        <v>-21.981200000000001</v>
      </c>
      <c r="AR24" s="142">
        <f t="shared" si="3"/>
        <v>61.354400000000012</v>
      </c>
      <c r="AS24" s="144">
        <v>-4721.92</v>
      </c>
      <c r="AT24" s="142">
        <f>SUM($AS$1:AS24)/1000</f>
        <v>-71.640039999999999</v>
      </c>
      <c r="AU24" s="142">
        <f t="shared" si="4"/>
        <v>261.50840999999991</v>
      </c>
      <c r="AV24" s="144">
        <v>11697</v>
      </c>
      <c r="AW24" s="142">
        <f>SUM($AV$1:AV24)/1000</f>
        <v>142.89599999999999</v>
      </c>
      <c r="AX24" s="142">
        <f t="shared" si="5"/>
        <v>-427.61850000000004</v>
      </c>
      <c r="AZ24" s="126">
        <f t="shared" si="26"/>
        <v>-2.4334000000000002</v>
      </c>
      <c r="BA24" s="126">
        <f t="shared" si="6"/>
        <v>427.61850000000004</v>
      </c>
      <c r="BB24" s="126">
        <f t="shared" si="7"/>
        <v>-430.05190000000005</v>
      </c>
      <c r="BD24" s="126">
        <f t="shared" si="27"/>
        <v>6.7200000000000006</v>
      </c>
      <c r="BE24" s="126">
        <f t="shared" si="28"/>
        <v>-44.996378000000021</v>
      </c>
      <c r="BF24" s="126">
        <f t="shared" si="8"/>
        <v>-51.71637800000002</v>
      </c>
      <c r="BH24" s="126">
        <f t="shared" si="29"/>
        <v>6.1680000000000001</v>
      </c>
      <c r="BI24" s="126">
        <f t="shared" si="30"/>
        <v>-23.224580043560451</v>
      </c>
      <c r="BJ24" s="126">
        <f t="shared" si="31"/>
        <v>-29.39258004356045</v>
      </c>
      <c r="BL24" s="126">
        <f t="shared" si="9"/>
        <v>-8.4499999999999993</v>
      </c>
      <c r="BM24" s="126">
        <f t="shared" si="10"/>
        <v>-77.20989999999999</v>
      </c>
      <c r="BN24" s="126">
        <f t="shared" si="11"/>
        <v>-68.759899999999988</v>
      </c>
      <c r="BP24" s="126">
        <f t="shared" si="12"/>
        <v>5.49</v>
      </c>
      <c r="BQ24" s="126">
        <f t="shared" si="13"/>
        <v>-61.354400000000012</v>
      </c>
      <c r="BR24" s="126">
        <f t="shared" si="14"/>
        <v>-66.844400000000007</v>
      </c>
      <c r="BT24" s="126">
        <f t="shared" si="15"/>
        <v>-31.91</v>
      </c>
      <c r="BU24" s="126">
        <f t="shared" si="16"/>
        <v>-261.50840999999991</v>
      </c>
      <c r="BV24" s="126">
        <f t="shared" si="17"/>
        <v>-229.59840999999992</v>
      </c>
      <c r="CC24">
        <f t="shared" si="32"/>
        <v>13.532000000000004</v>
      </c>
    </row>
    <row r="25" spans="1:81" x14ac:dyDescent="0.2">
      <c r="A25">
        <v>26.85</v>
      </c>
      <c r="B25">
        <v>137.20000000000002</v>
      </c>
      <c r="C25">
        <v>201.70000000000002</v>
      </c>
      <c r="D25" s="126">
        <f t="shared" si="18"/>
        <v>26.9145</v>
      </c>
      <c r="E25">
        <v>4419</v>
      </c>
      <c r="F25">
        <v>8391</v>
      </c>
      <c r="G25">
        <v>4689</v>
      </c>
      <c r="H25" s="126">
        <f t="shared" si="19"/>
        <v>0.71699999999999997</v>
      </c>
      <c r="J25">
        <v>-4.2300000000000004</v>
      </c>
      <c r="K25">
        <v>11.47</v>
      </c>
      <c r="L25">
        <v>4.95</v>
      </c>
      <c r="M25" s="126">
        <f t="shared" si="20"/>
        <v>-10.75</v>
      </c>
      <c r="N25">
        <v>-7752</v>
      </c>
      <c r="O25">
        <v>6265</v>
      </c>
      <c r="P25">
        <v>10949</v>
      </c>
      <c r="Q25" s="126">
        <f t="shared" si="21"/>
        <v>-3.0680000000000001</v>
      </c>
      <c r="R25">
        <v>26.85</v>
      </c>
      <c r="S25">
        <v>84.320000000000007</v>
      </c>
      <c r="T25">
        <v>89.02</v>
      </c>
      <c r="U25" s="126">
        <f t="shared" si="22"/>
        <v>31.54999999999999</v>
      </c>
      <c r="V25">
        <v>-13.030000000000001</v>
      </c>
      <c r="W25">
        <v>12.4</v>
      </c>
      <c r="X25">
        <v>12.27</v>
      </c>
      <c r="Y25" s="126">
        <f t="shared" si="23"/>
        <v>-13.160000000000002</v>
      </c>
      <c r="Z25">
        <v>8.9500000000000011</v>
      </c>
      <c r="AA25">
        <v>51.24</v>
      </c>
      <c r="AB25">
        <v>71.850000000000009</v>
      </c>
      <c r="AC25" s="126">
        <f t="shared" si="24"/>
        <v>29.560000000000009</v>
      </c>
      <c r="AF25" s="128">
        <v>38367</v>
      </c>
      <c r="AG25" s="144">
        <v>-1426.249</v>
      </c>
      <c r="AH25" s="142">
        <f>SUM($AG$1:AG25)/1000</f>
        <v>-23.088982000000001</v>
      </c>
      <c r="AI25" s="142">
        <f t="shared" si="0"/>
        <v>43.570129000000023</v>
      </c>
      <c r="AJ25" s="147">
        <f t="shared" si="25"/>
        <v>-2170.797089937666</v>
      </c>
      <c r="AK25" s="143">
        <v>-2.1707970899376661</v>
      </c>
      <c r="AL25" s="142">
        <f t="shared" si="1"/>
        <v>22.484993509820377</v>
      </c>
      <c r="AM25" s="144">
        <v>-3341.2000000000003</v>
      </c>
      <c r="AN25" s="142">
        <f>SUM($AM$1:AM25)/1000</f>
        <v>-14.325400000000005</v>
      </c>
      <c r="AO25" s="142">
        <f t="shared" si="2"/>
        <v>73.86869999999999</v>
      </c>
      <c r="AP25" s="144">
        <v>-1827</v>
      </c>
      <c r="AQ25" s="145">
        <f>SUM($AP$1:AP25)/1000</f>
        <v>-23.808199999999999</v>
      </c>
      <c r="AR25" s="142">
        <f t="shared" si="3"/>
        <v>59.527400000000014</v>
      </c>
      <c r="AS25" s="144">
        <v>-7067.83</v>
      </c>
      <c r="AT25" s="142">
        <f>SUM($AS$1:AS25)/1000</f>
        <v>-78.70787</v>
      </c>
      <c r="AU25" s="142">
        <f t="shared" si="4"/>
        <v>254.4405799999999</v>
      </c>
      <c r="AV25" s="144">
        <v>6019</v>
      </c>
      <c r="AW25" s="142">
        <f>SUM($AV$1:AV25)/1000</f>
        <v>148.91499999999999</v>
      </c>
      <c r="AX25" s="142">
        <f t="shared" si="5"/>
        <v>-421.59950000000003</v>
      </c>
      <c r="AZ25" s="126">
        <f t="shared" si="26"/>
        <v>-26.9145</v>
      </c>
      <c r="BA25" s="126">
        <f t="shared" si="6"/>
        <v>421.59950000000003</v>
      </c>
      <c r="BB25" s="126">
        <f t="shared" si="7"/>
        <v>-448.51400000000001</v>
      </c>
      <c r="BD25" s="126">
        <f t="shared" si="27"/>
        <v>10.75</v>
      </c>
      <c r="BE25" s="126">
        <f t="shared" si="28"/>
        <v>-43.570129000000023</v>
      </c>
      <c r="BF25" s="126">
        <f t="shared" si="8"/>
        <v>-54.320129000000023</v>
      </c>
      <c r="BH25" s="126">
        <f t="shared" si="29"/>
        <v>3.0680000000000001</v>
      </c>
      <c r="BI25" s="126">
        <f t="shared" si="30"/>
        <v>-22.484993509820377</v>
      </c>
      <c r="BJ25" s="126">
        <f t="shared" si="31"/>
        <v>-25.552993509820379</v>
      </c>
      <c r="BL25" s="126">
        <f t="shared" si="9"/>
        <v>-31.54999999999999</v>
      </c>
      <c r="BM25" s="126">
        <f t="shared" si="10"/>
        <v>-73.86869999999999</v>
      </c>
      <c r="BN25" s="126">
        <f t="shared" si="11"/>
        <v>-42.3187</v>
      </c>
      <c r="BP25" s="126">
        <f t="shared" si="12"/>
        <v>13.160000000000002</v>
      </c>
      <c r="BQ25" s="126">
        <f t="shared" si="13"/>
        <v>-59.527400000000014</v>
      </c>
      <c r="BR25" s="126">
        <f t="shared" si="14"/>
        <v>-72.687400000000011</v>
      </c>
      <c r="BT25" s="126">
        <f t="shared" si="15"/>
        <v>-29.560000000000009</v>
      </c>
      <c r="BU25" s="126">
        <f t="shared" si="16"/>
        <v>-254.4405799999999</v>
      </c>
      <c r="BV25" s="126">
        <f t="shared" si="17"/>
        <v>-224.8805799999999</v>
      </c>
      <c r="CC25">
        <f t="shared" si="32"/>
        <v>2.5820000000000056</v>
      </c>
    </row>
    <row r="26" spans="1:81" x14ac:dyDescent="0.2">
      <c r="A26">
        <v>38.520000000000003</v>
      </c>
      <c r="B26">
        <v>137.9</v>
      </c>
      <c r="C26">
        <v>203.70000000000002</v>
      </c>
      <c r="D26" s="126">
        <f t="shared" si="18"/>
        <v>38.585800000000006</v>
      </c>
      <c r="E26">
        <v>4408</v>
      </c>
      <c r="F26">
        <v>8433</v>
      </c>
      <c r="G26">
        <v>4742</v>
      </c>
      <c r="H26" s="126">
        <f t="shared" si="19"/>
        <v>0.71699999999999997</v>
      </c>
      <c r="J26">
        <v>-6.34</v>
      </c>
      <c r="K26">
        <v>11.52</v>
      </c>
      <c r="L26">
        <v>4.95</v>
      </c>
      <c r="M26" s="126">
        <f t="shared" si="20"/>
        <v>-12.91</v>
      </c>
      <c r="N26">
        <v>-6959</v>
      </c>
      <c r="O26">
        <v>6297</v>
      </c>
      <c r="P26">
        <v>11136</v>
      </c>
      <c r="Q26" s="126">
        <f t="shared" si="21"/>
        <v>-2.12</v>
      </c>
      <c r="R26">
        <v>38.520000000000003</v>
      </c>
      <c r="S26">
        <v>84.77</v>
      </c>
      <c r="T26">
        <v>89.5</v>
      </c>
      <c r="U26" s="126">
        <f t="shared" si="22"/>
        <v>43.250000000000007</v>
      </c>
      <c r="V26">
        <v>-13.94</v>
      </c>
      <c r="W26">
        <v>12.47</v>
      </c>
      <c r="X26">
        <v>12.27</v>
      </c>
      <c r="Y26" s="126">
        <f t="shared" si="23"/>
        <v>-14.14</v>
      </c>
      <c r="Z26">
        <v>14.11</v>
      </c>
      <c r="AA26">
        <v>51.480000000000004</v>
      </c>
      <c r="AB26">
        <v>72.13</v>
      </c>
      <c r="AC26" s="126">
        <f t="shared" si="24"/>
        <v>34.759999999999991</v>
      </c>
      <c r="AF26" s="128">
        <v>38398</v>
      </c>
      <c r="AG26" s="144">
        <v>-992.76099999999997</v>
      </c>
      <c r="AH26" s="142">
        <f>SUM($AG$1:AG26)/1000</f>
        <v>-24.081742999999999</v>
      </c>
      <c r="AI26" s="142">
        <f t="shared" si="0"/>
        <v>42.577368000000021</v>
      </c>
      <c r="AJ26" s="147">
        <f t="shared" si="25"/>
        <v>-2878</v>
      </c>
      <c r="AK26" s="143">
        <v>-2.8780000000000001</v>
      </c>
      <c r="AL26" s="142">
        <f t="shared" si="1"/>
        <v>21.777790599758042</v>
      </c>
      <c r="AM26" s="144">
        <v>-1540.1000000000001</v>
      </c>
      <c r="AN26" s="142">
        <f>SUM($AM$1:AM26)/1000</f>
        <v>-15.865500000000006</v>
      </c>
      <c r="AO26" s="142">
        <f t="shared" si="2"/>
        <v>72.32859999999998</v>
      </c>
      <c r="AP26" s="144">
        <v>-1143.2</v>
      </c>
      <c r="AQ26" s="145">
        <f>SUM($AP$1:AP26)/1000</f>
        <v>-24.951400000000003</v>
      </c>
      <c r="AR26" s="142">
        <f t="shared" si="3"/>
        <v>58.384200000000007</v>
      </c>
      <c r="AS26" s="144">
        <v>-5042.9800000000005</v>
      </c>
      <c r="AT26" s="142">
        <f>SUM($AS$1:AS26)/1000</f>
        <v>-83.750849999999986</v>
      </c>
      <c r="AU26" s="142">
        <f t="shared" si="4"/>
        <v>249.39759999999993</v>
      </c>
      <c r="AV26" s="144">
        <v>10354</v>
      </c>
      <c r="AW26" s="142">
        <f>SUM($AV$1:AV26)/1000</f>
        <v>159.26900000000001</v>
      </c>
      <c r="AX26" s="142">
        <f t="shared" si="5"/>
        <v>-411.24549999999999</v>
      </c>
      <c r="AZ26" s="126">
        <f t="shared" si="26"/>
        <v>-38.585800000000006</v>
      </c>
      <c r="BA26" s="126">
        <f t="shared" si="6"/>
        <v>411.24549999999999</v>
      </c>
      <c r="BB26" s="126">
        <f t="shared" si="7"/>
        <v>-449.8313</v>
      </c>
      <c r="BD26" s="126">
        <f t="shared" si="27"/>
        <v>12.91</v>
      </c>
      <c r="BE26" s="126">
        <f t="shared" si="28"/>
        <v>-42.577368000000021</v>
      </c>
      <c r="BF26" s="126">
        <f t="shared" si="8"/>
        <v>-55.487368000000018</v>
      </c>
      <c r="BH26" s="126">
        <f t="shared" si="29"/>
        <v>2.12</v>
      </c>
      <c r="BI26" s="126">
        <f t="shared" si="30"/>
        <v>-21.777790599758042</v>
      </c>
      <c r="BJ26" s="126">
        <f t="shared" si="31"/>
        <v>-23.897790599758043</v>
      </c>
      <c r="BL26" s="126">
        <f t="shared" si="9"/>
        <v>-43.250000000000007</v>
      </c>
      <c r="BM26" s="126">
        <f t="shared" si="10"/>
        <v>-72.32859999999998</v>
      </c>
      <c r="BN26" s="126">
        <f t="shared" si="11"/>
        <v>-29.078599999999973</v>
      </c>
      <c r="BP26" s="126">
        <f t="shared" si="12"/>
        <v>14.14</v>
      </c>
      <c r="BQ26" s="126">
        <f t="shared" si="13"/>
        <v>-58.384200000000007</v>
      </c>
      <c r="BR26" s="126">
        <f t="shared" si="14"/>
        <v>-72.524200000000008</v>
      </c>
      <c r="BT26" s="126">
        <f t="shared" si="15"/>
        <v>-34.759999999999991</v>
      </c>
      <c r="BU26" s="126">
        <f t="shared" si="16"/>
        <v>-249.39759999999993</v>
      </c>
      <c r="BV26" s="126">
        <f t="shared" si="17"/>
        <v>-214.63759999999994</v>
      </c>
      <c r="CC26">
        <f t="shared" si="32"/>
        <v>5.5899999999999901</v>
      </c>
    </row>
    <row r="27" spans="1:81" x14ac:dyDescent="0.2">
      <c r="A27">
        <v>27.080000000000002</v>
      </c>
      <c r="B27">
        <v>141.1</v>
      </c>
      <c r="C27">
        <v>209</v>
      </c>
      <c r="D27" s="126">
        <f t="shared" si="18"/>
        <v>27.147900000000003</v>
      </c>
      <c r="E27">
        <v>4467</v>
      </c>
      <c r="F27">
        <v>8625</v>
      </c>
      <c r="G27">
        <v>4874</v>
      </c>
      <c r="H27" s="126">
        <f t="shared" si="19"/>
        <v>0.71599999999999997</v>
      </c>
      <c r="J27">
        <v>-5.45</v>
      </c>
      <c r="K27">
        <v>11.78</v>
      </c>
      <c r="L27">
        <v>5.0600000000000005</v>
      </c>
      <c r="M27" s="126">
        <f t="shared" si="20"/>
        <v>-12.169999999999998</v>
      </c>
      <c r="N27">
        <v>-9668</v>
      </c>
      <c r="O27">
        <v>6433</v>
      </c>
      <c r="P27">
        <v>11509</v>
      </c>
      <c r="Q27" s="126">
        <f t="shared" si="21"/>
        <v>-4.5919999999999996</v>
      </c>
      <c r="R27">
        <v>27.07</v>
      </c>
      <c r="S27">
        <v>86.7</v>
      </c>
      <c r="T27">
        <v>91.65</v>
      </c>
      <c r="U27" s="126">
        <f t="shared" si="22"/>
        <v>32.020000000000003</v>
      </c>
      <c r="V27">
        <v>-13.92</v>
      </c>
      <c r="W27">
        <v>12.74</v>
      </c>
      <c r="X27">
        <v>12.450000000000001</v>
      </c>
      <c r="Y27" s="126">
        <f t="shared" si="23"/>
        <v>-14.209999999999999</v>
      </c>
      <c r="Z27">
        <v>3.88</v>
      </c>
      <c r="AA27">
        <v>52.6</v>
      </c>
      <c r="AB27">
        <v>73.900000000000006</v>
      </c>
      <c r="AC27" s="126">
        <f t="shared" si="24"/>
        <v>25.180000000000003</v>
      </c>
      <c r="AF27" s="128">
        <v>38426</v>
      </c>
      <c r="AG27" s="144">
        <v>-1472.106</v>
      </c>
      <c r="AH27" s="142">
        <f>SUM($AG$1:AG27)/1000</f>
        <v>-25.553849</v>
      </c>
      <c r="AI27" s="142">
        <f t="shared" si="0"/>
        <v>41.105262000000025</v>
      </c>
      <c r="AJ27" s="147">
        <f t="shared" si="25"/>
        <v>-3395.6629823525855</v>
      </c>
      <c r="AK27" s="143">
        <v>-3.3956629823525852</v>
      </c>
      <c r="AL27" s="142">
        <f t="shared" si="1"/>
        <v>21.260127617405455</v>
      </c>
      <c r="AM27" s="144">
        <v>-1709.1000000000001</v>
      </c>
      <c r="AN27" s="142">
        <f>SUM($AM$1:AM27)/1000</f>
        <v>-17.574600000000007</v>
      </c>
      <c r="AO27" s="142">
        <f t="shared" si="2"/>
        <v>70.619499999999988</v>
      </c>
      <c r="AP27" s="144">
        <v>-1629.9</v>
      </c>
      <c r="AQ27" s="145">
        <f>SUM($AP$1:AP27)/1000</f>
        <v>-26.581300000000002</v>
      </c>
      <c r="AR27" s="142">
        <f t="shared" si="3"/>
        <v>56.754300000000015</v>
      </c>
      <c r="AS27" s="144">
        <v>-6084.64</v>
      </c>
      <c r="AT27" s="142">
        <f>SUM($AS$1:AS27)/1000</f>
        <v>-89.835489999999993</v>
      </c>
      <c r="AU27" s="142">
        <f t="shared" si="4"/>
        <v>243.31295999999992</v>
      </c>
      <c r="AV27" s="144">
        <v>13267</v>
      </c>
      <c r="AW27" s="142">
        <f>SUM($AV$1:AV27)/1000</f>
        <v>172.536</v>
      </c>
      <c r="AX27" s="142">
        <f t="shared" si="5"/>
        <v>-397.9785</v>
      </c>
      <c r="AZ27" s="126">
        <f t="shared" si="26"/>
        <v>-27.147900000000003</v>
      </c>
      <c r="BA27" s="126">
        <f t="shared" si="6"/>
        <v>397.9785</v>
      </c>
      <c r="BB27" s="126">
        <f t="shared" si="7"/>
        <v>-425.12639999999999</v>
      </c>
      <c r="BD27" s="126">
        <f t="shared" si="27"/>
        <v>12.169999999999998</v>
      </c>
      <c r="BE27" s="126">
        <f t="shared" si="28"/>
        <v>-41.105262000000025</v>
      </c>
      <c r="BF27" s="126">
        <f t="shared" si="8"/>
        <v>-53.275262000000026</v>
      </c>
      <c r="BH27" s="126">
        <f t="shared" si="29"/>
        <v>4.5919999999999996</v>
      </c>
      <c r="BI27" s="126">
        <f t="shared" si="30"/>
        <v>-21.260127617405455</v>
      </c>
      <c r="BJ27" s="126">
        <f t="shared" si="31"/>
        <v>-25.852127617405454</v>
      </c>
      <c r="BL27" s="126">
        <f t="shared" si="9"/>
        <v>-32.020000000000003</v>
      </c>
      <c r="BM27" s="126">
        <f t="shared" si="10"/>
        <v>-70.619499999999988</v>
      </c>
      <c r="BN27" s="126">
        <f t="shared" si="11"/>
        <v>-38.599499999999985</v>
      </c>
      <c r="BP27" s="126">
        <f t="shared" si="12"/>
        <v>14.209999999999999</v>
      </c>
      <c r="BQ27" s="126">
        <f t="shared" si="13"/>
        <v>-56.754300000000015</v>
      </c>
      <c r="BR27" s="126">
        <f t="shared" si="14"/>
        <v>-70.964300000000009</v>
      </c>
      <c r="BT27" s="126">
        <f t="shared" si="15"/>
        <v>-25.180000000000003</v>
      </c>
      <c r="BU27" s="126">
        <f t="shared" si="16"/>
        <v>-243.31295999999992</v>
      </c>
      <c r="BV27" s="126">
        <f t="shared" si="17"/>
        <v>-218.13295999999991</v>
      </c>
      <c r="CC27">
        <f t="shared" si="32"/>
        <v>-5.7919999999999936</v>
      </c>
    </row>
    <row r="28" spans="1:81" x14ac:dyDescent="0.2">
      <c r="A28">
        <v>31.82</v>
      </c>
      <c r="B28">
        <v>142.9</v>
      </c>
      <c r="C28">
        <v>211.8</v>
      </c>
      <c r="D28" s="126">
        <f t="shared" si="18"/>
        <v>31.8889</v>
      </c>
      <c r="E28">
        <v>4464</v>
      </c>
      <c r="F28">
        <v>8736</v>
      </c>
      <c r="G28">
        <v>4988</v>
      </c>
      <c r="H28" s="126">
        <f t="shared" si="19"/>
        <v>0.71599999999999997</v>
      </c>
      <c r="J28">
        <v>-5.5600000000000005</v>
      </c>
      <c r="K28">
        <v>11.93</v>
      </c>
      <c r="L28">
        <v>4.99</v>
      </c>
      <c r="M28" s="126">
        <f t="shared" si="20"/>
        <v>-12.5</v>
      </c>
      <c r="N28">
        <v>-8741</v>
      </c>
      <c r="O28">
        <v>6515</v>
      </c>
      <c r="P28">
        <v>11558</v>
      </c>
      <c r="Q28" s="126">
        <f t="shared" si="21"/>
        <v>-3.698</v>
      </c>
      <c r="R28">
        <v>31.82</v>
      </c>
      <c r="S28">
        <v>87.86</v>
      </c>
      <c r="T28">
        <v>92.55</v>
      </c>
      <c r="U28" s="126">
        <f t="shared" si="22"/>
        <v>36.51</v>
      </c>
      <c r="V28">
        <v>-12.38</v>
      </c>
      <c r="W28">
        <v>12.91</v>
      </c>
      <c r="X28">
        <v>14.33</v>
      </c>
      <c r="Y28" s="126">
        <f t="shared" si="23"/>
        <v>-10.96</v>
      </c>
      <c r="Z28">
        <v>2.96</v>
      </c>
      <c r="AA28">
        <v>53.300000000000004</v>
      </c>
      <c r="AB28">
        <v>74.5</v>
      </c>
      <c r="AC28" s="126">
        <f t="shared" si="24"/>
        <v>24.159999999999997</v>
      </c>
      <c r="AF28" s="128">
        <v>38457</v>
      </c>
      <c r="AG28" s="144">
        <v>-1507.309</v>
      </c>
      <c r="AH28" s="142">
        <f>SUM($AG$1:AG28)/1000</f>
        <v>-27.061157999999999</v>
      </c>
      <c r="AI28" s="142">
        <f t="shared" si="0"/>
        <v>39.597953000000025</v>
      </c>
      <c r="AJ28" s="147">
        <f t="shared" si="25"/>
        <v>-3777.0429217162423</v>
      </c>
      <c r="AK28" s="143">
        <v>-3.7770429217162422</v>
      </c>
      <c r="AL28" s="142">
        <f t="shared" si="1"/>
        <v>20.878747678041801</v>
      </c>
      <c r="AM28" s="144">
        <v>-2520.9</v>
      </c>
      <c r="AN28" s="142">
        <f>SUM($AM$1:AM28)/1000</f>
        <v>-20.095500000000008</v>
      </c>
      <c r="AO28" s="142">
        <f t="shared" si="2"/>
        <v>68.098599999999976</v>
      </c>
      <c r="AP28" s="144">
        <v>-1864.8</v>
      </c>
      <c r="AQ28" s="145">
        <f>SUM($AP$1:AP28)/1000</f>
        <v>-28.446100000000001</v>
      </c>
      <c r="AR28" s="142">
        <f t="shared" si="3"/>
        <v>54.889500000000012</v>
      </c>
      <c r="AS28" s="144">
        <v>-5220.8500000000004</v>
      </c>
      <c r="AT28" s="142">
        <f>SUM($AS$1:AS28)/1000</f>
        <v>-95.056339999999992</v>
      </c>
      <c r="AU28" s="142">
        <f t="shared" si="4"/>
        <v>238.09210999999993</v>
      </c>
      <c r="AV28" s="144">
        <v>7818</v>
      </c>
      <c r="AW28" s="142">
        <f>SUM($AV$1:AV28)/1000</f>
        <v>180.35400000000001</v>
      </c>
      <c r="AX28" s="142">
        <f t="shared" si="5"/>
        <v>-390.16049999999996</v>
      </c>
      <c r="AZ28" s="126">
        <f t="shared" si="26"/>
        <v>-31.8889</v>
      </c>
      <c r="BA28" s="126">
        <f t="shared" si="6"/>
        <v>390.16049999999996</v>
      </c>
      <c r="BB28" s="126">
        <f t="shared" si="7"/>
        <v>-422.04939999999993</v>
      </c>
      <c r="BD28" s="126">
        <f t="shared" si="27"/>
        <v>12.5</v>
      </c>
      <c r="BE28" s="126">
        <f t="shared" si="28"/>
        <v>-39.597953000000025</v>
      </c>
      <c r="BF28" s="126">
        <f t="shared" si="8"/>
        <v>-52.097953000000025</v>
      </c>
      <c r="BH28" s="126">
        <f t="shared" si="29"/>
        <v>3.698</v>
      </c>
      <c r="BI28" s="126">
        <f t="shared" si="30"/>
        <v>-20.878747678041801</v>
      </c>
      <c r="BJ28" s="126">
        <f t="shared" si="31"/>
        <v>-24.576747678041801</v>
      </c>
      <c r="BL28" s="126">
        <f t="shared" si="9"/>
        <v>-36.51</v>
      </c>
      <c r="BM28" s="126">
        <f t="shared" si="10"/>
        <v>-68.098599999999976</v>
      </c>
      <c r="BN28" s="126">
        <f t="shared" si="11"/>
        <v>-31.588599999999978</v>
      </c>
      <c r="BP28" s="126">
        <f t="shared" si="12"/>
        <v>10.96</v>
      </c>
      <c r="BQ28" s="126">
        <f t="shared" si="13"/>
        <v>-54.889500000000012</v>
      </c>
      <c r="BR28" s="126">
        <f t="shared" si="14"/>
        <v>-65.849500000000006</v>
      </c>
      <c r="BT28" s="126">
        <f t="shared" si="15"/>
        <v>-24.159999999999997</v>
      </c>
      <c r="BU28" s="126">
        <f t="shared" si="16"/>
        <v>-238.09210999999993</v>
      </c>
      <c r="BV28" s="126">
        <f t="shared" si="17"/>
        <v>-213.93210999999994</v>
      </c>
      <c r="CC28">
        <f t="shared" si="32"/>
        <v>-2.9980000000000042</v>
      </c>
    </row>
    <row r="29" spans="1:81" x14ac:dyDescent="0.2">
      <c r="A29">
        <v>16.39</v>
      </c>
      <c r="B29">
        <v>144.6</v>
      </c>
      <c r="C29">
        <v>215.8</v>
      </c>
      <c r="D29" s="126">
        <f t="shared" si="18"/>
        <v>16.461200000000002</v>
      </c>
      <c r="E29">
        <v>4489</v>
      </c>
      <c r="F29">
        <v>8835</v>
      </c>
      <c r="G29">
        <v>5063</v>
      </c>
      <c r="H29" s="126">
        <f t="shared" si="19"/>
        <v>0.71699999999999997</v>
      </c>
      <c r="J29">
        <v>-5.47</v>
      </c>
      <c r="K29">
        <v>11.91</v>
      </c>
      <c r="L29">
        <v>4.97</v>
      </c>
      <c r="M29" s="126">
        <f t="shared" si="20"/>
        <v>-12.41</v>
      </c>
      <c r="N29">
        <v>-9064</v>
      </c>
      <c r="O29">
        <v>6584</v>
      </c>
      <c r="P29">
        <v>11783</v>
      </c>
      <c r="Q29" s="126">
        <f t="shared" si="21"/>
        <v>-3.8650000000000002</v>
      </c>
      <c r="R29">
        <v>16.39</v>
      </c>
      <c r="S29">
        <v>88.83</v>
      </c>
      <c r="T29">
        <v>93.31</v>
      </c>
      <c r="U29" s="126">
        <f t="shared" si="22"/>
        <v>20.870000000000005</v>
      </c>
      <c r="V29">
        <v>-12.67</v>
      </c>
      <c r="W29">
        <v>13.05</v>
      </c>
      <c r="X29">
        <v>13.27</v>
      </c>
      <c r="Y29" s="126">
        <f t="shared" si="23"/>
        <v>-12.450000000000001</v>
      </c>
      <c r="Z29">
        <v>-3.5</v>
      </c>
      <c r="AA29">
        <v>53.910000000000004</v>
      </c>
      <c r="AB29">
        <v>74.98</v>
      </c>
      <c r="AC29" s="126">
        <f t="shared" si="24"/>
        <v>17.57</v>
      </c>
      <c r="AF29" s="128">
        <v>38487</v>
      </c>
      <c r="AG29" s="144">
        <v>-1593.424</v>
      </c>
      <c r="AH29" s="142">
        <f>SUM($AG$1:AG29)/1000</f>
        <v>-28.654581999999998</v>
      </c>
      <c r="AI29" s="142">
        <f t="shared" si="0"/>
        <v>38.004529000000026</v>
      </c>
      <c r="AJ29" s="147">
        <f t="shared" si="25"/>
        <v>-4128</v>
      </c>
      <c r="AK29" s="143">
        <v>-4.1280000000000001</v>
      </c>
      <c r="AL29" s="142">
        <f t="shared" si="1"/>
        <v>20.527790599758042</v>
      </c>
      <c r="AM29" s="144">
        <v>-411.20000000000005</v>
      </c>
      <c r="AN29" s="142">
        <f>SUM($AM$1:AM29)/1000</f>
        <v>-20.506700000000009</v>
      </c>
      <c r="AO29" s="142">
        <f t="shared" si="2"/>
        <v>67.687399999999982</v>
      </c>
      <c r="AP29" s="144">
        <v>-809.1</v>
      </c>
      <c r="AQ29" s="145">
        <f>SUM($AP$1:AP29)/1000</f>
        <v>-29.255200000000002</v>
      </c>
      <c r="AR29" s="142">
        <f t="shared" si="3"/>
        <v>54.080400000000012</v>
      </c>
      <c r="AS29" s="144">
        <v>-5073.2</v>
      </c>
      <c r="AT29" s="142">
        <f>SUM($AS$1:AS29)/1000</f>
        <v>-100.12953999999999</v>
      </c>
      <c r="AU29" s="142">
        <f t="shared" si="4"/>
        <v>233.01890999999992</v>
      </c>
      <c r="AV29" s="144">
        <v>6823</v>
      </c>
      <c r="AW29" s="142">
        <f>SUM($AV$1:AV29)/1000</f>
        <v>187.17699999999999</v>
      </c>
      <c r="AX29" s="142">
        <f t="shared" si="5"/>
        <v>-383.33749999999998</v>
      </c>
      <c r="AZ29" s="126">
        <f t="shared" si="26"/>
        <v>-16.461200000000002</v>
      </c>
      <c r="BA29" s="126">
        <f t="shared" si="6"/>
        <v>383.33749999999998</v>
      </c>
      <c r="BB29" s="126">
        <f t="shared" si="7"/>
        <v>-399.7987</v>
      </c>
      <c r="BD29" s="126">
        <f t="shared" si="27"/>
        <v>12.41</v>
      </c>
      <c r="BE29" s="126">
        <f t="shared" si="28"/>
        <v>-38.004529000000026</v>
      </c>
      <c r="BF29" s="126">
        <f t="shared" si="8"/>
        <v>-50.41452900000003</v>
      </c>
      <c r="BH29" s="126">
        <f t="shared" si="29"/>
        <v>3.8650000000000002</v>
      </c>
      <c r="BI29" s="126">
        <f t="shared" si="30"/>
        <v>-20.527790599758042</v>
      </c>
      <c r="BJ29" s="126">
        <f t="shared" si="31"/>
        <v>-24.392790599758044</v>
      </c>
      <c r="BL29" s="126">
        <f t="shared" si="9"/>
        <v>-20.870000000000005</v>
      </c>
      <c r="BM29" s="126">
        <f t="shared" si="10"/>
        <v>-67.687399999999982</v>
      </c>
      <c r="BN29" s="126">
        <f t="shared" si="11"/>
        <v>-46.817399999999978</v>
      </c>
      <c r="BP29" s="126">
        <f t="shared" si="12"/>
        <v>12.450000000000001</v>
      </c>
      <c r="BQ29" s="126">
        <f t="shared" si="13"/>
        <v>-54.080400000000012</v>
      </c>
      <c r="BR29" s="126">
        <f t="shared" si="14"/>
        <v>-66.530400000000014</v>
      </c>
      <c r="BT29" s="126">
        <f t="shared" si="15"/>
        <v>-17.57</v>
      </c>
      <c r="BU29" s="126">
        <f t="shared" si="16"/>
        <v>-233.01890999999992</v>
      </c>
      <c r="BV29" s="126">
        <f t="shared" si="17"/>
        <v>-215.44890999999993</v>
      </c>
      <c r="CC29">
        <f t="shared" si="32"/>
        <v>-11.155000000000001</v>
      </c>
    </row>
    <row r="30" spans="1:81" x14ac:dyDescent="0.2">
      <c r="A30">
        <v>46.29</v>
      </c>
      <c r="B30">
        <v>147.70000000000002</v>
      </c>
      <c r="C30">
        <v>219.70000000000002</v>
      </c>
      <c r="D30" s="126">
        <f t="shared" si="18"/>
        <v>46.362000000000002</v>
      </c>
      <c r="E30">
        <v>4482</v>
      </c>
      <c r="F30">
        <v>9030</v>
      </c>
      <c r="G30">
        <v>5265</v>
      </c>
      <c r="H30" s="126">
        <f t="shared" si="19"/>
        <v>0.71699999999999997</v>
      </c>
      <c r="J30">
        <v>-5.15</v>
      </c>
      <c r="K30">
        <v>12.32</v>
      </c>
      <c r="L30">
        <v>5.07</v>
      </c>
      <c r="M30" s="126">
        <f t="shared" si="20"/>
        <v>-12.4</v>
      </c>
      <c r="N30">
        <v>-11000</v>
      </c>
      <c r="O30">
        <v>6722</v>
      </c>
      <c r="P30">
        <v>12046</v>
      </c>
      <c r="Q30" s="126">
        <f t="shared" si="21"/>
        <v>-5.6760000000000002</v>
      </c>
      <c r="R30">
        <v>46.29</v>
      </c>
      <c r="S30">
        <v>90.8</v>
      </c>
      <c r="T30">
        <v>94.350000000000009</v>
      </c>
      <c r="U30" s="126">
        <f t="shared" si="22"/>
        <v>49.840000000000011</v>
      </c>
      <c r="V30">
        <v>-10.8</v>
      </c>
      <c r="W30">
        <v>13.33</v>
      </c>
      <c r="X30">
        <v>14.34</v>
      </c>
      <c r="Y30" s="126">
        <f t="shared" si="23"/>
        <v>-9.7900000000000009</v>
      </c>
      <c r="Z30">
        <v>-0.39</v>
      </c>
      <c r="AA30">
        <v>55.120000000000005</v>
      </c>
      <c r="AB30">
        <v>77.5</v>
      </c>
      <c r="AC30" s="126">
        <f t="shared" si="24"/>
        <v>21.989999999999995</v>
      </c>
      <c r="AF30" s="128">
        <v>38518</v>
      </c>
      <c r="AG30" s="144">
        <v>-1250.213</v>
      </c>
      <c r="AH30" s="142">
        <f>SUM($AG$1:AG30)/1000</f>
        <v>-29.904795</v>
      </c>
      <c r="AI30" s="142">
        <f t="shared" si="0"/>
        <v>36.754316000000024</v>
      </c>
      <c r="AJ30" s="147">
        <f t="shared" si="25"/>
        <v>-4527.9523292068816</v>
      </c>
      <c r="AK30" s="143">
        <v>-4.5279523292068813</v>
      </c>
      <c r="AL30" s="142">
        <f t="shared" si="1"/>
        <v>20.127838270551159</v>
      </c>
      <c r="AM30" s="144">
        <v>-380.5</v>
      </c>
      <c r="AN30" s="142">
        <f>SUM($AM$1:AM30)/1000</f>
        <v>-20.887200000000007</v>
      </c>
      <c r="AO30" s="142">
        <f t="shared" si="2"/>
        <v>67.306899999999985</v>
      </c>
      <c r="AP30" s="144">
        <v>-776.7</v>
      </c>
      <c r="AQ30" s="145">
        <f>SUM($AP$1:AP30)/1000</f>
        <v>-30.0319</v>
      </c>
      <c r="AR30" s="142">
        <f t="shared" si="3"/>
        <v>53.303700000000013</v>
      </c>
      <c r="AS30" s="144">
        <v>-6148.09</v>
      </c>
      <c r="AT30" s="142">
        <f>SUM($AS$1:AS30)/1000</f>
        <v>-106.27762999999999</v>
      </c>
      <c r="AU30" s="142">
        <f t="shared" si="4"/>
        <v>226.87081999999992</v>
      </c>
      <c r="AV30" s="144">
        <v>12693</v>
      </c>
      <c r="AW30" s="142">
        <f>SUM($AV$1:AV30)/1000</f>
        <v>199.87</v>
      </c>
      <c r="AX30" s="142">
        <f t="shared" si="5"/>
        <v>-370.64449999999999</v>
      </c>
      <c r="AZ30" s="126">
        <f t="shared" si="26"/>
        <v>-46.362000000000002</v>
      </c>
      <c r="BA30" s="126">
        <f t="shared" si="6"/>
        <v>370.64449999999999</v>
      </c>
      <c r="BB30" s="126">
        <f t="shared" si="7"/>
        <v>-417.00650000000002</v>
      </c>
      <c r="BD30" s="126">
        <f t="shared" si="27"/>
        <v>12.4</v>
      </c>
      <c r="BE30" s="126">
        <f t="shared" si="28"/>
        <v>-36.754316000000024</v>
      </c>
      <c r="BF30" s="126">
        <f t="shared" si="8"/>
        <v>-49.154316000000023</v>
      </c>
      <c r="BH30" s="126">
        <f t="shared" si="29"/>
        <v>5.6760000000000002</v>
      </c>
      <c r="BI30" s="126">
        <f t="shared" si="30"/>
        <v>-20.127838270551159</v>
      </c>
      <c r="BJ30" s="126">
        <f t="shared" si="31"/>
        <v>-25.803838270551161</v>
      </c>
      <c r="BL30" s="126">
        <f t="shared" si="9"/>
        <v>-49.840000000000011</v>
      </c>
      <c r="BM30" s="126">
        <f t="shared" si="10"/>
        <v>-67.306899999999985</v>
      </c>
      <c r="BN30" s="126">
        <f t="shared" si="11"/>
        <v>-17.466899999999974</v>
      </c>
      <c r="BP30" s="126">
        <f t="shared" si="12"/>
        <v>9.7900000000000009</v>
      </c>
      <c r="BQ30" s="126">
        <f t="shared" si="13"/>
        <v>-53.303700000000013</v>
      </c>
      <c r="BR30" s="126">
        <f t="shared" si="14"/>
        <v>-63.093700000000013</v>
      </c>
      <c r="BT30" s="126">
        <f t="shared" si="15"/>
        <v>-21.989999999999995</v>
      </c>
      <c r="BU30" s="126">
        <f t="shared" si="16"/>
        <v>-226.87081999999992</v>
      </c>
      <c r="BV30" s="126">
        <f t="shared" si="17"/>
        <v>-204.88081999999991</v>
      </c>
      <c r="CC30">
        <f t="shared" si="32"/>
        <v>-5.8760000000000066</v>
      </c>
    </row>
    <row r="31" spans="1:81" x14ac:dyDescent="0.2">
      <c r="A31">
        <v>39.76</v>
      </c>
      <c r="B31">
        <v>150.4</v>
      </c>
      <c r="C31">
        <v>223</v>
      </c>
      <c r="D31" s="126">
        <f t="shared" si="18"/>
        <v>39.832599999999999</v>
      </c>
      <c r="E31">
        <v>4542</v>
      </c>
      <c r="F31">
        <v>9197</v>
      </c>
      <c r="G31">
        <v>5372</v>
      </c>
      <c r="H31" s="126">
        <f t="shared" si="19"/>
        <v>0.71699999999999997</v>
      </c>
      <c r="J31">
        <v>-4.8100000000000005</v>
      </c>
      <c r="K31">
        <v>12.55</v>
      </c>
      <c r="L31">
        <v>5.53</v>
      </c>
      <c r="M31" s="126">
        <f t="shared" si="20"/>
        <v>-11.830000000000002</v>
      </c>
      <c r="N31">
        <v>-12677</v>
      </c>
      <c r="O31">
        <v>6839</v>
      </c>
      <c r="P31">
        <v>12433</v>
      </c>
      <c r="Q31" s="126">
        <f t="shared" si="21"/>
        <v>-7.0830000000000002</v>
      </c>
      <c r="R31">
        <v>39.75</v>
      </c>
      <c r="S31">
        <v>92.45</v>
      </c>
      <c r="T31">
        <v>96.95</v>
      </c>
      <c r="U31" s="126">
        <f t="shared" si="22"/>
        <v>44.25</v>
      </c>
      <c r="V31">
        <v>-10.290000000000001</v>
      </c>
      <c r="W31">
        <v>13.58</v>
      </c>
      <c r="X31">
        <v>14.21</v>
      </c>
      <c r="Y31" s="126">
        <f t="shared" si="23"/>
        <v>-9.66</v>
      </c>
      <c r="Z31">
        <v>-6.5600000000000005</v>
      </c>
      <c r="AA31">
        <v>56.13</v>
      </c>
      <c r="AB31">
        <v>78.600000000000009</v>
      </c>
      <c r="AC31" s="126">
        <f t="shared" si="24"/>
        <v>15.910000000000005</v>
      </c>
      <c r="AF31" s="128">
        <v>38548</v>
      </c>
      <c r="AG31" s="144">
        <v>-595.81299999999999</v>
      </c>
      <c r="AH31" s="142">
        <f>SUM($AG$1:AG31)/1000</f>
        <v>-30.500607999999996</v>
      </c>
      <c r="AI31" s="142">
        <f t="shared" si="0"/>
        <v>36.158503000000024</v>
      </c>
      <c r="AJ31" s="147">
        <f t="shared" si="25"/>
        <v>-4950.5497417158831</v>
      </c>
      <c r="AK31" s="143">
        <v>-4.950549741715883</v>
      </c>
      <c r="AL31" s="142">
        <f t="shared" si="1"/>
        <v>19.70524085804216</v>
      </c>
      <c r="AM31" s="144">
        <v>3526.8</v>
      </c>
      <c r="AN31" s="142">
        <f>SUM($AM$1:AM31)/1000</f>
        <v>-17.360400000000009</v>
      </c>
      <c r="AO31" s="142">
        <f t="shared" si="2"/>
        <v>70.833699999999979</v>
      </c>
      <c r="AP31" s="144">
        <v>-435.90000000000003</v>
      </c>
      <c r="AQ31" s="145">
        <f>SUM($AP$1:AP31)/1000</f>
        <v>-30.467800000000004</v>
      </c>
      <c r="AR31" s="142">
        <f t="shared" si="3"/>
        <v>52.86780000000001</v>
      </c>
      <c r="AS31" s="144">
        <v>-4490.79</v>
      </c>
      <c r="AT31" s="142">
        <f>SUM($AS$1:AS31)/1000</f>
        <v>-110.76841999999998</v>
      </c>
      <c r="AU31" s="142">
        <f t="shared" si="4"/>
        <v>222.38002999999992</v>
      </c>
      <c r="AV31" s="144">
        <v>8311</v>
      </c>
      <c r="AW31" s="142">
        <f>SUM($AV$1:AV31)/1000</f>
        <v>208.18100000000001</v>
      </c>
      <c r="AX31" s="142">
        <f t="shared" si="5"/>
        <v>-362.33349999999996</v>
      </c>
      <c r="AZ31" s="126">
        <f t="shared" si="26"/>
        <v>-39.832599999999999</v>
      </c>
      <c r="BA31" s="126">
        <f t="shared" si="6"/>
        <v>362.33349999999996</v>
      </c>
      <c r="BB31" s="126">
        <f t="shared" si="7"/>
        <v>-402.16609999999997</v>
      </c>
      <c r="BD31" s="126">
        <f t="shared" si="27"/>
        <v>11.830000000000002</v>
      </c>
      <c r="BE31" s="126">
        <f t="shared" si="28"/>
        <v>-36.158503000000024</v>
      </c>
      <c r="BF31" s="126">
        <f t="shared" si="8"/>
        <v>-47.988503000000023</v>
      </c>
      <c r="BH31" s="126">
        <f t="shared" si="29"/>
        <v>7.0830000000000002</v>
      </c>
      <c r="BI31" s="126">
        <f t="shared" si="30"/>
        <v>-19.70524085804216</v>
      </c>
      <c r="BJ31" s="126">
        <f t="shared" si="31"/>
        <v>-26.788240858042158</v>
      </c>
      <c r="BL31" s="126">
        <f t="shared" si="9"/>
        <v>-44.25</v>
      </c>
      <c r="BM31" s="126">
        <f t="shared" si="10"/>
        <v>-70.833699999999979</v>
      </c>
      <c r="BN31" s="126">
        <f t="shared" si="11"/>
        <v>-26.583699999999979</v>
      </c>
      <c r="BP31" s="126">
        <f t="shared" si="12"/>
        <v>9.66</v>
      </c>
      <c r="BQ31" s="126">
        <f t="shared" si="13"/>
        <v>-52.86780000000001</v>
      </c>
      <c r="BR31" s="126">
        <f t="shared" si="14"/>
        <v>-62.527800000000013</v>
      </c>
      <c r="BT31" s="126">
        <f t="shared" si="15"/>
        <v>-15.910000000000005</v>
      </c>
      <c r="BU31" s="126">
        <f t="shared" si="16"/>
        <v>-222.38002999999992</v>
      </c>
      <c r="BV31" s="126">
        <f t="shared" si="17"/>
        <v>-206.47002999999992</v>
      </c>
      <c r="CC31">
        <f t="shared" si="32"/>
        <v>-12.662999999999997</v>
      </c>
    </row>
    <row r="32" spans="1:81" x14ac:dyDescent="0.2">
      <c r="A32">
        <v>27.69</v>
      </c>
      <c r="B32">
        <v>148.70000000000002</v>
      </c>
      <c r="C32">
        <v>222.8</v>
      </c>
      <c r="D32" s="126">
        <f t="shared" si="18"/>
        <v>27.764100000000003</v>
      </c>
      <c r="E32">
        <v>4456</v>
      </c>
      <c r="F32">
        <v>9096</v>
      </c>
      <c r="G32">
        <v>5356</v>
      </c>
      <c r="H32" s="126">
        <f t="shared" si="19"/>
        <v>0.71599999999999997</v>
      </c>
      <c r="J32">
        <v>-3.92</v>
      </c>
      <c r="K32">
        <v>12.41</v>
      </c>
      <c r="L32">
        <v>5.09</v>
      </c>
      <c r="M32" s="126">
        <f t="shared" si="20"/>
        <v>-11.24</v>
      </c>
      <c r="N32">
        <v>-13275</v>
      </c>
      <c r="O32">
        <v>6770</v>
      </c>
      <c r="P32">
        <v>12573</v>
      </c>
      <c r="Q32" s="126">
        <f t="shared" si="21"/>
        <v>-7.4720000000000004</v>
      </c>
      <c r="R32">
        <v>27.69</v>
      </c>
      <c r="S32">
        <v>91.4</v>
      </c>
      <c r="T32">
        <v>95.460000000000008</v>
      </c>
      <c r="U32" s="126">
        <f t="shared" si="22"/>
        <v>31.750000000000004</v>
      </c>
      <c r="V32">
        <v>-10.98</v>
      </c>
      <c r="W32">
        <v>13.42</v>
      </c>
      <c r="X32">
        <v>13.31</v>
      </c>
      <c r="Y32" s="126">
        <f t="shared" si="23"/>
        <v>-11.09</v>
      </c>
      <c r="Z32">
        <v>-10.200000000000001</v>
      </c>
      <c r="AA32">
        <v>55.550000000000004</v>
      </c>
      <c r="AB32">
        <v>76.739999999999995</v>
      </c>
      <c r="AC32" s="126">
        <f t="shared" si="24"/>
        <v>10.98999999999999</v>
      </c>
      <c r="AF32" s="128">
        <v>38579</v>
      </c>
      <c r="AG32" s="144">
        <v>-1259.491</v>
      </c>
      <c r="AH32" s="142">
        <f>SUM($AG$1:AG32)/1000</f>
        <v>-31.760098999999993</v>
      </c>
      <c r="AI32" s="142">
        <f t="shared" si="0"/>
        <v>34.899012000000027</v>
      </c>
      <c r="AJ32" s="147">
        <f t="shared" si="25"/>
        <v>-5343</v>
      </c>
      <c r="AK32" s="143">
        <v>-5.343</v>
      </c>
      <c r="AL32" s="142">
        <f t="shared" si="1"/>
        <v>19.312790599758042</v>
      </c>
      <c r="AM32" s="144">
        <v>-1468.3000000000002</v>
      </c>
      <c r="AN32" s="142">
        <f>SUM($AM$1:AM32)/1000</f>
        <v>-18.828700000000008</v>
      </c>
      <c r="AO32" s="142">
        <f t="shared" si="2"/>
        <v>69.36539999999998</v>
      </c>
      <c r="AP32" s="144">
        <v>384.2</v>
      </c>
      <c r="AQ32" s="145">
        <f>SUM($AP$1:AP32)/1000</f>
        <v>-30.083600000000001</v>
      </c>
      <c r="AR32" s="142">
        <f t="shared" si="3"/>
        <v>53.25200000000001</v>
      </c>
      <c r="AS32" s="144">
        <v>-4640.8100000000004</v>
      </c>
      <c r="AT32" s="142">
        <f>SUM($AS$1:AS32)/1000</f>
        <v>-115.40922999999998</v>
      </c>
      <c r="AU32" s="142">
        <f t="shared" si="4"/>
        <v>217.73921999999993</v>
      </c>
      <c r="AV32" s="144">
        <v>5560</v>
      </c>
      <c r="AW32" s="142">
        <f>SUM($AV$1:AV32)/1000</f>
        <v>213.74100000000001</v>
      </c>
      <c r="AX32" s="142">
        <f t="shared" si="5"/>
        <v>-356.77350000000001</v>
      </c>
      <c r="AZ32" s="126">
        <f t="shared" si="26"/>
        <v>-27.764100000000003</v>
      </c>
      <c r="BA32" s="126">
        <f t="shared" si="6"/>
        <v>356.77350000000001</v>
      </c>
      <c r="BB32" s="126">
        <f t="shared" si="7"/>
        <v>-384.5376</v>
      </c>
      <c r="BD32" s="126">
        <f t="shared" si="27"/>
        <v>11.24</v>
      </c>
      <c r="BE32" s="126">
        <f t="shared" si="28"/>
        <v>-34.899012000000027</v>
      </c>
      <c r="BF32" s="126">
        <f t="shared" si="8"/>
        <v>-46.139012000000029</v>
      </c>
      <c r="BH32" s="126">
        <f t="shared" si="29"/>
        <v>7.4720000000000004</v>
      </c>
      <c r="BI32" s="126">
        <f t="shared" si="30"/>
        <v>-19.312790599758042</v>
      </c>
      <c r="BJ32" s="126">
        <f t="shared" si="31"/>
        <v>-26.784790599758043</v>
      </c>
      <c r="BL32" s="126">
        <f t="shared" si="9"/>
        <v>-31.750000000000004</v>
      </c>
      <c r="BM32" s="126">
        <f t="shared" si="10"/>
        <v>-69.36539999999998</v>
      </c>
      <c r="BN32" s="126">
        <f t="shared" si="11"/>
        <v>-37.61539999999998</v>
      </c>
      <c r="BP32" s="126">
        <f t="shared" si="12"/>
        <v>11.09</v>
      </c>
      <c r="BQ32" s="126">
        <f t="shared" si="13"/>
        <v>-53.25200000000001</v>
      </c>
      <c r="BR32" s="126">
        <f t="shared" si="14"/>
        <v>-64.342000000000013</v>
      </c>
      <c r="BT32" s="126">
        <f t="shared" si="15"/>
        <v>-10.98999999999999</v>
      </c>
      <c r="BU32" s="126">
        <f t="shared" si="16"/>
        <v>-217.73921999999993</v>
      </c>
      <c r="BV32" s="126">
        <f t="shared" si="17"/>
        <v>-206.74921999999995</v>
      </c>
      <c r="CC32">
        <f t="shared" si="32"/>
        <v>-18.812000000000012</v>
      </c>
    </row>
    <row r="33" spans="1:81" x14ac:dyDescent="0.2">
      <c r="A33">
        <v>19.57</v>
      </c>
      <c r="B33">
        <v>150.30000000000001</v>
      </c>
      <c r="C33">
        <v>226.70000000000002</v>
      </c>
      <c r="D33" s="126">
        <f t="shared" si="18"/>
        <v>19.6464</v>
      </c>
      <c r="E33">
        <v>4429</v>
      </c>
      <c r="F33">
        <v>9191</v>
      </c>
      <c r="G33">
        <v>5478</v>
      </c>
      <c r="H33" s="126">
        <f t="shared" si="19"/>
        <v>0.71599999999999997</v>
      </c>
      <c r="J33">
        <v>-4.13</v>
      </c>
      <c r="K33">
        <v>12.540000000000001</v>
      </c>
      <c r="L33">
        <v>4.9000000000000004</v>
      </c>
      <c r="M33" s="126">
        <f t="shared" si="20"/>
        <v>-11.77</v>
      </c>
      <c r="N33">
        <v>-13733</v>
      </c>
      <c r="O33">
        <v>6841</v>
      </c>
      <c r="P33">
        <v>12764</v>
      </c>
      <c r="Q33" s="126">
        <f t="shared" si="21"/>
        <v>-7.81</v>
      </c>
      <c r="R33">
        <v>19.57</v>
      </c>
      <c r="S33">
        <v>92.4</v>
      </c>
      <c r="T33">
        <v>96.65</v>
      </c>
      <c r="U33" s="126">
        <f t="shared" si="22"/>
        <v>23.82</v>
      </c>
      <c r="V33">
        <v>-6.24</v>
      </c>
      <c r="W33">
        <v>13.57</v>
      </c>
      <c r="X33">
        <v>13.26</v>
      </c>
      <c r="Y33" s="126">
        <f t="shared" si="23"/>
        <v>-6.5500000000000007</v>
      </c>
      <c r="Z33">
        <v>0.02</v>
      </c>
      <c r="AA33">
        <v>56.14</v>
      </c>
      <c r="AB33">
        <v>77.3</v>
      </c>
      <c r="AC33" s="126">
        <f t="shared" si="24"/>
        <v>21.179999999999996</v>
      </c>
      <c r="AF33" s="128">
        <v>38610</v>
      </c>
      <c r="AG33" s="144">
        <v>-1313.665</v>
      </c>
      <c r="AH33" s="142">
        <f>SUM($AG$1:AG33)/1000</f>
        <v>-33.073763999999997</v>
      </c>
      <c r="AI33" s="142">
        <f t="shared" ref="AI33:AI64" si="33">AH33-$AH$130</f>
        <v>33.585347000000027</v>
      </c>
      <c r="AJ33" s="147">
        <f t="shared" si="25"/>
        <v>-5680.1943674865588</v>
      </c>
      <c r="AK33" s="143">
        <v>-5.6801943674865587</v>
      </c>
      <c r="AL33" s="142">
        <f t="shared" ref="AL33:AL64" si="34">AK33-$AK$130</f>
        <v>18.975596232271485</v>
      </c>
      <c r="AM33" s="144">
        <v>-501.40000000000003</v>
      </c>
      <c r="AN33" s="142">
        <f>SUM($AM$1:AM33)/1000</f>
        <v>-19.330100000000009</v>
      </c>
      <c r="AO33" s="142">
        <f t="shared" ref="AO33:AO64" si="35">AN33-$AN$130</f>
        <v>68.863999999999976</v>
      </c>
      <c r="AP33" s="144">
        <v>-617.30000000000007</v>
      </c>
      <c r="AQ33" s="145">
        <f>SUM($AP$1:AP33)/1000</f>
        <v>-30.700900000000001</v>
      </c>
      <c r="AR33" s="142">
        <f t="shared" ref="AR33:AR64" si="36">AQ33-$AQ$130</f>
        <v>52.634700000000009</v>
      </c>
      <c r="AS33" s="144">
        <v>-6138.56</v>
      </c>
      <c r="AT33" s="142">
        <f>SUM($AS$1:AS33)/1000</f>
        <v>-121.54778999999998</v>
      </c>
      <c r="AU33" s="142">
        <f t="shared" ref="AU33:AU64" si="37">AT33-$AT$130</f>
        <v>211.60065999999995</v>
      </c>
      <c r="AV33" s="144">
        <v>10276</v>
      </c>
      <c r="AW33" s="142">
        <f>SUM($AV$1:AV33)/1000</f>
        <v>224.017</v>
      </c>
      <c r="AX33" s="142">
        <f t="shared" ref="AX33:AX64" si="38">AW33-$AW$130</f>
        <v>-346.4975</v>
      </c>
      <c r="AZ33" s="126">
        <f t="shared" si="26"/>
        <v>-19.6464</v>
      </c>
      <c r="BA33" s="126">
        <f t="shared" si="6"/>
        <v>346.4975</v>
      </c>
      <c r="BB33" s="126">
        <f t="shared" si="7"/>
        <v>-366.14390000000003</v>
      </c>
      <c r="BD33" s="126">
        <f t="shared" si="27"/>
        <v>11.77</v>
      </c>
      <c r="BE33" s="126">
        <f t="shared" si="28"/>
        <v>-33.585347000000027</v>
      </c>
      <c r="BF33" s="126">
        <f t="shared" si="8"/>
        <v>-45.355347000000023</v>
      </c>
      <c r="BH33" s="126">
        <f t="shared" si="29"/>
        <v>7.81</v>
      </c>
      <c r="BI33" s="126">
        <f t="shared" si="30"/>
        <v>-18.975596232271485</v>
      </c>
      <c r="BJ33" s="126">
        <f t="shared" si="31"/>
        <v>-26.785596232271484</v>
      </c>
      <c r="BL33" s="126">
        <f t="shared" si="9"/>
        <v>-23.82</v>
      </c>
      <c r="BM33" s="126">
        <f t="shared" si="10"/>
        <v>-68.863999999999976</v>
      </c>
      <c r="BN33" s="126">
        <f t="shared" si="11"/>
        <v>-45.043999999999976</v>
      </c>
      <c r="BP33" s="126">
        <f t="shared" si="12"/>
        <v>6.5500000000000007</v>
      </c>
      <c r="BQ33" s="126">
        <f t="shared" si="13"/>
        <v>-52.634700000000009</v>
      </c>
      <c r="BR33" s="126">
        <f t="shared" si="14"/>
        <v>-59.184700000000007</v>
      </c>
      <c r="BT33" s="126">
        <f t="shared" si="15"/>
        <v>-21.179999999999996</v>
      </c>
      <c r="BU33" s="126">
        <f t="shared" si="16"/>
        <v>-211.60065999999995</v>
      </c>
      <c r="BV33" s="126">
        <f t="shared" si="17"/>
        <v>-190.42065999999994</v>
      </c>
      <c r="CC33">
        <f t="shared" si="32"/>
        <v>-4.9500000000000037</v>
      </c>
    </row>
    <row r="34" spans="1:81" x14ac:dyDescent="0.2">
      <c r="A34">
        <v>21.73</v>
      </c>
      <c r="B34">
        <v>151.5</v>
      </c>
      <c r="C34">
        <v>227.9</v>
      </c>
      <c r="D34" s="126">
        <f t="shared" si="18"/>
        <v>21.8064</v>
      </c>
      <c r="E34">
        <v>4450</v>
      </c>
      <c r="F34">
        <v>9265</v>
      </c>
      <c r="G34">
        <v>5531</v>
      </c>
      <c r="H34" s="126">
        <f t="shared" si="19"/>
        <v>0.71599999999999997</v>
      </c>
      <c r="J34">
        <v>-5.12</v>
      </c>
      <c r="K34">
        <v>12.64</v>
      </c>
      <c r="L34">
        <v>4.91</v>
      </c>
      <c r="M34" s="126">
        <f t="shared" si="20"/>
        <v>-12.850000000000001</v>
      </c>
      <c r="N34">
        <v>-13417</v>
      </c>
      <c r="O34">
        <v>6895</v>
      </c>
      <c r="P34">
        <v>13042</v>
      </c>
      <c r="Q34" s="126">
        <f t="shared" si="21"/>
        <v>-7.27</v>
      </c>
      <c r="R34">
        <v>21.73</v>
      </c>
      <c r="S34">
        <v>93.18</v>
      </c>
      <c r="T34">
        <v>97.600000000000009</v>
      </c>
      <c r="U34" s="126">
        <f t="shared" si="22"/>
        <v>26.150000000000002</v>
      </c>
      <c r="V34">
        <v>-11.18</v>
      </c>
      <c r="W34">
        <v>13.67</v>
      </c>
      <c r="X34">
        <v>13.43</v>
      </c>
      <c r="Y34" s="126">
        <f t="shared" si="23"/>
        <v>-11.42</v>
      </c>
      <c r="Z34">
        <v>0.95000000000000007</v>
      </c>
      <c r="AA34">
        <v>56.57</v>
      </c>
      <c r="AB34">
        <v>77.78</v>
      </c>
      <c r="AC34" s="126">
        <f t="shared" si="24"/>
        <v>22.16</v>
      </c>
      <c r="AF34" s="128">
        <v>38640</v>
      </c>
      <c r="AG34" s="144">
        <v>-1377.0360000000001</v>
      </c>
      <c r="AH34" s="142">
        <f>SUM($AG$1:AG34)/1000</f>
        <v>-34.450799999999994</v>
      </c>
      <c r="AI34" s="142">
        <f t="shared" si="33"/>
        <v>32.20831100000003</v>
      </c>
      <c r="AJ34" s="147">
        <f t="shared" si="25"/>
        <v>-6047.7581114202249</v>
      </c>
      <c r="AK34" s="143">
        <v>-6.047758111420225</v>
      </c>
      <c r="AL34" s="142">
        <f t="shared" si="34"/>
        <v>18.608032488337816</v>
      </c>
      <c r="AM34" s="144">
        <v>25.400000000000002</v>
      </c>
      <c r="AN34" s="142">
        <f>SUM($AM$1:AM34)/1000</f>
        <v>-19.304700000000008</v>
      </c>
      <c r="AO34" s="142">
        <f t="shared" si="35"/>
        <v>68.889399999999981</v>
      </c>
      <c r="AP34" s="144">
        <v>-1341.3</v>
      </c>
      <c r="AQ34" s="145">
        <f>SUM($AP$1:AP34)/1000</f>
        <v>-32.042200000000001</v>
      </c>
      <c r="AR34" s="142">
        <f t="shared" si="36"/>
        <v>51.293400000000013</v>
      </c>
      <c r="AS34" s="144">
        <v>-4945.67</v>
      </c>
      <c r="AT34" s="142">
        <f>SUM($AS$1:AS34)/1000</f>
        <v>-126.49345999999997</v>
      </c>
      <c r="AU34" s="142">
        <f t="shared" si="37"/>
        <v>206.65498999999994</v>
      </c>
      <c r="AV34" s="144">
        <v>8015</v>
      </c>
      <c r="AW34" s="142">
        <f>SUM($AV$1:AV34)/1000</f>
        <v>232.03200000000001</v>
      </c>
      <c r="AX34" s="142">
        <f t="shared" si="38"/>
        <v>-338.48249999999996</v>
      </c>
      <c r="AZ34" s="126">
        <f t="shared" si="26"/>
        <v>-21.8064</v>
      </c>
      <c r="BA34" s="126">
        <f t="shared" si="6"/>
        <v>338.48249999999996</v>
      </c>
      <c r="BB34" s="126">
        <f t="shared" si="7"/>
        <v>-360.28889999999996</v>
      </c>
      <c r="BD34" s="126">
        <f t="shared" si="27"/>
        <v>12.850000000000001</v>
      </c>
      <c r="BE34" s="126">
        <f t="shared" si="28"/>
        <v>-32.20831100000003</v>
      </c>
      <c r="BF34" s="126">
        <f t="shared" si="8"/>
        <v>-45.058311000000032</v>
      </c>
      <c r="BH34" s="126">
        <f t="shared" si="29"/>
        <v>7.27</v>
      </c>
      <c r="BI34" s="126">
        <f t="shared" si="30"/>
        <v>-18.608032488337816</v>
      </c>
      <c r="BJ34" s="126">
        <f t="shared" si="31"/>
        <v>-25.878032488337816</v>
      </c>
      <c r="BL34" s="126">
        <f t="shared" si="9"/>
        <v>-26.150000000000002</v>
      </c>
      <c r="BM34" s="126">
        <f t="shared" si="10"/>
        <v>-68.889399999999981</v>
      </c>
      <c r="BN34" s="126">
        <f t="shared" si="11"/>
        <v>-42.739399999999975</v>
      </c>
      <c r="BP34" s="126">
        <f t="shared" si="12"/>
        <v>11.42</v>
      </c>
      <c r="BQ34" s="126">
        <f t="shared" si="13"/>
        <v>-51.293400000000013</v>
      </c>
      <c r="BR34" s="126">
        <f t="shared" si="14"/>
        <v>-62.713400000000014</v>
      </c>
      <c r="BT34" s="126">
        <f t="shared" si="15"/>
        <v>-22.16</v>
      </c>
      <c r="BU34" s="126">
        <f t="shared" si="16"/>
        <v>-206.65498999999994</v>
      </c>
      <c r="BV34" s="126">
        <f t="shared" si="17"/>
        <v>-184.49498999999994</v>
      </c>
      <c r="CC34">
        <f t="shared" si="32"/>
        <v>-9.3800000000000008</v>
      </c>
    </row>
    <row r="35" spans="1:81" x14ac:dyDescent="0.2">
      <c r="A35">
        <v>16.53</v>
      </c>
      <c r="B35">
        <v>152.6</v>
      </c>
      <c r="C35">
        <v>229</v>
      </c>
      <c r="D35" s="126">
        <f t="shared" si="18"/>
        <v>16.606400000000001</v>
      </c>
      <c r="E35">
        <v>4405</v>
      </c>
      <c r="F35">
        <v>9338</v>
      </c>
      <c r="G35">
        <v>5650</v>
      </c>
      <c r="H35" s="126">
        <f t="shared" si="19"/>
        <v>0.71699999999999997</v>
      </c>
      <c r="J35">
        <v>-3.43</v>
      </c>
      <c r="K35">
        <v>12.73</v>
      </c>
      <c r="L35">
        <v>4.99</v>
      </c>
      <c r="M35" s="126">
        <f t="shared" si="20"/>
        <v>-11.17</v>
      </c>
      <c r="N35">
        <v>-10530</v>
      </c>
      <c r="O35">
        <v>6955</v>
      </c>
      <c r="P35">
        <v>13327</v>
      </c>
      <c r="Q35" s="126">
        <f t="shared" si="21"/>
        <v>-4.1580000000000004</v>
      </c>
      <c r="R35">
        <v>16.53</v>
      </c>
      <c r="S35">
        <v>93.9</v>
      </c>
      <c r="T35">
        <v>98.66</v>
      </c>
      <c r="U35" s="126">
        <f t="shared" si="22"/>
        <v>21.289999999999992</v>
      </c>
      <c r="V35">
        <v>-12.01</v>
      </c>
      <c r="W35">
        <v>13.780000000000001</v>
      </c>
      <c r="X35">
        <v>13.42</v>
      </c>
      <c r="Y35" s="126">
        <f t="shared" si="23"/>
        <v>-12.370000000000001</v>
      </c>
      <c r="Z35">
        <v>-4.05</v>
      </c>
      <c r="AA35">
        <v>56.980000000000004</v>
      </c>
      <c r="AB35">
        <v>78.91</v>
      </c>
      <c r="AC35" s="126">
        <f t="shared" si="24"/>
        <v>17.879999999999992</v>
      </c>
      <c r="AF35" s="128">
        <v>38671</v>
      </c>
      <c r="AG35" s="144">
        <v>-1559.146</v>
      </c>
      <c r="AH35" s="142">
        <f>SUM($AG$1:AG35)/1000</f>
        <v>-36.009945999999999</v>
      </c>
      <c r="AI35" s="142">
        <f t="shared" si="33"/>
        <v>30.649165000000025</v>
      </c>
      <c r="AJ35" s="147">
        <f t="shared" si="25"/>
        <v>-6559</v>
      </c>
      <c r="AK35" s="143">
        <v>-6.5590000000000002</v>
      </c>
      <c r="AL35" s="142">
        <f t="shared" si="34"/>
        <v>18.096790599758041</v>
      </c>
      <c r="AM35" s="144">
        <v>-1485.1000000000001</v>
      </c>
      <c r="AN35" s="142">
        <f>SUM($AM$1:AM35)/1000</f>
        <v>-20.789800000000007</v>
      </c>
      <c r="AO35" s="142">
        <f t="shared" si="35"/>
        <v>67.404299999999978</v>
      </c>
      <c r="AP35" s="144">
        <v>-2161.6</v>
      </c>
      <c r="AQ35" s="145">
        <f>SUM($AP$1:AP35)/1000</f>
        <v>-34.203800000000001</v>
      </c>
      <c r="AR35" s="142">
        <f t="shared" si="36"/>
        <v>49.131800000000013</v>
      </c>
      <c r="AS35" s="144">
        <v>-4879.2</v>
      </c>
      <c r="AT35" s="142">
        <f>SUM($AS$1:AS35)/1000</f>
        <v>-131.37265999999997</v>
      </c>
      <c r="AU35" s="142">
        <f t="shared" si="37"/>
        <v>201.77578999999994</v>
      </c>
      <c r="AV35" s="144">
        <v>10678</v>
      </c>
      <c r="AW35" s="142">
        <f>SUM($AV$1:AV35)/1000</f>
        <v>242.71</v>
      </c>
      <c r="AX35" s="142">
        <f t="shared" si="38"/>
        <v>-327.80449999999996</v>
      </c>
      <c r="AZ35" s="126">
        <f t="shared" si="26"/>
        <v>-16.606400000000001</v>
      </c>
      <c r="BA35" s="126">
        <f t="shared" si="6"/>
        <v>327.80449999999996</v>
      </c>
      <c r="BB35" s="126">
        <f t="shared" si="7"/>
        <v>-344.41089999999997</v>
      </c>
      <c r="BD35" s="126">
        <f t="shared" si="27"/>
        <v>11.17</v>
      </c>
      <c r="BE35" s="126">
        <f t="shared" si="28"/>
        <v>-30.649165000000025</v>
      </c>
      <c r="BF35" s="126">
        <f t="shared" si="8"/>
        <v>-41.819165000000027</v>
      </c>
      <c r="BH35" s="126">
        <f t="shared" si="29"/>
        <v>4.1580000000000004</v>
      </c>
      <c r="BI35" s="126">
        <f t="shared" si="30"/>
        <v>-18.096790599758041</v>
      </c>
      <c r="BJ35" s="126">
        <f t="shared" si="31"/>
        <v>-22.254790599758042</v>
      </c>
      <c r="BL35" s="126">
        <f t="shared" si="9"/>
        <v>-21.289999999999992</v>
      </c>
      <c r="BM35" s="126">
        <f t="shared" si="10"/>
        <v>-67.404299999999978</v>
      </c>
      <c r="BN35" s="126">
        <f t="shared" si="11"/>
        <v>-46.114299999999986</v>
      </c>
      <c r="BP35" s="126">
        <f t="shared" si="12"/>
        <v>12.370000000000001</v>
      </c>
      <c r="BQ35" s="126">
        <f t="shared" si="13"/>
        <v>-49.131800000000013</v>
      </c>
      <c r="BR35" s="126">
        <f t="shared" si="14"/>
        <v>-61.501800000000017</v>
      </c>
      <c r="BT35" s="126">
        <f t="shared" si="15"/>
        <v>-17.879999999999992</v>
      </c>
      <c r="BU35" s="126">
        <f t="shared" si="16"/>
        <v>-201.77578999999994</v>
      </c>
      <c r="BV35" s="126">
        <f t="shared" si="17"/>
        <v>-183.89578999999995</v>
      </c>
      <c r="CC35">
        <f t="shared" si="32"/>
        <v>-9.8180000000000085</v>
      </c>
    </row>
    <row r="36" spans="1:81" x14ac:dyDescent="0.2">
      <c r="A36">
        <v>-1.3900000000000001</v>
      </c>
      <c r="B36">
        <v>159.10000000000002</v>
      </c>
      <c r="C36">
        <v>234.20000000000002</v>
      </c>
      <c r="D36" s="126">
        <f t="shared" si="18"/>
        <v>-1.3149000000000002</v>
      </c>
      <c r="E36">
        <v>4642</v>
      </c>
      <c r="F36">
        <v>9738</v>
      </c>
      <c r="G36">
        <v>5812</v>
      </c>
      <c r="H36" s="126">
        <f t="shared" si="19"/>
        <v>0.71599999999999997</v>
      </c>
      <c r="J36">
        <v>-3.13</v>
      </c>
      <c r="K36">
        <v>13.27</v>
      </c>
      <c r="L36">
        <v>5.45</v>
      </c>
      <c r="M36" s="126">
        <f t="shared" si="20"/>
        <v>-10.95</v>
      </c>
      <c r="N36">
        <v>-10929</v>
      </c>
      <c r="O36">
        <v>7247</v>
      </c>
      <c r="P36">
        <v>14180</v>
      </c>
      <c r="Q36" s="126">
        <f t="shared" si="21"/>
        <v>-3.996</v>
      </c>
      <c r="R36">
        <v>-1.3900000000000001</v>
      </c>
      <c r="S36">
        <v>97.89</v>
      </c>
      <c r="T36">
        <v>105.99000000000001</v>
      </c>
      <c r="U36" s="126">
        <f t="shared" si="22"/>
        <v>6.710000000000008</v>
      </c>
      <c r="V36">
        <v>-7.41</v>
      </c>
      <c r="W36">
        <v>14.36</v>
      </c>
      <c r="X36">
        <v>15.610000000000001</v>
      </c>
      <c r="Y36" s="126">
        <f t="shared" si="23"/>
        <v>-6.1599999999999984</v>
      </c>
      <c r="Z36">
        <v>-6.62</v>
      </c>
      <c r="AA36">
        <v>59.36</v>
      </c>
      <c r="AB36">
        <v>83.02</v>
      </c>
      <c r="AC36" s="126">
        <f t="shared" si="24"/>
        <v>17.039999999999996</v>
      </c>
      <c r="AF36" s="128">
        <v>38701</v>
      </c>
      <c r="AG36" s="144">
        <v>-1577.183</v>
      </c>
      <c r="AH36" s="142">
        <f>SUM($AG$1:AG36)/1000</f>
        <v>-37.58712899999999</v>
      </c>
      <c r="AI36" s="142">
        <f t="shared" si="33"/>
        <v>29.071982000000034</v>
      </c>
      <c r="AJ36" s="147">
        <f t="shared" si="25"/>
        <v>-7281.7887193654024</v>
      </c>
      <c r="AK36" s="143">
        <v>-7.2817887193654025</v>
      </c>
      <c r="AL36" s="142">
        <f t="shared" si="34"/>
        <v>17.37400188039264</v>
      </c>
      <c r="AM36" s="144">
        <v>-1721.4</v>
      </c>
      <c r="AN36" s="142">
        <f>SUM($AM$1:AM36)/1000</f>
        <v>-22.511200000000009</v>
      </c>
      <c r="AO36" s="142">
        <f t="shared" si="35"/>
        <v>65.682899999999989</v>
      </c>
      <c r="AP36" s="144">
        <v>-2521</v>
      </c>
      <c r="AQ36" s="145">
        <f>SUM($AP$1:AP36)/1000</f>
        <v>-36.724800000000002</v>
      </c>
      <c r="AR36" s="142">
        <f t="shared" si="36"/>
        <v>46.610800000000012</v>
      </c>
      <c r="AS36" s="144">
        <v>-7127.06</v>
      </c>
      <c r="AT36" s="142">
        <f>SUM($AS$1:AS36)/1000</f>
        <v>-138.49971999999997</v>
      </c>
      <c r="AU36" s="142">
        <f t="shared" si="37"/>
        <v>194.64872999999994</v>
      </c>
      <c r="AV36" s="144">
        <v>12778</v>
      </c>
      <c r="AW36" s="142">
        <f>SUM($AV$1:AV36)/1000</f>
        <v>255.488</v>
      </c>
      <c r="AX36" s="142">
        <f t="shared" si="38"/>
        <v>-315.0265</v>
      </c>
      <c r="AZ36" s="126">
        <f t="shared" si="26"/>
        <v>1.3149000000000002</v>
      </c>
      <c r="BA36" s="126">
        <f t="shared" si="6"/>
        <v>315.0265</v>
      </c>
      <c r="BB36" s="126">
        <f t="shared" si="7"/>
        <v>-313.71159999999998</v>
      </c>
      <c r="BD36" s="126">
        <f t="shared" si="27"/>
        <v>10.95</v>
      </c>
      <c r="BE36" s="126">
        <f t="shared" si="28"/>
        <v>-29.071982000000034</v>
      </c>
      <c r="BF36" s="126">
        <f t="shared" si="8"/>
        <v>-40.021982000000037</v>
      </c>
      <c r="BH36" s="126">
        <f t="shared" si="29"/>
        <v>3.996</v>
      </c>
      <c r="BI36" s="126">
        <f t="shared" si="30"/>
        <v>-17.37400188039264</v>
      </c>
      <c r="BJ36" s="126">
        <f t="shared" si="31"/>
        <v>-21.370001880392639</v>
      </c>
      <c r="BL36" s="126">
        <f t="shared" si="9"/>
        <v>-6.710000000000008</v>
      </c>
      <c r="BM36" s="126">
        <f t="shared" si="10"/>
        <v>-65.682899999999989</v>
      </c>
      <c r="BN36" s="126">
        <f t="shared" si="11"/>
        <v>-58.972899999999981</v>
      </c>
      <c r="BP36" s="126">
        <f t="shared" si="12"/>
        <v>6.1599999999999984</v>
      </c>
      <c r="BQ36" s="126">
        <f t="shared" si="13"/>
        <v>-46.610800000000012</v>
      </c>
      <c r="BR36" s="126">
        <f t="shared" si="14"/>
        <v>-52.770800000000008</v>
      </c>
      <c r="BT36" s="126">
        <f t="shared" si="15"/>
        <v>-17.039999999999996</v>
      </c>
      <c r="BU36" s="126">
        <f t="shared" si="16"/>
        <v>-194.64872999999994</v>
      </c>
      <c r="BV36" s="126">
        <f t="shared" si="17"/>
        <v>-177.60872999999995</v>
      </c>
      <c r="CC36">
        <f t="shared" si="32"/>
        <v>-4.0660000000000025</v>
      </c>
    </row>
    <row r="37" spans="1:81" x14ac:dyDescent="0.2">
      <c r="A37">
        <v>28.71</v>
      </c>
      <c r="B37">
        <v>154.10000000000002</v>
      </c>
      <c r="C37">
        <v>229.9</v>
      </c>
      <c r="D37" s="126">
        <f t="shared" si="18"/>
        <v>28.785800000000002</v>
      </c>
      <c r="E37">
        <v>4481</v>
      </c>
      <c r="F37">
        <v>9431</v>
      </c>
      <c r="G37">
        <v>5671</v>
      </c>
      <c r="H37" s="126">
        <f t="shared" si="19"/>
        <v>0.72099999999999997</v>
      </c>
      <c r="J37">
        <v>-5.79</v>
      </c>
      <c r="K37">
        <v>12.86</v>
      </c>
      <c r="L37">
        <v>5.0200000000000005</v>
      </c>
      <c r="M37" s="126">
        <f t="shared" si="20"/>
        <v>-13.629999999999999</v>
      </c>
      <c r="N37">
        <v>-8767</v>
      </c>
      <c r="O37">
        <v>7030</v>
      </c>
      <c r="P37">
        <v>13628</v>
      </c>
      <c r="Q37" s="126">
        <f t="shared" si="21"/>
        <v>-2.169</v>
      </c>
      <c r="R37">
        <v>28.7</v>
      </c>
      <c r="S37">
        <v>94.8</v>
      </c>
      <c r="T37">
        <v>101.71000000000001</v>
      </c>
      <c r="U37" s="126">
        <f t="shared" si="22"/>
        <v>35.610000000000014</v>
      </c>
      <c r="V37">
        <v>-10.43</v>
      </c>
      <c r="W37">
        <v>13.92</v>
      </c>
      <c r="X37">
        <v>14.17</v>
      </c>
      <c r="Y37" s="126">
        <f t="shared" si="23"/>
        <v>-10.18</v>
      </c>
      <c r="Z37">
        <v>3.85</v>
      </c>
      <c r="AA37">
        <v>57.54</v>
      </c>
      <c r="AB37">
        <v>80.5</v>
      </c>
      <c r="AC37" s="126">
        <f t="shared" si="24"/>
        <v>26.810000000000002</v>
      </c>
      <c r="AF37" s="128">
        <v>38732</v>
      </c>
      <c r="AG37" s="144">
        <v>-1429.6610000000001</v>
      </c>
      <c r="AH37" s="142">
        <f>SUM($AG$1:AG37)/1000</f>
        <v>-39.016789999999993</v>
      </c>
      <c r="AI37" s="142">
        <f t="shared" si="33"/>
        <v>27.642321000000031</v>
      </c>
      <c r="AJ37" s="147">
        <f t="shared" si="25"/>
        <v>-8102.2326274180314</v>
      </c>
      <c r="AK37" s="143">
        <v>-8.1022326274180312</v>
      </c>
      <c r="AL37" s="142">
        <f t="shared" si="34"/>
        <v>16.553557972340009</v>
      </c>
      <c r="AM37" s="144">
        <v>-4635.4000000000005</v>
      </c>
      <c r="AN37" s="142">
        <f>SUM($AM$1:AM37)/1000</f>
        <v>-27.14660000000001</v>
      </c>
      <c r="AO37" s="142">
        <f t="shared" si="35"/>
        <v>61.047499999999985</v>
      </c>
      <c r="AP37" s="144">
        <v>-2229.4</v>
      </c>
      <c r="AQ37" s="145">
        <f>SUM($AP$1:AP37)/1000</f>
        <v>-38.954200000000007</v>
      </c>
      <c r="AR37" s="142">
        <f t="shared" si="36"/>
        <v>44.381400000000006</v>
      </c>
      <c r="AS37" s="144">
        <v>-6605.21</v>
      </c>
      <c r="AT37" s="142">
        <f>SUM($AS$1:AS37)/1000</f>
        <v>-145.10492999999997</v>
      </c>
      <c r="AU37" s="142">
        <f t="shared" si="37"/>
        <v>188.04351999999994</v>
      </c>
      <c r="AV37" s="144">
        <v>9630</v>
      </c>
      <c r="AW37" s="142">
        <f>SUM($AV$1:AV37)/1000</f>
        <v>265.11799999999999</v>
      </c>
      <c r="AX37" s="142">
        <f t="shared" si="38"/>
        <v>-305.3965</v>
      </c>
      <c r="AZ37" s="126">
        <f t="shared" si="26"/>
        <v>-28.785800000000002</v>
      </c>
      <c r="BA37" s="126">
        <f t="shared" si="6"/>
        <v>305.3965</v>
      </c>
      <c r="BB37" s="126">
        <f t="shared" si="7"/>
        <v>-334.1823</v>
      </c>
      <c r="BD37" s="126">
        <f t="shared" si="27"/>
        <v>13.629999999999999</v>
      </c>
      <c r="BE37" s="126">
        <f t="shared" si="28"/>
        <v>-27.642321000000031</v>
      </c>
      <c r="BF37" s="126">
        <f t="shared" si="8"/>
        <v>-41.272321000000034</v>
      </c>
      <c r="BH37" s="126">
        <f t="shared" si="29"/>
        <v>2.169</v>
      </c>
      <c r="BI37" s="126">
        <f t="shared" si="30"/>
        <v>-16.553557972340009</v>
      </c>
      <c r="BJ37" s="126">
        <f t="shared" si="31"/>
        <v>-18.72255797234001</v>
      </c>
      <c r="BL37" s="126">
        <f t="shared" si="9"/>
        <v>-35.610000000000014</v>
      </c>
      <c r="BM37" s="126">
        <f t="shared" si="10"/>
        <v>-61.047499999999985</v>
      </c>
      <c r="BN37" s="126">
        <f t="shared" si="11"/>
        <v>-25.437499999999972</v>
      </c>
      <c r="BP37" s="126">
        <f t="shared" si="12"/>
        <v>10.18</v>
      </c>
      <c r="BQ37" s="126">
        <f t="shared" si="13"/>
        <v>-44.381400000000006</v>
      </c>
      <c r="BR37" s="126">
        <f t="shared" si="14"/>
        <v>-54.561400000000006</v>
      </c>
      <c r="BT37" s="126">
        <f t="shared" si="15"/>
        <v>-26.810000000000002</v>
      </c>
      <c r="BU37" s="126">
        <f t="shared" si="16"/>
        <v>-188.04351999999994</v>
      </c>
      <c r="BV37" s="126">
        <f t="shared" si="17"/>
        <v>-161.23351999999994</v>
      </c>
      <c r="CC37">
        <f t="shared" si="32"/>
        <v>0.83100000000000351</v>
      </c>
    </row>
    <row r="38" spans="1:81" x14ac:dyDescent="0.2">
      <c r="A38">
        <v>26.32</v>
      </c>
      <c r="B38">
        <v>155.30000000000001</v>
      </c>
      <c r="C38">
        <v>233</v>
      </c>
      <c r="D38" s="126">
        <f t="shared" si="18"/>
        <v>26.3977</v>
      </c>
      <c r="E38">
        <v>4492</v>
      </c>
      <c r="F38">
        <v>9499</v>
      </c>
      <c r="G38">
        <v>5723</v>
      </c>
      <c r="H38" s="126">
        <f t="shared" si="19"/>
        <v>0.71599999999999997</v>
      </c>
      <c r="J38">
        <v>-6.58</v>
      </c>
      <c r="K38">
        <v>12.950000000000001</v>
      </c>
      <c r="L38">
        <v>5.07</v>
      </c>
      <c r="M38" s="126">
        <f t="shared" si="20"/>
        <v>-14.46</v>
      </c>
      <c r="N38">
        <v>-8060</v>
      </c>
      <c r="O38">
        <v>7084</v>
      </c>
      <c r="P38">
        <v>13826</v>
      </c>
      <c r="Q38" s="126">
        <f t="shared" si="21"/>
        <v>-1.3180000000000001</v>
      </c>
      <c r="R38">
        <v>26.32</v>
      </c>
      <c r="S38">
        <v>95.53</v>
      </c>
      <c r="T38">
        <v>102.07000000000001</v>
      </c>
      <c r="U38" s="126">
        <f t="shared" si="22"/>
        <v>32.860000000000007</v>
      </c>
      <c r="V38">
        <v>-12.63</v>
      </c>
      <c r="W38">
        <v>14.02</v>
      </c>
      <c r="X38">
        <v>14.38</v>
      </c>
      <c r="Y38" s="126">
        <f t="shared" si="23"/>
        <v>-12.27</v>
      </c>
      <c r="Z38">
        <v>2.81</v>
      </c>
      <c r="AA38">
        <v>57.96</v>
      </c>
      <c r="AB38">
        <v>81</v>
      </c>
      <c r="AC38" s="126">
        <f t="shared" si="24"/>
        <v>25.849999999999998</v>
      </c>
      <c r="AF38" s="128">
        <v>38763</v>
      </c>
      <c r="AG38" s="144">
        <v>-1754.258</v>
      </c>
      <c r="AH38" s="142">
        <f>SUM($AG$1:AG38)/1000</f>
        <v>-40.771047999999993</v>
      </c>
      <c r="AI38" s="142">
        <f t="shared" si="33"/>
        <v>25.888063000000031</v>
      </c>
      <c r="AJ38" s="147">
        <f t="shared" si="25"/>
        <v>-8861</v>
      </c>
      <c r="AK38" s="143">
        <v>-8.8610000000000007</v>
      </c>
      <c r="AL38" s="142">
        <f t="shared" si="34"/>
        <v>15.794790599758041</v>
      </c>
      <c r="AM38" s="144">
        <v>-3963.3</v>
      </c>
      <c r="AN38" s="142">
        <f>SUM($AM$1:AM38)/1000</f>
        <v>-31.10990000000001</v>
      </c>
      <c r="AO38" s="142">
        <f t="shared" si="35"/>
        <v>57.084199999999981</v>
      </c>
      <c r="AP38" s="144">
        <v>-2562.4</v>
      </c>
      <c r="AQ38" s="145">
        <f>SUM($AP$1:AP38)/1000</f>
        <v>-41.516600000000004</v>
      </c>
      <c r="AR38" s="142">
        <f t="shared" si="36"/>
        <v>41.81900000000001</v>
      </c>
      <c r="AS38" s="144">
        <v>-8344.64</v>
      </c>
      <c r="AT38" s="142">
        <f>SUM($AS$1:AS38)/1000</f>
        <v>-153.44956999999994</v>
      </c>
      <c r="AU38" s="142">
        <f t="shared" si="37"/>
        <v>179.69887999999997</v>
      </c>
      <c r="AV38" s="144">
        <v>9938</v>
      </c>
      <c r="AW38" s="142">
        <f>SUM($AV$1:AV38)/1000</f>
        <v>275.05599999999998</v>
      </c>
      <c r="AX38" s="142">
        <f t="shared" si="38"/>
        <v>-295.45850000000002</v>
      </c>
      <c r="AZ38" s="126">
        <f t="shared" si="26"/>
        <v>-26.3977</v>
      </c>
      <c r="BA38" s="126">
        <f t="shared" si="6"/>
        <v>295.45850000000002</v>
      </c>
      <c r="BB38" s="126">
        <f t="shared" si="7"/>
        <v>-321.8562</v>
      </c>
      <c r="BD38" s="126">
        <f t="shared" si="27"/>
        <v>14.46</v>
      </c>
      <c r="BE38" s="126">
        <f t="shared" si="28"/>
        <v>-25.888063000000031</v>
      </c>
      <c r="BF38" s="126">
        <f t="shared" si="8"/>
        <v>-40.348063000000032</v>
      </c>
      <c r="BH38" s="126">
        <f t="shared" si="29"/>
        <v>1.3180000000000001</v>
      </c>
      <c r="BI38" s="126">
        <f t="shared" si="30"/>
        <v>-15.794790599758041</v>
      </c>
      <c r="BJ38" s="126">
        <f t="shared" si="31"/>
        <v>-17.112790599758043</v>
      </c>
      <c r="BL38" s="126">
        <f t="shared" si="9"/>
        <v>-32.860000000000007</v>
      </c>
      <c r="BM38" s="126">
        <f t="shared" si="10"/>
        <v>-57.084199999999981</v>
      </c>
      <c r="BN38" s="126">
        <f t="shared" si="11"/>
        <v>-24.224199999999975</v>
      </c>
      <c r="BP38" s="126">
        <f t="shared" si="12"/>
        <v>12.27</v>
      </c>
      <c r="BQ38" s="126">
        <f t="shared" si="13"/>
        <v>-41.81900000000001</v>
      </c>
      <c r="BR38" s="126">
        <f t="shared" si="14"/>
        <v>-54.089000000000013</v>
      </c>
      <c r="BT38" s="126">
        <f t="shared" si="15"/>
        <v>-25.849999999999998</v>
      </c>
      <c r="BU38" s="126">
        <f t="shared" si="16"/>
        <v>-179.69887999999997</v>
      </c>
      <c r="BV38" s="126">
        <f t="shared" si="17"/>
        <v>-153.84887999999998</v>
      </c>
      <c r="CC38">
        <f t="shared" si="32"/>
        <v>-2.1980000000000026</v>
      </c>
    </row>
    <row r="39" spans="1:81" x14ac:dyDescent="0.2">
      <c r="A39">
        <v>16.61</v>
      </c>
      <c r="B39">
        <v>157</v>
      </c>
      <c r="C39">
        <v>235.20000000000002</v>
      </c>
      <c r="D39" s="126">
        <f t="shared" si="18"/>
        <v>16.688199999999998</v>
      </c>
      <c r="E39">
        <v>4502</v>
      </c>
      <c r="F39">
        <v>9602</v>
      </c>
      <c r="G39">
        <v>5816</v>
      </c>
      <c r="H39" s="126">
        <f t="shared" si="19"/>
        <v>0.71599999999999997</v>
      </c>
      <c r="J39">
        <v>-6.4</v>
      </c>
      <c r="K39">
        <v>13.09</v>
      </c>
      <c r="L39">
        <v>5.07</v>
      </c>
      <c r="M39" s="126">
        <f t="shared" si="20"/>
        <v>-14.42</v>
      </c>
      <c r="N39">
        <v>-10301</v>
      </c>
      <c r="O39">
        <v>7158</v>
      </c>
      <c r="P39">
        <v>14015</v>
      </c>
      <c r="Q39" s="126">
        <f t="shared" si="21"/>
        <v>-3.444</v>
      </c>
      <c r="R39">
        <v>16.600000000000001</v>
      </c>
      <c r="S39">
        <v>96.56</v>
      </c>
      <c r="T39">
        <v>103.42</v>
      </c>
      <c r="U39" s="126">
        <f t="shared" si="22"/>
        <v>23.46</v>
      </c>
      <c r="V39">
        <v>-10.19</v>
      </c>
      <c r="W39">
        <v>14.18</v>
      </c>
      <c r="X39">
        <v>14.620000000000001</v>
      </c>
      <c r="Y39" s="126">
        <f t="shared" si="23"/>
        <v>-9.7499999999999982</v>
      </c>
      <c r="Z39">
        <v>2.83</v>
      </c>
      <c r="AA39">
        <v>58.56</v>
      </c>
      <c r="AB39">
        <v>82.54</v>
      </c>
      <c r="AC39" s="126">
        <f t="shared" si="24"/>
        <v>26.810000000000002</v>
      </c>
      <c r="AF39" s="128">
        <v>38791</v>
      </c>
      <c r="AG39" s="144">
        <v>-1587.8820000000001</v>
      </c>
      <c r="AH39" s="142">
        <f>SUM($AG$1:AG39)/1000</f>
        <v>-42.358929999999994</v>
      </c>
      <c r="AI39" s="142">
        <f t="shared" si="33"/>
        <v>24.30018100000003</v>
      </c>
      <c r="AJ39" s="147">
        <f t="shared" si="25"/>
        <v>-9440.3914957925736</v>
      </c>
      <c r="AK39" s="143">
        <v>-9.4403914957925732</v>
      </c>
      <c r="AL39" s="142">
        <f t="shared" si="34"/>
        <v>15.215399103965469</v>
      </c>
      <c r="AM39" s="144">
        <v>-3232.9</v>
      </c>
      <c r="AN39" s="142">
        <f>SUM($AM$1:AM39)/1000</f>
        <v>-34.342800000000011</v>
      </c>
      <c r="AO39" s="142">
        <f t="shared" si="35"/>
        <v>53.851299999999981</v>
      </c>
      <c r="AP39" s="144">
        <v>-3318.2000000000003</v>
      </c>
      <c r="AQ39" s="145">
        <f>SUM($AP$1:AP39)/1000</f>
        <v>-44.834800000000001</v>
      </c>
      <c r="AR39" s="142">
        <f t="shared" si="36"/>
        <v>38.500800000000012</v>
      </c>
      <c r="AS39" s="144">
        <v>-7910.31</v>
      </c>
      <c r="AT39" s="142">
        <f>SUM($AS$1:AS39)/1000</f>
        <v>-161.35987999999995</v>
      </c>
      <c r="AU39" s="142">
        <f t="shared" si="37"/>
        <v>171.78856999999996</v>
      </c>
      <c r="AV39" s="144">
        <v>12024</v>
      </c>
      <c r="AW39" s="142">
        <f>SUM($AV$1:AV39)/1000</f>
        <v>287.08</v>
      </c>
      <c r="AX39" s="142">
        <f t="shared" si="38"/>
        <v>-283.43450000000001</v>
      </c>
      <c r="AZ39" s="126">
        <f t="shared" si="26"/>
        <v>-16.688199999999998</v>
      </c>
      <c r="BA39" s="126">
        <f t="shared" si="6"/>
        <v>283.43450000000001</v>
      </c>
      <c r="BB39" s="126">
        <f t="shared" si="7"/>
        <v>-300.12270000000001</v>
      </c>
      <c r="BD39" s="126">
        <f t="shared" si="27"/>
        <v>14.42</v>
      </c>
      <c r="BE39" s="126">
        <f t="shared" si="28"/>
        <v>-24.30018100000003</v>
      </c>
      <c r="BF39" s="126">
        <f t="shared" si="8"/>
        <v>-38.720181000000032</v>
      </c>
      <c r="BH39" s="126">
        <f t="shared" si="29"/>
        <v>3.444</v>
      </c>
      <c r="BI39" s="126">
        <f t="shared" si="30"/>
        <v>-15.215399103965469</v>
      </c>
      <c r="BJ39" s="126">
        <f t="shared" si="31"/>
        <v>-18.65939910396547</v>
      </c>
      <c r="BL39" s="126">
        <f t="shared" si="9"/>
        <v>-23.46</v>
      </c>
      <c r="BM39" s="126">
        <f t="shared" si="10"/>
        <v>-53.851299999999981</v>
      </c>
      <c r="BN39" s="126">
        <f t="shared" si="11"/>
        <v>-30.39129999999998</v>
      </c>
      <c r="BP39" s="126">
        <f t="shared" si="12"/>
        <v>9.7499999999999982</v>
      </c>
      <c r="BQ39" s="126">
        <f t="shared" si="13"/>
        <v>-38.500800000000012</v>
      </c>
      <c r="BR39" s="126">
        <f t="shared" si="14"/>
        <v>-48.250800000000012</v>
      </c>
      <c r="BT39" s="126">
        <f t="shared" si="15"/>
        <v>-26.810000000000002</v>
      </c>
      <c r="BU39" s="126">
        <f t="shared" si="16"/>
        <v>-171.78856999999996</v>
      </c>
      <c r="BV39" s="126">
        <f t="shared" si="17"/>
        <v>-144.97856999999996</v>
      </c>
      <c r="CC39">
        <f t="shared" si="32"/>
        <v>-0.80399999999999761</v>
      </c>
    </row>
    <row r="40" spans="1:81" x14ac:dyDescent="0.2">
      <c r="A40">
        <v>11.51</v>
      </c>
      <c r="B40">
        <v>160.20000000000002</v>
      </c>
      <c r="C40">
        <v>238.9</v>
      </c>
      <c r="D40" s="126">
        <f t="shared" si="18"/>
        <v>11.588699999999999</v>
      </c>
      <c r="E40">
        <v>4527</v>
      </c>
      <c r="F40">
        <v>9803</v>
      </c>
      <c r="G40">
        <v>5993</v>
      </c>
      <c r="H40" s="126">
        <f t="shared" si="19"/>
        <v>0.71699999999999997</v>
      </c>
      <c r="J40">
        <v>-5.96</v>
      </c>
      <c r="K40">
        <v>13.36</v>
      </c>
      <c r="L40">
        <v>5.1100000000000003</v>
      </c>
      <c r="M40" s="126">
        <f t="shared" si="20"/>
        <v>-14.21</v>
      </c>
      <c r="N40">
        <v>-11708</v>
      </c>
      <c r="O40">
        <v>7297</v>
      </c>
      <c r="P40">
        <v>14350</v>
      </c>
      <c r="Q40" s="126">
        <f t="shared" si="21"/>
        <v>-4.6550000000000002</v>
      </c>
      <c r="R40">
        <v>11.51</v>
      </c>
      <c r="S40">
        <v>98.54</v>
      </c>
      <c r="T40">
        <v>105.87</v>
      </c>
      <c r="U40" s="126">
        <f t="shared" si="22"/>
        <v>18.839999999999996</v>
      </c>
      <c r="V40">
        <v>-13.14</v>
      </c>
      <c r="W40">
        <v>14.46</v>
      </c>
      <c r="X40">
        <v>15.64</v>
      </c>
      <c r="Y40" s="126">
        <f t="shared" si="23"/>
        <v>-11.96</v>
      </c>
      <c r="Z40">
        <v>6.37</v>
      </c>
      <c r="AA40">
        <v>59.75</v>
      </c>
      <c r="AB40">
        <v>83.68</v>
      </c>
      <c r="AC40" s="126">
        <f t="shared" si="24"/>
        <v>30.300000000000008</v>
      </c>
      <c r="AF40" s="128">
        <v>38822</v>
      </c>
      <c r="AG40" s="144">
        <v>-1597.5840000000001</v>
      </c>
      <c r="AH40" s="142">
        <f>SUM($AG$1:AG40)/1000</f>
        <v>-43.956513999999999</v>
      </c>
      <c r="AI40" s="142">
        <f t="shared" si="33"/>
        <v>22.702597000000026</v>
      </c>
      <c r="AJ40" s="147">
        <f t="shared" si="25"/>
        <v>-9889.2373048335794</v>
      </c>
      <c r="AK40" s="143">
        <v>-9.8892373048335802</v>
      </c>
      <c r="AL40" s="142">
        <f t="shared" si="34"/>
        <v>14.766553294924462</v>
      </c>
      <c r="AM40" s="144">
        <v>-2751.7000000000003</v>
      </c>
      <c r="AN40" s="142">
        <f>SUM($AM$1:AM40)/1000</f>
        <v>-37.094500000000011</v>
      </c>
      <c r="AO40" s="142">
        <f t="shared" si="35"/>
        <v>51.099599999999981</v>
      </c>
      <c r="AP40" s="144">
        <v>-2228.2000000000003</v>
      </c>
      <c r="AQ40" s="145">
        <f>SUM($AP$1:AP40)/1000</f>
        <v>-47.063000000000002</v>
      </c>
      <c r="AR40" s="142">
        <f t="shared" si="36"/>
        <v>36.272600000000011</v>
      </c>
      <c r="AS40" s="144">
        <v>-7568.7300000000005</v>
      </c>
      <c r="AT40" s="142">
        <f>SUM($AS$1:AS40)/1000</f>
        <v>-168.92860999999996</v>
      </c>
      <c r="AU40" s="142">
        <f t="shared" si="37"/>
        <v>164.21983999999995</v>
      </c>
      <c r="AV40" s="144">
        <v>10905</v>
      </c>
      <c r="AW40" s="142">
        <f>SUM($AV$1:AV40)/1000</f>
        <v>297.98500000000001</v>
      </c>
      <c r="AX40" s="142">
        <f t="shared" si="38"/>
        <v>-272.52949999999998</v>
      </c>
      <c r="AZ40" s="126">
        <f t="shared" si="26"/>
        <v>-11.588699999999999</v>
      </c>
      <c r="BA40" s="126">
        <f t="shared" si="6"/>
        <v>272.52949999999998</v>
      </c>
      <c r="BB40" s="126">
        <f t="shared" si="7"/>
        <v>-284.1182</v>
      </c>
      <c r="BD40" s="126">
        <f t="shared" si="27"/>
        <v>14.21</v>
      </c>
      <c r="BE40" s="126">
        <f t="shared" si="28"/>
        <v>-22.702597000000026</v>
      </c>
      <c r="BF40" s="126">
        <f t="shared" si="8"/>
        <v>-36.912597000000027</v>
      </c>
      <c r="BH40" s="126">
        <f t="shared" si="29"/>
        <v>4.6550000000000002</v>
      </c>
      <c r="BI40" s="126">
        <f t="shared" si="30"/>
        <v>-14.766553294924462</v>
      </c>
      <c r="BJ40" s="126">
        <f t="shared" si="31"/>
        <v>-19.421553294924461</v>
      </c>
      <c r="BL40" s="126">
        <f t="shared" si="9"/>
        <v>-18.839999999999996</v>
      </c>
      <c r="BM40" s="126">
        <f t="shared" si="10"/>
        <v>-51.099599999999981</v>
      </c>
      <c r="BN40" s="126">
        <f t="shared" si="11"/>
        <v>-32.259599999999985</v>
      </c>
      <c r="BP40" s="126">
        <f t="shared" si="12"/>
        <v>11.96</v>
      </c>
      <c r="BQ40" s="126">
        <f t="shared" si="13"/>
        <v>-36.272600000000011</v>
      </c>
      <c r="BR40" s="126">
        <f t="shared" si="14"/>
        <v>-48.232600000000012</v>
      </c>
      <c r="BT40" s="126">
        <f t="shared" si="15"/>
        <v>-30.300000000000008</v>
      </c>
      <c r="BU40" s="126">
        <f t="shared" si="16"/>
        <v>-164.21983999999995</v>
      </c>
      <c r="BV40" s="126">
        <f t="shared" si="17"/>
        <v>-133.91983999999994</v>
      </c>
      <c r="CC40">
        <f t="shared" si="32"/>
        <v>-0.52499999999999414</v>
      </c>
    </row>
    <row r="41" spans="1:81" x14ac:dyDescent="0.2">
      <c r="A41">
        <v>5.79</v>
      </c>
      <c r="B41">
        <v>160.80000000000001</v>
      </c>
      <c r="C41">
        <v>240.3</v>
      </c>
      <c r="D41" s="126">
        <f t="shared" si="18"/>
        <v>5.8695000000000004</v>
      </c>
      <c r="E41">
        <v>4487</v>
      </c>
      <c r="F41">
        <v>9839</v>
      </c>
      <c r="G41">
        <v>6069</v>
      </c>
      <c r="H41" s="126">
        <f t="shared" si="19"/>
        <v>0.71699999999999997</v>
      </c>
      <c r="J41">
        <v>-4.37</v>
      </c>
      <c r="K41">
        <v>13.4</v>
      </c>
      <c r="L41">
        <v>4.8500000000000005</v>
      </c>
      <c r="M41" s="126">
        <f t="shared" si="20"/>
        <v>-12.920000000000002</v>
      </c>
      <c r="N41">
        <v>-6772</v>
      </c>
      <c r="O41">
        <v>7323</v>
      </c>
      <c r="P41">
        <v>14603</v>
      </c>
      <c r="Q41" s="126">
        <f t="shared" si="21"/>
        <v>0.50800000000000001</v>
      </c>
      <c r="R41">
        <v>5.79</v>
      </c>
      <c r="S41">
        <v>98.9</v>
      </c>
      <c r="T41">
        <v>106.39</v>
      </c>
      <c r="U41" s="126">
        <f t="shared" si="22"/>
        <v>13.279999999999994</v>
      </c>
      <c r="V41">
        <v>-12.290000000000001</v>
      </c>
      <c r="W41">
        <v>14.52</v>
      </c>
      <c r="X41">
        <v>15.25</v>
      </c>
      <c r="Y41" s="126">
        <f t="shared" si="23"/>
        <v>-11.56</v>
      </c>
      <c r="Z41">
        <v>4.53</v>
      </c>
      <c r="AA41">
        <v>59.97</v>
      </c>
      <c r="AB41">
        <v>83.51</v>
      </c>
      <c r="AC41" s="126">
        <f t="shared" si="24"/>
        <v>28.070000000000007</v>
      </c>
      <c r="AF41" s="128">
        <v>38852</v>
      </c>
      <c r="AG41" s="144">
        <v>-1814.1090000000002</v>
      </c>
      <c r="AH41" s="142">
        <f>SUM($AG$1:AG41)/1000</f>
        <v>-45.770622999999993</v>
      </c>
      <c r="AI41" s="142">
        <f t="shared" si="33"/>
        <v>20.888488000000031</v>
      </c>
      <c r="AJ41" s="147">
        <f t="shared" si="25"/>
        <v>-10298</v>
      </c>
      <c r="AK41" s="143">
        <v>-10.298</v>
      </c>
      <c r="AL41" s="142">
        <f t="shared" si="34"/>
        <v>14.357790599758042</v>
      </c>
      <c r="AM41" s="144">
        <v>-1632.3000000000002</v>
      </c>
      <c r="AN41" s="142">
        <f>SUM($AM$1:AM41)/1000</f>
        <v>-38.726800000000011</v>
      </c>
      <c r="AO41" s="142">
        <f t="shared" si="35"/>
        <v>49.46729999999998</v>
      </c>
      <c r="AP41" s="144">
        <v>-1955</v>
      </c>
      <c r="AQ41" s="145">
        <f>SUM($AP$1:AP41)/1000</f>
        <v>-49.018000000000001</v>
      </c>
      <c r="AR41" s="142">
        <f t="shared" si="36"/>
        <v>34.317600000000013</v>
      </c>
      <c r="AS41" s="144">
        <v>-6194.68</v>
      </c>
      <c r="AT41" s="142">
        <f>SUM($AS$1:AS41)/1000</f>
        <v>-175.12328999999994</v>
      </c>
      <c r="AU41" s="142">
        <f t="shared" si="37"/>
        <v>158.02515999999997</v>
      </c>
      <c r="AV41" s="144">
        <v>7385</v>
      </c>
      <c r="AW41" s="142">
        <f>SUM($AV$1:AV41)/1000</f>
        <v>305.37</v>
      </c>
      <c r="AX41" s="142">
        <f t="shared" si="38"/>
        <v>-265.14449999999999</v>
      </c>
      <c r="AZ41" s="126">
        <f t="shared" si="26"/>
        <v>-5.8695000000000004</v>
      </c>
      <c r="BA41" s="126">
        <f t="shared" si="6"/>
        <v>265.14449999999999</v>
      </c>
      <c r="BB41" s="126">
        <f t="shared" si="7"/>
        <v>-271.01400000000001</v>
      </c>
      <c r="BD41" s="126">
        <f t="shared" si="27"/>
        <v>12.920000000000002</v>
      </c>
      <c r="BE41" s="126">
        <f t="shared" si="28"/>
        <v>-20.888488000000031</v>
      </c>
      <c r="BF41" s="126">
        <f t="shared" si="8"/>
        <v>-33.808488000000033</v>
      </c>
      <c r="BH41" s="126">
        <f t="shared" si="29"/>
        <v>-0.50800000000000001</v>
      </c>
      <c r="BI41" s="126">
        <f t="shared" si="30"/>
        <v>-14.357790599758042</v>
      </c>
      <c r="BJ41" s="126">
        <f t="shared" si="31"/>
        <v>-13.849790599758041</v>
      </c>
      <c r="BL41" s="126">
        <f t="shared" si="9"/>
        <v>-13.279999999999994</v>
      </c>
      <c r="BM41" s="126">
        <f t="shared" si="10"/>
        <v>-49.46729999999998</v>
      </c>
      <c r="BN41" s="126">
        <f t="shared" si="11"/>
        <v>-36.187299999999986</v>
      </c>
      <c r="BP41" s="126">
        <f t="shared" si="12"/>
        <v>11.56</v>
      </c>
      <c r="BQ41" s="126">
        <f t="shared" si="13"/>
        <v>-34.317600000000013</v>
      </c>
      <c r="BR41" s="126">
        <f t="shared" si="14"/>
        <v>-45.877600000000015</v>
      </c>
      <c r="BT41" s="126">
        <f t="shared" si="15"/>
        <v>-28.070000000000007</v>
      </c>
      <c r="BU41" s="126">
        <f t="shared" si="16"/>
        <v>-158.02515999999997</v>
      </c>
      <c r="BV41" s="126">
        <f t="shared" si="17"/>
        <v>-129.95515999999998</v>
      </c>
      <c r="CC41">
        <f t="shared" si="32"/>
        <v>4.0980000000000034</v>
      </c>
    </row>
    <row r="42" spans="1:81" x14ac:dyDescent="0.2">
      <c r="A42">
        <v>40.230000000000004</v>
      </c>
      <c r="B42">
        <v>163.4</v>
      </c>
      <c r="C42">
        <v>244</v>
      </c>
      <c r="D42" s="126">
        <f t="shared" si="18"/>
        <v>40.310600000000001</v>
      </c>
      <c r="E42">
        <v>4477</v>
      </c>
      <c r="F42">
        <v>9999</v>
      </c>
      <c r="G42">
        <v>6239</v>
      </c>
      <c r="H42" s="126">
        <f t="shared" si="19"/>
        <v>0.71699999999999997</v>
      </c>
      <c r="J42">
        <v>-5.88</v>
      </c>
      <c r="K42">
        <v>13.620000000000001</v>
      </c>
      <c r="L42">
        <v>4.97</v>
      </c>
      <c r="M42" s="126">
        <f t="shared" si="20"/>
        <v>-14.530000000000001</v>
      </c>
      <c r="N42">
        <v>-11237</v>
      </c>
      <c r="O42">
        <v>7436</v>
      </c>
      <c r="P42">
        <v>14841</v>
      </c>
      <c r="Q42" s="126">
        <f t="shared" si="21"/>
        <v>-3.8319999999999999</v>
      </c>
      <c r="R42">
        <v>40.230000000000004</v>
      </c>
      <c r="S42">
        <v>100.49000000000001</v>
      </c>
      <c r="T42">
        <v>107.78</v>
      </c>
      <c r="U42" s="126">
        <f t="shared" si="22"/>
        <v>47.519999999999996</v>
      </c>
      <c r="V42">
        <v>-7.99</v>
      </c>
      <c r="W42">
        <v>14.75</v>
      </c>
      <c r="X42">
        <v>15.68</v>
      </c>
      <c r="Y42" s="126">
        <f t="shared" si="23"/>
        <v>-7.0600000000000005</v>
      </c>
      <c r="Z42">
        <v>7.6000000000000005</v>
      </c>
      <c r="AA42">
        <v>60.96</v>
      </c>
      <c r="AB42">
        <v>85.58</v>
      </c>
      <c r="AC42" s="126">
        <f t="shared" si="24"/>
        <v>32.22</v>
      </c>
      <c r="AF42" s="128">
        <v>38883</v>
      </c>
      <c r="AG42" s="144">
        <v>-1268.6949999999999</v>
      </c>
      <c r="AH42" s="142">
        <f>SUM($AG$1:AG42)/1000</f>
        <v>-47.039317999999994</v>
      </c>
      <c r="AI42" s="142">
        <f t="shared" si="33"/>
        <v>19.61979300000003</v>
      </c>
      <c r="AJ42" s="147">
        <f t="shared" si="25"/>
        <v>-10732.57122339023</v>
      </c>
      <c r="AK42" s="143">
        <v>-10.732571223390231</v>
      </c>
      <c r="AL42" s="142">
        <f t="shared" si="34"/>
        <v>13.923219376367811</v>
      </c>
      <c r="AM42" s="144">
        <v>-1206.7</v>
      </c>
      <c r="AN42" s="142">
        <f>SUM($AM$1:AM42)/1000</f>
        <v>-39.933500000000009</v>
      </c>
      <c r="AO42" s="142">
        <f t="shared" si="35"/>
        <v>48.260599999999982</v>
      </c>
      <c r="AP42" s="144">
        <v>-2103.5</v>
      </c>
      <c r="AQ42" s="145">
        <f>SUM($AP$1:AP42)/1000</f>
        <v>-51.121499999999997</v>
      </c>
      <c r="AR42" s="142">
        <f t="shared" si="36"/>
        <v>32.214100000000016</v>
      </c>
      <c r="AS42" s="144">
        <v>-6226.1900000000005</v>
      </c>
      <c r="AT42" s="142">
        <f>SUM($AS$1:AS42)/1000</f>
        <v>-181.34947999999994</v>
      </c>
      <c r="AU42" s="142">
        <f t="shared" si="37"/>
        <v>151.79896999999997</v>
      </c>
      <c r="AV42" s="149">
        <v>13389</v>
      </c>
      <c r="AW42" s="142">
        <f>SUM($AV$1:AV42)/1000</f>
        <v>318.75900000000001</v>
      </c>
      <c r="AX42" s="142">
        <f t="shared" si="38"/>
        <v>-251.75549999999998</v>
      </c>
      <c r="AZ42" s="126">
        <f t="shared" si="26"/>
        <v>-40.310600000000001</v>
      </c>
      <c r="BA42" s="126">
        <f t="shared" si="6"/>
        <v>251.75549999999998</v>
      </c>
      <c r="BB42" s="126">
        <f t="shared" si="7"/>
        <v>-292.06610000000001</v>
      </c>
      <c r="BD42" s="126">
        <f t="shared" si="27"/>
        <v>14.530000000000001</v>
      </c>
      <c r="BE42" s="126">
        <f t="shared" si="28"/>
        <v>-19.61979300000003</v>
      </c>
      <c r="BF42" s="126">
        <f t="shared" si="8"/>
        <v>-34.149793000000031</v>
      </c>
      <c r="BH42" s="126">
        <f t="shared" si="29"/>
        <v>3.8319999999999999</v>
      </c>
      <c r="BI42" s="126">
        <f t="shared" si="30"/>
        <v>-13.923219376367811</v>
      </c>
      <c r="BJ42" s="126">
        <f t="shared" si="31"/>
        <v>-17.755219376367812</v>
      </c>
      <c r="BL42" s="126">
        <f t="shared" si="9"/>
        <v>-47.519999999999996</v>
      </c>
      <c r="BM42" s="126">
        <f t="shared" si="10"/>
        <v>-48.260599999999982</v>
      </c>
      <c r="BN42" s="126">
        <f t="shared" si="11"/>
        <v>-0.74059999999998638</v>
      </c>
      <c r="BP42" s="126">
        <f t="shared" si="12"/>
        <v>7.0600000000000005</v>
      </c>
      <c r="BQ42" s="126">
        <f t="shared" si="13"/>
        <v>-32.214100000000016</v>
      </c>
      <c r="BR42" s="126">
        <f t="shared" si="14"/>
        <v>-39.274100000000018</v>
      </c>
      <c r="BT42" s="126">
        <f t="shared" si="15"/>
        <v>-32.22</v>
      </c>
      <c r="BU42" s="126">
        <f t="shared" si="16"/>
        <v>-151.79896999999997</v>
      </c>
      <c r="BV42" s="126">
        <f t="shared" si="17"/>
        <v>-119.57896999999997</v>
      </c>
      <c r="CC42">
        <f t="shared" si="32"/>
        <v>6.7979999999999956</v>
      </c>
    </row>
    <row r="43" spans="1:81" x14ac:dyDescent="0.2">
      <c r="A43">
        <v>37.97</v>
      </c>
      <c r="B43">
        <v>166</v>
      </c>
      <c r="C43">
        <v>247.20000000000002</v>
      </c>
      <c r="D43" s="126">
        <f t="shared" si="18"/>
        <v>38.051200000000001</v>
      </c>
      <c r="E43">
        <v>4534</v>
      </c>
      <c r="F43">
        <v>10157</v>
      </c>
      <c r="G43">
        <v>6340</v>
      </c>
      <c r="H43" s="126">
        <f t="shared" si="19"/>
        <v>0.71699999999999997</v>
      </c>
      <c r="J43">
        <v>-3.98</v>
      </c>
      <c r="K43">
        <v>13.83</v>
      </c>
      <c r="L43">
        <v>5.2</v>
      </c>
      <c r="M43" s="126">
        <f t="shared" si="20"/>
        <v>-12.61</v>
      </c>
      <c r="N43">
        <v>-15440</v>
      </c>
      <c r="O43">
        <v>7547</v>
      </c>
      <c r="P43">
        <v>15258</v>
      </c>
      <c r="Q43" s="126">
        <f t="shared" si="21"/>
        <v>-7.7290000000000001</v>
      </c>
      <c r="R43">
        <v>37.97</v>
      </c>
      <c r="S43">
        <v>102.08</v>
      </c>
      <c r="T43">
        <v>110.26</v>
      </c>
      <c r="U43" s="126">
        <f t="shared" si="22"/>
        <v>46.150000000000006</v>
      </c>
      <c r="V43">
        <v>-11.58</v>
      </c>
      <c r="W43">
        <v>14.99</v>
      </c>
      <c r="X43">
        <v>15.94</v>
      </c>
      <c r="Y43" s="126">
        <f t="shared" si="23"/>
        <v>-10.63</v>
      </c>
      <c r="Z43">
        <v>9.61</v>
      </c>
      <c r="AA43">
        <v>61.940000000000005</v>
      </c>
      <c r="AB43">
        <v>86.44</v>
      </c>
      <c r="AC43" s="126">
        <f t="shared" si="24"/>
        <v>34.109999999999992</v>
      </c>
      <c r="AF43" s="128">
        <v>38913</v>
      </c>
      <c r="AG43" s="144">
        <v>-876.04600000000005</v>
      </c>
      <c r="AH43" s="142">
        <f>SUM($AG$1:AG43)/1000</f>
        <v>-47.915363999999997</v>
      </c>
      <c r="AI43" s="142">
        <f t="shared" si="33"/>
        <v>18.743747000000027</v>
      </c>
      <c r="AJ43" s="147">
        <f t="shared" si="25"/>
        <v>-11160.558893988382</v>
      </c>
      <c r="AK43" s="143">
        <v>-11.160558893988382</v>
      </c>
      <c r="AL43" s="142">
        <f t="shared" si="34"/>
        <v>13.49523170576966</v>
      </c>
      <c r="AM43" s="144">
        <v>2285</v>
      </c>
      <c r="AN43" s="142">
        <f>SUM($AM$1:AM43)/1000</f>
        <v>-37.648500000000006</v>
      </c>
      <c r="AO43" s="142">
        <f t="shared" si="35"/>
        <v>50.545599999999986</v>
      </c>
      <c r="AP43" s="144">
        <v>-488.90000000000003</v>
      </c>
      <c r="AQ43" s="145">
        <f>SUM($AP$1:AP43)/1000</f>
        <v>-51.610399999999998</v>
      </c>
      <c r="AR43" s="142">
        <f t="shared" si="36"/>
        <v>31.725200000000015</v>
      </c>
      <c r="AS43" s="144">
        <v>-8418.41</v>
      </c>
      <c r="AT43" s="142">
        <f>SUM($AS$1:AS43)/1000</f>
        <v>-189.76788999999997</v>
      </c>
      <c r="AU43" s="142">
        <f t="shared" si="37"/>
        <v>143.38055999999995</v>
      </c>
      <c r="AV43" s="144">
        <v>9249</v>
      </c>
      <c r="AW43" s="142">
        <f>SUM($AV$1:AV43)/1000</f>
        <v>328.00799999999998</v>
      </c>
      <c r="AX43" s="142">
        <f t="shared" si="38"/>
        <v>-242.50650000000002</v>
      </c>
      <c r="AZ43" s="126">
        <f t="shared" si="26"/>
        <v>-38.051200000000001</v>
      </c>
      <c r="BA43" s="126">
        <f t="shared" si="6"/>
        <v>242.50650000000002</v>
      </c>
      <c r="BB43" s="126">
        <f t="shared" si="7"/>
        <v>-280.55770000000001</v>
      </c>
      <c r="BD43" s="126">
        <f t="shared" si="27"/>
        <v>12.61</v>
      </c>
      <c r="BE43" s="126">
        <f t="shared" si="28"/>
        <v>-18.743747000000027</v>
      </c>
      <c r="BF43" s="126">
        <f t="shared" si="8"/>
        <v>-31.353747000000027</v>
      </c>
      <c r="BH43" s="126">
        <f t="shared" si="29"/>
        <v>7.7290000000000001</v>
      </c>
      <c r="BI43" s="126">
        <f t="shared" si="30"/>
        <v>-13.49523170576966</v>
      </c>
      <c r="BJ43" s="126">
        <f t="shared" si="31"/>
        <v>-21.224231705769661</v>
      </c>
      <c r="BL43" s="126">
        <f t="shared" si="9"/>
        <v>-46.150000000000006</v>
      </c>
      <c r="BM43" s="126">
        <f t="shared" si="10"/>
        <v>-50.545599999999986</v>
      </c>
      <c r="BN43" s="126">
        <f t="shared" si="11"/>
        <v>-4.3955999999999804</v>
      </c>
      <c r="BP43" s="126">
        <f t="shared" si="12"/>
        <v>10.63</v>
      </c>
      <c r="BQ43" s="126">
        <f t="shared" si="13"/>
        <v>-31.725200000000015</v>
      </c>
      <c r="BR43" s="126">
        <f t="shared" si="14"/>
        <v>-42.355200000000018</v>
      </c>
      <c r="BT43" s="126">
        <f t="shared" si="15"/>
        <v>-34.109999999999992</v>
      </c>
      <c r="BU43" s="126">
        <f t="shared" si="16"/>
        <v>-143.38055999999995</v>
      </c>
      <c r="BV43" s="126">
        <f t="shared" si="17"/>
        <v>-109.27055999999996</v>
      </c>
      <c r="CC43">
        <f t="shared" si="32"/>
        <v>3.1409999999999902</v>
      </c>
    </row>
    <row r="44" spans="1:81" x14ac:dyDescent="0.2">
      <c r="A44">
        <v>27.62</v>
      </c>
      <c r="B44">
        <v>164.9</v>
      </c>
      <c r="C44">
        <v>248.8</v>
      </c>
      <c r="D44" s="126">
        <f t="shared" si="18"/>
        <v>27.703900000000001</v>
      </c>
      <c r="E44">
        <v>4435</v>
      </c>
      <c r="F44">
        <v>10093</v>
      </c>
      <c r="G44">
        <v>6375</v>
      </c>
      <c r="H44" s="126">
        <f t="shared" si="19"/>
        <v>0.71699999999999997</v>
      </c>
      <c r="J44">
        <v>-2.5300000000000002</v>
      </c>
      <c r="K44">
        <v>13.75</v>
      </c>
      <c r="L44">
        <v>4.76</v>
      </c>
      <c r="M44" s="126">
        <f t="shared" si="20"/>
        <v>-11.52</v>
      </c>
      <c r="N44">
        <v>-15066</v>
      </c>
      <c r="O44">
        <v>7504</v>
      </c>
      <c r="P44">
        <v>15546</v>
      </c>
      <c r="Q44" s="126">
        <f t="shared" si="21"/>
        <v>-7.024</v>
      </c>
      <c r="R44">
        <v>27.62</v>
      </c>
      <c r="S44">
        <v>101.43</v>
      </c>
      <c r="T44">
        <v>109.29</v>
      </c>
      <c r="U44" s="126">
        <f t="shared" si="22"/>
        <v>35.480000000000004</v>
      </c>
      <c r="V44">
        <v>-12.24</v>
      </c>
      <c r="W44">
        <v>14.9</v>
      </c>
      <c r="X44">
        <v>15.1</v>
      </c>
      <c r="Y44" s="126">
        <f t="shared" si="23"/>
        <v>-12.040000000000001</v>
      </c>
      <c r="Z44">
        <v>0.34</v>
      </c>
      <c r="AA44">
        <v>61.58</v>
      </c>
      <c r="AB44">
        <v>84.67</v>
      </c>
      <c r="AC44" s="126">
        <f t="shared" si="24"/>
        <v>23.430000000000003</v>
      </c>
      <c r="AF44" s="128">
        <v>38944</v>
      </c>
      <c r="AG44" s="144">
        <v>-1167.2149999999999</v>
      </c>
      <c r="AH44" s="142">
        <f>SUM($AG$1:AG44)/1000</f>
        <v>-49.082578999999988</v>
      </c>
      <c r="AI44" s="142">
        <f t="shared" si="33"/>
        <v>17.576532000000036</v>
      </c>
      <c r="AJ44" s="147">
        <f t="shared" si="25"/>
        <v>-11525</v>
      </c>
      <c r="AK44" s="143">
        <v>-11.525</v>
      </c>
      <c r="AL44" s="142">
        <f t="shared" si="34"/>
        <v>13.130790599758042</v>
      </c>
      <c r="AM44" s="144">
        <v>-634.6</v>
      </c>
      <c r="AN44" s="142">
        <f>SUM($AM$1:AM44)/1000</f>
        <v>-38.283100000000005</v>
      </c>
      <c r="AO44" s="142">
        <f t="shared" si="35"/>
        <v>49.910999999999987</v>
      </c>
      <c r="AP44" s="144">
        <v>-91.2</v>
      </c>
      <c r="AQ44" s="145">
        <f>SUM($AP$1:AP44)/1000</f>
        <v>-51.701599999999999</v>
      </c>
      <c r="AR44" s="142">
        <f t="shared" si="36"/>
        <v>31.634000000000015</v>
      </c>
      <c r="AS44" s="144">
        <v>-6037.13</v>
      </c>
      <c r="AT44" s="142">
        <f>SUM($AS$1:AS44)/1000</f>
        <v>-195.80501999999996</v>
      </c>
      <c r="AU44" s="142">
        <f t="shared" si="37"/>
        <v>137.34342999999996</v>
      </c>
      <c r="AV44" s="144">
        <v>7756</v>
      </c>
      <c r="AW44" s="142">
        <f>SUM($AV$1:AV44)/1000</f>
        <v>335.76400000000001</v>
      </c>
      <c r="AX44" s="142">
        <f t="shared" si="38"/>
        <v>-234.75049999999999</v>
      </c>
      <c r="AZ44" s="126">
        <f t="shared" si="26"/>
        <v>-27.703900000000001</v>
      </c>
      <c r="BA44" s="126">
        <f t="shared" si="6"/>
        <v>234.75049999999999</v>
      </c>
      <c r="BB44" s="126">
        <f t="shared" si="7"/>
        <v>-262.45439999999996</v>
      </c>
      <c r="BD44" s="126">
        <f t="shared" si="27"/>
        <v>11.52</v>
      </c>
      <c r="BE44" s="126">
        <f t="shared" si="28"/>
        <v>-17.576532000000036</v>
      </c>
      <c r="BF44" s="126">
        <f t="shared" si="8"/>
        <v>-29.096532000000035</v>
      </c>
      <c r="BH44" s="126">
        <f t="shared" si="29"/>
        <v>7.024</v>
      </c>
      <c r="BI44" s="126">
        <f t="shared" si="30"/>
        <v>-13.130790599758042</v>
      </c>
      <c r="BJ44" s="126">
        <f t="shared" si="31"/>
        <v>-20.154790599758041</v>
      </c>
      <c r="BL44" s="126">
        <f t="shared" si="9"/>
        <v>-35.480000000000004</v>
      </c>
      <c r="BM44" s="126">
        <f t="shared" si="10"/>
        <v>-49.910999999999987</v>
      </c>
      <c r="BN44" s="126">
        <f t="shared" si="11"/>
        <v>-14.430999999999983</v>
      </c>
      <c r="BP44" s="126">
        <f t="shared" si="12"/>
        <v>12.040000000000001</v>
      </c>
      <c r="BQ44" s="126">
        <f t="shared" si="13"/>
        <v>-31.634000000000015</v>
      </c>
      <c r="BR44" s="126">
        <f t="shared" si="14"/>
        <v>-43.674000000000014</v>
      </c>
      <c r="BT44" s="126">
        <f t="shared" si="15"/>
        <v>-23.430000000000003</v>
      </c>
      <c r="BU44" s="126">
        <f t="shared" si="16"/>
        <v>-137.34342999999996</v>
      </c>
      <c r="BV44" s="126">
        <f t="shared" si="17"/>
        <v>-113.91342999999995</v>
      </c>
      <c r="CC44">
        <f t="shared" si="32"/>
        <v>-7.1539999999999973</v>
      </c>
    </row>
    <row r="45" spans="1:81" x14ac:dyDescent="0.2">
      <c r="A45">
        <v>20.46</v>
      </c>
      <c r="B45">
        <v>166</v>
      </c>
      <c r="C45">
        <v>251.8</v>
      </c>
      <c r="D45" s="126">
        <f t="shared" si="18"/>
        <v>20.5458</v>
      </c>
      <c r="E45">
        <v>4417</v>
      </c>
      <c r="F45">
        <v>10156</v>
      </c>
      <c r="G45">
        <v>6456</v>
      </c>
      <c r="H45" s="126">
        <f t="shared" si="19"/>
        <v>0.71699999999999997</v>
      </c>
      <c r="J45">
        <v>2.1800000000000002</v>
      </c>
      <c r="K45">
        <v>13.83</v>
      </c>
      <c r="L45">
        <v>4.49</v>
      </c>
      <c r="M45" s="126">
        <f t="shared" si="20"/>
        <v>-7.16</v>
      </c>
      <c r="N45">
        <v>-16932</v>
      </c>
      <c r="O45">
        <v>7552</v>
      </c>
      <c r="P45">
        <v>15735</v>
      </c>
      <c r="Q45" s="126">
        <f t="shared" si="21"/>
        <v>-8.7490000000000006</v>
      </c>
      <c r="R45">
        <v>20.46</v>
      </c>
      <c r="S45">
        <v>102.08</v>
      </c>
      <c r="T45">
        <v>110.27</v>
      </c>
      <c r="U45" s="126">
        <f t="shared" si="22"/>
        <v>28.65</v>
      </c>
      <c r="V45">
        <v>-7.97</v>
      </c>
      <c r="W45">
        <v>14.99</v>
      </c>
      <c r="X45">
        <v>15.15</v>
      </c>
      <c r="Y45" s="126">
        <f t="shared" si="23"/>
        <v>-7.81</v>
      </c>
      <c r="Z45">
        <v>2.79</v>
      </c>
      <c r="AA45">
        <v>61.980000000000004</v>
      </c>
      <c r="AB45">
        <v>84.59</v>
      </c>
      <c r="AC45" s="126">
        <f t="shared" si="24"/>
        <v>25.4</v>
      </c>
      <c r="AF45" s="128">
        <v>38975</v>
      </c>
      <c r="AG45" s="144">
        <v>-1421.1960000000001</v>
      </c>
      <c r="AH45" s="142">
        <f>SUM($AG$1:AG45)/1000</f>
        <v>-50.503774999999997</v>
      </c>
      <c r="AI45" s="142">
        <f t="shared" si="33"/>
        <v>16.155336000000027</v>
      </c>
      <c r="AJ45" s="147">
        <f t="shared" si="25"/>
        <v>-11813.212499535399</v>
      </c>
      <c r="AK45" s="143">
        <v>-11.813212499535398</v>
      </c>
      <c r="AL45" s="142">
        <f t="shared" si="34"/>
        <v>12.842578100222644</v>
      </c>
      <c r="AM45" s="144">
        <v>-1964.5</v>
      </c>
      <c r="AN45" s="142">
        <f>SUM($AM$1:AM45)/1000</f>
        <v>-40.247600000000006</v>
      </c>
      <c r="AO45" s="142">
        <f t="shared" si="35"/>
        <v>47.946499999999986</v>
      </c>
      <c r="AP45" s="144">
        <v>-1232.3</v>
      </c>
      <c r="AQ45" s="145">
        <f>SUM($AP$1:AP45)/1000</f>
        <v>-52.933900000000001</v>
      </c>
      <c r="AR45" s="142">
        <f t="shared" si="36"/>
        <v>30.401700000000012</v>
      </c>
      <c r="AS45" s="144">
        <v>-7178.21</v>
      </c>
      <c r="AT45" s="142">
        <f>SUM($AS$1:AS45)/1000</f>
        <v>-202.98322999999996</v>
      </c>
      <c r="AU45" s="142">
        <f t="shared" si="37"/>
        <v>130.16521999999995</v>
      </c>
      <c r="AV45" s="144">
        <v>12611</v>
      </c>
      <c r="AW45" s="142">
        <f>SUM($AV$1:AV45)/1000</f>
        <v>348.375</v>
      </c>
      <c r="AX45" s="142">
        <f t="shared" si="38"/>
        <v>-222.1395</v>
      </c>
      <c r="AZ45" s="126">
        <f t="shared" si="26"/>
        <v>-20.5458</v>
      </c>
      <c r="BA45" s="126">
        <f t="shared" si="6"/>
        <v>222.1395</v>
      </c>
      <c r="BB45" s="126">
        <f t="shared" si="7"/>
        <v>-242.68529999999998</v>
      </c>
      <c r="BD45" s="126">
        <f t="shared" si="27"/>
        <v>7.16</v>
      </c>
      <c r="BE45" s="126">
        <f t="shared" si="28"/>
        <v>-16.155336000000027</v>
      </c>
      <c r="BF45" s="126">
        <f t="shared" si="8"/>
        <v>-23.315336000000027</v>
      </c>
      <c r="BH45" s="126">
        <f t="shared" si="29"/>
        <v>8.7490000000000006</v>
      </c>
      <c r="BI45" s="126">
        <f t="shared" si="30"/>
        <v>-12.842578100222644</v>
      </c>
      <c r="BJ45" s="126">
        <f t="shared" si="31"/>
        <v>-21.591578100222645</v>
      </c>
      <c r="BL45" s="126">
        <f t="shared" si="9"/>
        <v>-28.65</v>
      </c>
      <c r="BM45" s="126">
        <f t="shared" si="10"/>
        <v>-47.946499999999986</v>
      </c>
      <c r="BN45" s="126">
        <f t="shared" si="11"/>
        <v>-19.296499999999988</v>
      </c>
      <c r="BP45" s="126">
        <f t="shared" si="12"/>
        <v>7.81</v>
      </c>
      <c r="BQ45" s="126">
        <f t="shared" si="13"/>
        <v>-30.401700000000012</v>
      </c>
      <c r="BR45" s="126">
        <f t="shared" si="14"/>
        <v>-38.211700000000015</v>
      </c>
      <c r="BT45" s="126">
        <f t="shared" si="15"/>
        <v>-25.4</v>
      </c>
      <c r="BU45" s="126">
        <f t="shared" si="16"/>
        <v>-130.16521999999995</v>
      </c>
      <c r="BV45" s="126">
        <f t="shared" si="17"/>
        <v>-104.76521999999994</v>
      </c>
      <c r="CC45">
        <f t="shared" si="32"/>
        <v>1.6809999999999992</v>
      </c>
    </row>
    <row r="46" spans="1:81" x14ac:dyDescent="0.2">
      <c r="A46">
        <v>22.580000000000002</v>
      </c>
      <c r="B46">
        <v>167.5</v>
      </c>
      <c r="C46">
        <v>253.9</v>
      </c>
      <c r="D46" s="126">
        <f t="shared" si="18"/>
        <v>22.666400000000003</v>
      </c>
      <c r="E46">
        <v>4447</v>
      </c>
      <c r="F46">
        <v>10249</v>
      </c>
      <c r="G46">
        <v>6519</v>
      </c>
      <c r="H46" s="126">
        <f t="shared" si="19"/>
        <v>0.71699999999999997</v>
      </c>
      <c r="J46">
        <v>1.79</v>
      </c>
      <c r="K46">
        <v>13.96</v>
      </c>
      <c r="L46">
        <v>4.32</v>
      </c>
      <c r="M46" s="126">
        <f t="shared" si="20"/>
        <v>-7.8500000000000005</v>
      </c>
      <c r="N46">
        <v>-17870</v>
      </c>
      <c r="O46">
        <v>7623</v>
      </c>
      <c r="P46">
        <v>16164</v>
      </c>
      <c r="Q46" s="126">
        <f t="shared" si="21"/>
        <v>-9.3290000000000006</v>
      </c>
      <c r="R46">
        <v>22.580000000000002</v>
      </c>
      <c r="S46">
        <v>103.03</v>
      </c>
      <c r="T46">
        <v>112.14</v>
      </c>
      <c r="U46" s="126">
        <f t="shared" si="22"/>
        <v>31.69</v>
      </c>
      <c r="V46">
        <v>-10.24</v>
      </c>
      <c r="W46">
        <v>15.13</v>
      </c>
      <c r="X46">
        <v>14.99</v>
      </c>
      <c r="Y46" s="126">
        <f t="shared" si="23"/>
        <v>-10.38</v>
      </c>
      <c r="Z46">
        <v>9</v>
      </c>
      <c r="AA46">
        <v>62.54</v>
      </c>
      <c r="AB46">
        <v>84.77</v>
      </c>
      <c r="AC46" s="126">
        <f t="shared" si="24"/>
        <v>31.229999999999997</v>
      </c>
      <c r="AF46" s="128">
        <v>39005</v>
      </c>
      <c r="AG46" s="144">
        <v>-1546.192</v>
      </c>
      <c r="AH46" s="142">
        <f>SUM($AG$1:AG46)/1000</f>
        <v>-52.049966999999995</v>
      </c>
      <c r="AI46" s="142">
        <f t="shared" si="33"/>
        <v>14.609144000000029</v>
      </c>
      <c r="AJ46" s="147">
        <f t="shared" si="25"/>
        <v>-12189.638230323997</v>
      </c>
      <c r="AK46" s="143">
        <v>-12.189638230323997</v>
      </c>
      <c r="AL46" s="142">
        <f t="shared" si="34"/>
        <v>12.466152369434045</v>
      </c>
      <c r="AM46" s="144">
        <v>-396.1</v>
      </c>
      <c r="AN46" s="142">
        <f>SUM($AM$1:AM46)/1000</f>
        <v>-40.643700000000003</v>
      </c>
      <c r="AO46" s="142">
        <f t="shared" si="35"/>
        <v>47.550399999999989</v>
      </c>
      <c r="AP46" s="144">
        <v>-2063.5</v>
      </c>
      <c r="AQ46" s="145">
        <f>SUM($AP$1:AP46)/1000</f>
        <v>-54.997399999999999</v>
      </c>
      <c r="AR46" s="142">
        <f t="shared" si="36"/>
        <v>28.338200000000015</v>
      </c>
      <c r="AS46" s="144">
        <v>-7519.5</v>
      </c>
      <c r="AT46" s="142">
        <f>SUM($AS$1:AS46)/1000</f>
        <v>-210.50272999999996</v>
      </c>
      <c r="AU46" s="142">
        <f t="shared" si="37"/>
        <v>122.64571999999995</v>
      </c>
      <c r="AV46" s="144">
        <v>15374</v>
      </c>
      <c r="AW46" s="142">
        <f>SUM($AV$1:AV46)/1000</f>
        <v>363.74900000000002</v>
      </c>
      <c r="AX46" s="142">
        <f t="shared" si="38"/>
        <v>-206.76549999999997</v>
      </c>
      <c r="AZ46" s="126">
        <f t="shared" si="26"/>
        <v>-22.666400000000003</v>
      </c>
      <c r="BA46" s="126">
        <f t="shared" si="6"/>
        <v>206.76549999999997</v>
      </c>
      <c r="BB46" s="126">
        <f t="shared" si="7"/>
        <v>-229.43189999999998</v>
      </c>
      <c r="BD46" s="126">
        <f t="shared" si="27"/>
        <v>7.8500000000000005</v>
      </c>
      <c r="BE46" s="126">
        <f t="shared" si="28"/>
        <v>-14.609144000000029</v>
      </c>
      <c r="BF46" s="126">
        <f t="shared" si="8"/>
        <v>-22.45914400000003</v>
      </c>
      <c r="BH46" s="126">
        <f t="shared" si="29"/>
        <v>9.3290000000000006</v>
      </c>
      <c r="BI46" s="126">
        <f t="shared" si="30"/>
        <v>-12.466152369434045</v>
      </c>
      <c r="BJ46" s="126">
        <f t="shared" si="31"/>
        <v>-21.795152369434046</v>
      </c>
      <c r="BL46" s="126">
        <f t="shared" si="9"/>
        <v>-31.69</v>
      </c>
      <c r="BM46" s="126">
        <f t="shared" si="10"/>
        <v>-47.550399999999989</v>
      </c>
      <c r="BN46" s="126">
        <f t="shared" si="11"/>
        <v>-15.860399999999988</v>
      </c>
      <c r="BP46" s="126">
        <f t="shared" si="12"/>
        <v>10.38</v>
      </c>
      <c r="BQ46" s="126">
        <f t="shared" si="13"/>
        <v>-28.338200000000015</v>
      </c>
      <c r="BR46" s="126">
        <f t="shared" si="14"/>
        <v>-38.718200000000017</v>
      </c>
      <c r="BT46" s="126">
        <f t="shared" si="15"/>
        <v>-31.229999999999997</v>
      </c>
      <c r="BU46" s="126">
        <f t="shared" si="16"/>
        <v>-122.64571999999995</v>
      </c>
      <c r="BV46" s="126">
        <f t="shared" si="17"/>
        <v>-91.415719999999965</v>
      </c>
      <c r="CC46">
        <f t="shared" si="32"/>
        <v>3.6709999999999923</v>
      </c>
    </row>
    <row r="47" spans="1:81" x14ac:dyDescent="0.2">
      <c r="A47">
        <v>13.99</v>
      </c>
      <c r="B47">
        <v>168.5</v>
      </c>
      <c r="C47">
        <v>254.8</v>
      </c>
      <c r="D47" s="126">
        <f t="shared" si="18"/>
        <v>14.0763</v>
      </c>
      <c r="E47">
        <v>4359</v>
      </c>
      <c r="F47">
        <v>10317</v>
      </c>
      <c r="G47">
        <v>6675</v>
      </c>
      <c r="H47" s="126">
        <f t="shared" si="19"/>
        <v>0.71699999999999997</v>
      </c>
      <c r="J47">
        <v>1.52</v>
      </c>
      <c r="K47">
        <v>14.05</v>
      </c>
      <c r="L47">
        <v>4.4400000000000004</v>
      </c>
      <c r="M47" s="126">
        <f t="shared" si="20"/>
        <v>-8.09</v>
      </c>
      <c r="N47">
        <v>-13658</v>
      </c>
      <c r="O47">
        <v>7668</v>
      </c>
      <c r="P47">
        <v>16414</v>
      </c>
      <c r="Q47" s="126">
        <f t="shared" si="21"/>
        <v>-4.9119999999999999</v>
      </c>
      <c r="R47">
        <v>13.99</v>
      </c>
      <c r="S47">
        <v>103.69</v>
      </c>
      <c r="T47">
        <v>113.84</v>
      </c>
      <c r="U47" s="126">
        <f t="shared" si="22"/>
        <v>24.140000000000008</v>
      </c>
      <c r="V47">
        <v>-11.31</v>
      </c>
      <c r="W47">
        <v>15.23</v>
      </c>
      <c r="X47">
        <v>15.120000000000001</v>
      </c>
      <c r="Y47" s="126">
        <f t="shared" si="23"/>
        <v>-11.42</v>
      </c>
      <c r="Z47">
        <v>4.57</v>
      </c>
      <c r="AA47">
        <v>62.940000000000005</v>
      </c>
      <c r="AB47">
        <v>85.850000000000009</v>
      </c>
      <c r="AC47" s="126">
        <f t="shared" si="24"/>
        <v>27.480000000000004</v>
      </c>
      <c r="AF47" s="128">
        <v>39036</v>
      </c>
      <c r="AG47" s="144">
        <v>-1475.817</v>
      </c>
      <c r="AH47" s="142">
        <f>SUM($AG$1:AG47)/1000</f>
        <v>-53.525784000000002</v>
      </c>
      <c r="AI47" s="142">
        <f t="shared" si="33"/>
        <v>13.133327000000023</v>
      </c>
      <c r="AJ47" s="147">
        <f t="shared" si="25"/>
        <v>-12863</v>
      </c>
      <c r="AK47" s="143">
        <v>-12.863</v>
      </c>
      <c r="AL47" s="142">
        <f t="shared" si="34"/>
        <v>11.792790599758042</v>
      </c>
      <c r="AM47" s="144">
        <v>-1257.6000000000001</v>
      </c>
      <c r="AN47" s="142">
        <f>SUM($AM$1:AM47)/1000</f>
        <v>-41.901300000000006</v>
      </c>
      <c r="AO47" s="142">
        <f t="shared" si="35"/>
        <v>46.292799999999986</v>
      </c>
      <c r="AP47" s="144">
        <v>-2665.6</v>
      </c>
      <c r="AQ47" s="145">
        <f>SUM($AP$1:AP47)/1000</f>
        <v>-57.662999999999997</v>
      </c>
      <c r="AR47" s="142">
        <f t="shared" si="36"/>
        <v>25.672600000000017</v>
      </c>
      <c r="AS47" s="144">
        <v>-9878.09</v>
      </c>
      <c r="AT47" s="142">
        <f>SUM($AS$1:AS47)/1000</f>
        <v>-220.38081999999994</v>
      </c>
      <c r="AU47" s="142">
        <f t="shared" si="37"/>
        <v>112.76762999999997</v>
      </c>
      <c r="AV47" s="144">
        <v>17822</v>
      </c>
      <c r="AW47" s="142">
        <f>SUM($AV$1:AV47)/1000</f>
        <v>381.57100000000003</v>
      </c>
      <c r="AX47" s="142">
        <f t="shared" si="38"/>
        <v>-188.94349999999997</v>
      </c>
      <c r="AZ47" s="126">
        <f t="shared" si="26"/>
        <v>-14.0763</v>
      </c>
      <c r="BA47" s="126">
        <f t="shared" si="6"/>
        <v>188.94349999999997</v>
      </c>
      <c r="BB47" s="126">
        <f t="shared" si="7"/>
        <v>-203.01979999999998</v>
      </c>
      <c r="BD47" s="126">
        <f t="shared" si="27"/>
        <v>8.09</v>
      </c>
      <c r="BE47" s="126">
        <f t="shared" si="28"/>
        <v>-13.133327000000023</v>
      </c>
      <c r="BF47" s="126">
        <f t="shared" si="8"/>
        <v>-21.223327000000022</v>
      </c>
      <c r="BH47" s="126">
        <f t="shared" si="29"/>
        <v>4.9119999999999999</v>
      </c>
      <c r="BI47" s="126">
        <f t="shared" si="30"/>
        <v>-11.792790599758042</v>
      </c>
      <c r="BJ47" s="126">
        <f t="shared" si="31"/>
        <v>-16.704790599758041</v>
      </c>
      <c r="BL47" s="126">
        <f t="shared" si="9"/>
        <v>-24.140000000000008</v>
      </c>
      <c r="BM47" s="126">
        <f t="shared" si="10"/>
        <v>-46.292799999999986</v>
      </c>
      <c r="BN47" s="126">
        <f t="shared" si="11"/>
        <v>-22.152799999999978</v>
      </c>
      <c r="BP47" s="126">
        <f t="shared" si="12"/>
        <v>11.42</v>
      </c>
      <c r="BQ47" s="126">
        <f t="shared" si="13"/>
        <v>-25.672600000000017</v>
      </c>
      <c r="BR47" s="126">
        <f t="shared" si="14"/>
        <v>-37.092600000000019</v>
      </c>
      <c r="BT47" s="126">
        <f t="shared" si="15"/>
        <v>-27.480000000000004</v>
      </c>
      <c r="BU47" s="126">
        <f t="shared" si="16"/>
        <v>-112.76762999999997</v>
      </c>
      <c r="BV47" s="126">
        <f t="shared" si="17"/>
        <v>-85.287629999999965</v>
      </c>
      <c r="CC47">
        <f t="shared" si="32"/>
        <v>3.0580000000000025</v>
      </c>
    </row>
    <row r="48" spans="1:81" x14ac:dyDescent="0.2">
      <c r="A48">
        <v>1.7</v>
      </c>
      <c r="B48">
        <v>176.70000000000002</v>
      </c>
      <c r="C48">
        <v>261</v>
      </c>
      <c r="D48" s="126">
        <f t="shared" si="18"/>
        <v>1.7843</v>
      </c>
      <c r="E48">
        <v>4649</v>
      </c>
      <c r="F48">
        <v>10817</v>
      </c>
      <c r="G48">
        <v>6885</v>
      </c>
      <c r="H48" s="126">
        <f t="shared" si="19"/>
        <v>0.71699999999999997</v>
      </c>
      <c r="J48">
        <v>4.1399999999999997</v>
      </c>
      <c r="K48">
        <v>14.72</v>
      </c>
      <c r="L48">
        <v>4.97</v>
      </c>
      <c r="M48" s="126">
        <f t="shared" si="20"/>
        <v>-5.61</v>
      </c>
      <c r="N48">
        <v>-11420</v>
      </c>
      <c r="O48">
        <v>8021</v>
      </c>
      <c r="P48">
        <v>17409</v>
      </c>
      <c r="Q48" s="126">
        <f t="shared" si="21"/>
        <v>-2.032</v>
      </c>
      <c r="R48">
        <v>1.7</v>
      </c>
      <c r="S48">
        <v>108.7</v>
      </c>
      <c r="T48">
        <v>122.91</v>
      </c>
      <c r="U48" s="126">
        <f t="shared" si="22"/>
        <v>15.909999999999993</v>
      </c>
      <c r="V48">
        <v>-8.7000000000000011</v>
      </c>
      <c r="W48">
        <v>15.950000000000001</v>
      </c>
      <c r="X48">
        <v>17.52</v>
      </c>
      <c r="Y48" s="126">
        <f t="shared" si="23"/>
        <v>-7.1300000000000026</v>
      </c>
      <c r="Z48">
        <v>5.2700000000000005</v>
      </c>
      <c r="AA48">
        <v>65.930000000000007</v>
      </c>
      <c r="AB48">
        <v>90.04</v>
      </c>
      <c r="AC48" s="126">
        <f t="shared" si="24"/>
        <v>29.38</v>
      </c>
      <c r="AF48" s="128">
        <v>39066</v>
      </c>
      <c r="AG48" s="144">
        <v>-1248.2619999999999</v>
      </c>
      <c r="AH48" s="142">
        <f>SUM($AG$1:AG48)/1000</f>
        <v>-54.774046000000006</v>
      </c>
      <c r="AI48" s="142">
        <f t="shared" si="33"/>
        <v>11.885065000000019</v>
      </c>
      <c r="AJ48" s="147">
        <f t="shared" si="25"/>
        <v>-13958.134334023734</v>
      </c>
      <c r="AK48" s="143">
        <v>-13.958134334023734</v>
      </c>
      <c r="AL48" s="142">
        <f t="shared" si="34"/>
        <v>10.697656265734308</v>
      </c>
      <c r="AM48" s="144">
        <v>-1412.3000000000002</v>
      </c>
      <c r="AN48" s="142">
        <f>SUM($AM$1:AM48)/1000</f>
        <v>-43.313600000000008</v>
      </c>
      <c r="AO48" s="142">
        <f t="shared" si="35"/>
        <v>44.880499999999984</v>
      </c>
      <c r="AP48" s="144">
        <v>-2820.4</v>
      </c>
      <c r="AQ48" s="145">
        <f>SUM($AP$1:AP48)/1000</f>
        <v>-60.483400000000003</v>
      </c>
      <c r="AR48" s="142">
        <f t="shared" si="36"/>
        <v>22.852200000000011</v>
      </c>
      <c r="AS48" s="144">
        <v>-6431.74</v>
      </c>
      <c r="AT48" s="142">
        <f>SUM($AS$1:AS48)/1000</f>
        <v>-226.81255999999993</v>
      </c>
      <c r="AU48" s="142">
        <f t="shared" si="37"/>
        <v>106.33588999999998</v>
      </c>
      <c r="AV48" s="144">
        <v>18658</v>
      </c>
      <c r="AW48" s="142">
        <f>SUM($AV$1:AV48)/1000</f>
        <v>400.22899999999998</v>
      </c>
      <c r="AX48" s="142">
        <f t="shared" si="38"/>
        <v>-170.28550000000001</v>
      </c>
      <c r="AZ48" s="126">
        <f t="shared" si="26"/>
        <v>-1.7843</v>
      </c>
      <c r="BA48" s="126">
        <f t="shared" si="6"/>
        <v>170.28550000000001</v>
      </c>
      <c r="BB48" s="126">
        <f t="shared" si="7"/>
        <v>-172.06980000000001</v>
      </c>
      <c r="BD48" s="126">
        <f t="shared" si="27"/>
        <v>5.61</v>
      </c>
      <c r="BE48" s="126">
        <f t="shared" si="28"/>
        <v>-11.885065000000019</v>
      </c>
      <c r="BF48" s="126">
        <f t="shared" si="8"/>
        <v>-17.495065000000018</v>
      </c>
      <c r="BH48" s="126">
        <f t="shared" si="29"/>
        <v>2.032</v>
      </c>
      <c r="BI48" s="126">
        <f t="shared" si="30"/>
        <v>-10.697656265734308</v>
      </c>
      <c r="BJ48" s="126">
        <f t="shared" si="31"/>
        <v>-12.729656265734308</v>
      </c>
      <c r="BL48" s="126">
        <f t="shared" si="9"/>
        <v>-15.909999999999993</v>
      </c>
      <c r="BM48" s="126">
        <f t="shared" si="10"/>
        <v>-44.880499999999984</v>
      </c>
      <c r="BN48" s="126">
        <f t="shared" si="11"/>
        <v>-28.970499999999991</v>
      </c>
      <c r="BP48" s="126">
        <f t="shared" si="12"/>
        <v>7.1300000000000026</v>
      </c>
      <c r="BQ48" s="126">
        <f t="shared" si="13"/>
        <v>-22.852200000000011</v>
      </c>
      <c r="BR48" s="126">
        <f t="shared" si="14"/>
        <v>-29.982200000000013</v>
      </c>
      <c r="BT48" s="126">
        <f t="shared" si="15"/>
        <v>-29.38</v>
      </c>
      <c r="BU48" s="126">
        <f t="shared" si="16"/>
        <v>-106.33588999999998</v>
      </c>
      <c r="BV48" s="126">
        <f t="shared" si="17"/>
        <v>-76.955889999999982</v>
      </c>
      <c r="CC48">
        <f t="shared" si="32"/>
        <v>14.607999999999997</v>
      </c>
    </row>
    <row r="49" spans="1:81" x14ac:dyDescent="0.2">
      <c r="A49">
        <v>6.63</v>
      </c>
      <c r="B49">
        <v>169.3</v>
      </c>
      <c r="C49">
        <v>254.8</v>
      </c>
      <c r="D49" s="126">
        <f t="shared" si="18"/>
        <v>6.7154999999999996</v>
      </c>
      <c r="E49">
        <v>4363</v>
      </c>
      <c r="F49">
        <v>10316</v>
      </c>
      <c r="G49">
        <v>6670</v>
      </c>
      <c r="H49" s="126">
        <f t="shared" si="19"/>
        <v>0.71699999999999997</v>
      </c>
      <c r="J49">
        <v>2.27</v>
      </c>
      <c r="K49">
        <v>14.11</v>
      </c>
      <c r="L49">
        <v>4.2300000000000004</v>
      </c>
      <c r="M49" s="126">
        <f t="shared" si="20"/>
        <v>-7.6099999999999994</v>
      </c>
      <c r="N49">
        <v>-7981</v>
      </c>
      <c r="O49">
        <v>7675</v>
      </c>
      <c r="P49">
        <v>16759</v>
      </c>
      <c r="Q49" s="126">
        <f t="shared" si="21"/>
        <v>1.103</v>
      </c>
      <c r="R49">
        <v>6.63</v>
      </c>
      <c r="S49">
        <v>103.06</v>
      </c>
      <c r="T49">
        <v>116.92</v>
      </c>
      <c r="U49" s="126">
        <f t="shared" si="22"/>
        <v>20.49</v>
      </c>
      <c r="V49">
        <v>-11.68</v>
      </c>
      <c r="W49">
        <v>15.1</v>
      </c>
      <c r="X49">
        <v>15.77</v>
      </c>
      <c r="Y49" s="126">
        <f t="shared" si="23"/>
        <v>-11.01</v>
      </c>
      <c r="Z49">
        <v>5.36</v>
      </c>
      <c r="AA49">
        <v>63.26</v>
      </c>
      <c r="AB49">
        <v>86.34</v>
      </c>
      <c r="AC49" s="126">
        <f t="shared" si="24"/>
        <v>28.440000000000005</v>
      </c>
      <c r="AF49" s="128">
        <v>39097</v>
      </c>
      <c r="AG49" s="144">
        <v>-1044.106</v>
      </c>
      <c r="AH49" s="142">
        <f>SUM($AG$1:AG49)/1000</f>
        <v>-55.818152000000005</v>
      </c>
      <c r="AI49" s="142">
        <f t="shared" si="33"/>
        <v>10.840959000000019</v>
      </c>
      <c r="AJ49" s="147">
        <f t="shared" si="25"/>
        <v>-15264.33262916007</v>
      </c>
      <c r="AK49" s="143">
        <v>-15.264332629160069</v>
      </c>
      <c r="AL49" s="142">
        <f t="shared" si="34"/>
        <v>9.3914579705979726</v>
      </c>
      <c r="AM49" s="144">
        <v>-5322.1</v>
      </c>
      <c r="AN49" s="142">
        <f>SUM($AM$1:AM49)/1000</f>
        <v>-48.635700000000007</v>
      </c>
      <c r="AO49" s="142">
        <f t="shared" si="35"/>
        <v>39.558399999999985</v>
      </c>
      <c r="AP49" s="144">
        <v>-2786.6</v>
      </c>
      <c r="AQ49" s="145">
        <f>SUM($AP$1:AP49)/1000</f>
        <v>-63.27</v>
      </c>
      <c r="AR49" s="142">
        <f t="shared" si="36"/>
        <v>20.065600000000011</v>
      </c>
      <c r="AS49" s="144">
        <v>-9268.51</v>
      </c>
      <c r="AT49" s="142">
        <f>SUM($AS$1:AS49)/1000</f>
        <v>-236.08106999999995</v>
      </c>
      <c r="AU49" s="142">
        <f t="shared" si="37"/>
        <v>97.067379999999957</v>
      </c>
      <c r="AV49" s="144">
        <v>13273</v>
      </c>
      <c r="AW49" s="142">
        <f>SUM($AV$1:AV49)/1000</f>
        <v>413.50200000000001</v>
      </c>
      <c r="AX49" s="142">
        <f t="shared" si="38"/>
        <v>-157.01249999999999</v>
      </c>
      <c r="AZ49" s="126">
        <f t="shared" si="26"/>
        <v>-6.7154999999999996</v>
      </c>
      <c r="BA49" s="126">
        <f t="shared" si="6"/>
        <v>157.01249999999999</v>
      </c>
      <c r="BB49" s="126">
        <f t="shared" si="7"/>
        <v>-163.72799999999998</v>
      </c>
      <c r="BD49" s="126">
        <f t="shared" si="27"/>
        <v>7.6099999999999994</v>
      </c>
      <c r="BE49" s="126">
        <f t="shared" si="28"/>
        <v>-10.840959000000019</v>
      </c>
      <c r="BF49" s="126">
        <f t="shared" si="8"/>
        <v>-18.450959000000019</v>
      </c>
      <c r="BH49" s="126">
        <f t="shared" si="29"/>
        <v>-1.103</v>
      </c>
      <c r="BI49" s="126">
        <f t="shared" si="30"/>
        <v>-9.3914579705979726</v>
      </c>
      <c r="BJ49" s="126">
        <f t="shared" si="31"/>
        <v>-8.2884579705979728</v>
      </c>
      <c r="BL49" s="126">
        <f t="shared" si="9"/>
        <v>-20.49</v>
      </c>
      <c r="BM49" s="126">
        <f t="shared" si="10"/>
        <v>-39.558399999999985</v>
      </c>
      <c r="BN49" s="126">
        <f t="shared" si="11"/>
        <v>-19.068399999999986</v>
      </c>
      <c r="BP49" s="126">
        <f t="shared" si="12"/>
        <v>11.01</v>
      </c>
      <c r="BQ49" s="126">
        <f t="shared" si="13"/>
        <v>-20.065600000000011</v>
      </c>
      <c r="BR49" s="126">
        <f t="shared" si="14"/>
        <v>-31.075600000000009</v>
      </c>
      <c r="BT49" s="126">
        <f t="shared" si="15"/>
        <v>-28.440000000000005</v>
      </c>
      <c r="BU49" s="126">
        <f t="shared" si="16"/>
        <v>-97.067379999999957</v>
      </c>
      <c r="BV49" s="126">
        <f t="shared" si="17"/>
        <v>-68.62737999999996</v>
      </c>
      <c r="CC49">
        <f t="shared" si="32"/>
        <v>10.923000000000007</v>
      </c>
    </row>
    <row r="50" spans="1:81" x14ac:dyDescent="0.2">
      <c r="A50">
        <v>7</v>
      </c>
      <c r="B50">
        <v>169.9</v>
      </c>
      <c r="C50">
        <v>256.40000000000003</v>
      </c>
      <c r="D50" s="126">
        <f t="shared" si="18"/>
        <v>7.0865</v>
      </c>
      <c r="E50">
        <v>4328</v>
      </c>
      <c r="F50">
        <v>10349</v>
      </c>
      <c r="G50">
        <v>6738</v>
      </c>
      <c r="H50" s="126">
        <f t="shared" si="19"/>
        <v>0.71699999999999997</v>
      </c>
      <c r="J50">
        <v>2.02</v>
      </c>
      <c r="K50">
        <v>14.16</v>
      </c>
      <c r="L50">
        <v>4.21</v>
      </c>
      <c r="M50" s="126">
        <f t="shared" si="20"/>
        <v>-7.93</v>
      </c>
      <c r="N50">
        <v>-8506</v>
      </c>
      <c r="O50">
        <v>7699</v>
      </c>
      <c r="P50">
        <v>16994</v>
      </c>
      <c r="Q50" s="126">
        <f t="shared" si="21"/>
        <v>0.78900000000000003</v>
      </c>
      <c r="R50">
        <v>7</v>
      </c>
      <c r="S50">
        <v>103.41</v>
      </c>
      <c r="T50">
        <v>117.25</v>
      </c>
      <c r="U50" s="126">
        <f t="shared" si="22"/>
        <v>20.840000000000003</v>
      </c>
      <c r="V50">
        <v>-11.4</v>
      </c>
      <c r="W50">
        <v>15.15</v>
      </c>
      <c r="X50">
        <v>15.950000000000001</v>
      </c>
      <c r="Y50" s="126">
        <f t="shared" si="23"/>
        <v>-10.6</v>
      </c>
      <c r="Z50">
        <v>11.67</v>
      </c>
      <c r="AA50">
        <v>63.45</v>
      </c>
      <c r="AB50">
        <v>86.29</v>
      </c>
      <c r="AC50" s="126">
        <f t="shared" si="24"/>
        <v>34.510000000000005</v>
      </c>
      <c r="AF50" s="128">
        <v>39128</v>
      </c>
      <c r="AG50" s="144">
        <v>-1469.9580000000001</v>
      </c>
      <c r="AH50" s="142">
        <f>SUM($AG$1:AG50)/1000</f>
        <v>-57.288110000000003</v>
      </c>
      <c r="AI50" s="142">
        <f t="shared" si="33"/>
        <v>9.371001000000021</v>
      </c>
      <c r="AJ50" s="147">
        <f t="shared" si="25"/>
        <v>-16487</v>
      </c>
      <c r="AK50" s="143">
        <v>-16.486999999999998</v>
      </c>
      <c r="AL50" s="142">
        <f t="shared" si="34"/>
        <v>8.1687905997580437</v>
      </c>
      <c r="AM50" s="144">
        <v>-2817</v>
      </c>
      <c r="AN50" s="142">
        <f>SUM($AM$1:AM50)/1000</f>
        <v>-51.452700000000007</v>
      </c>
      <c r="AO50" s="142">
        <f t="shared" si="35"/>
        <v>36.741399999999985</v>
      </c>
      <c r="AP50" s="144">
        <v>-3177.7000000000003</v>
      </c>
      <c r="AQ50" s="145">
        <f>SUM($AP$1:AP50)/1000</f>
        <v>-66.447699999999998</v>
      </c>
      <c r="AR50" s="142">
        <f t="shared" si="36"/>
        <v>16.887900000000016</v>
      </c>
      <c r="AS50" s="144">
        <v>-9539.3700000000008</v>
      </c>
      <c r="AT50" s="142">
        <f>SUM($AS$1:AS50)/1000</f>
        <v>-245.62043999999995</v>
      </c>
      <c r="AU50" s="142">
        <f t="shared" si="37"/>
        <v>87.528009999999966</v>
      </c>
      <c r="AV50" s="144">
        <v>11290</v>
      </c>
      <c r="AW50" s="142">
        <f>SUM($AV$1:AV50)/1000</f>
        <v>424.79199999999997</v>
      </c>
      <c r="AX50" s="142">
        <f t="shared" si="38"/>
        <v>-145.72250000000003</v>
      </c>
      <c r="AZ50" s="126">
        <f t="shared" si="26"/>
        <v>-7.0865</v>
      </c>
      <c r="BA50" s="126">
        <f t="shared" si="6"/>
        <v>145.72250000000003</v>
      </c>
      <c r="BB50" s="126">
        <f t="shared" si="7"/>
        <v>-152.80900000000003</v>
      </c>
      <c r="BD50" s="126">
        <f t="shared" si="27"/>
        <v>7.93</v>
      </c>
      <c r="BE50" s="126">
        <f t="shared" si="28"/>
        <v>-9.371001000000021</v>
      </c>
      <c r="BF50" s="126">
        <f t="shared" si="8"/>
        <v>-17.301001000000021</v>
      </c>
      <c r="BH50" s="126">
        <f t="shared" si="29"/>
        <v>-0.78900000000000003</v>
      </c>
      <c r="BI50" s="126">
        <f t="shared" si="30"/>
        <v>-8.1687905997580437</v>
      </c>
      <c r="BJ50" s="126">
        <f t="shared" si="31"/>
        <v>-7.379790599758044</v>
      </c>
      <c r="BL50" s="126">
        <f t="shared" si="9"/>
        <v>-20.840000000000003</v>
      </c>
      <c r="BM50" s="126">
        <f t="shared" si="10"/>
        <v>-36.741399999999985</v>
      </c>
      <c r="BN50" s="126">
        <f t="shared" si="11"/>
        <v>-15.901399999999981</v>
      </c>
      <c r="BP50" s="126">
        <f t="shared" si="12"/>
        <v>10.6</v>
      </c>
      <c r="BQ50" s="126">
        <f t="shared" si="13"/>
        <v>-16.887900000000016</v>
      </c>
      <c r="BR50" s="126">
        <f t="shared" si="14"/>
        <v>-27.487900000000018</v>
      </c>
      <c r="BT50" s="126">
        <f t="shared" si="15"/>
        <v>-34.510000000000005</v>
      </c>
      <c r="BU50" s="126">
        <f t="shared" si="16"/>
        <v>-87.528009999999966</v>
      </c>
      <c r="BV50" s="126">
        <f t="shared" si="17"/>
        <v>-53.018009999999961</v>
      </c>
      <c r="CC50">
        <f t="shared" si="32"/>
        <v>16.769000000000005</v>
      </c>
    </row>
    <row r="51" spans="1:81" x14ac:dyDescent="0.2">
      <c r="A51">
        <v>-1.8800000000000001</v>
      </c>
      <c r="B51">
        <v>172.5</v>
      </c>
      <c r="C51">
        <v>260</v>
      </c>
      <c r="D51" s="126">
        <f t="shared" si="18"/>
        <v>-1.7925000000000002</v>
      </c>
      <c r="E51">
        <v>4355</v>
      </c>
      <c r="F51">
        <v>10508</v>
      </c>
      <c r="G51">
        <v>6870</v>
      </c>
      <c r="H51" s="126">
        <f t="shared" si="19"/>
        <v>0.71699999999999997</v>
      </c>
      <c r="J51">
        <v>2.91</v>
      </c>
      <c r="K51">
        <v>14.370000000000001</v>
      </c>
      <c r="L51">
        <v>4.28</v>
      </c>
      <c r="M51" s="126">
        <f t="shared" si="20"/>
        <v>-7.18</v>
      </c>
      <c r="N51">
        <v>-2615</v>
      </c>
      <c r="O51">
        <v>7819</v>
      </c>
      <c r="P51">
        <v>17273</v>
      </c>
      <c r="Q51" s="126">
        <f t="shared" si="21"/>
        <v>6.8390000000000004</v>
      </c>
      <c r="R51">
        <v>-1.8800000000000001</v>
      </c>
      <c r="S51">
        <v>104.98</v>
      </c>
      <c r="T51">
        <v>118.75</v>
      </c>
      <c r="U51" s="126">
        <f t="shared" si="22"/>
        <v>11.889999999999995</v>
      </c>
      <c r="V51">
        <v>-8.0400000000000009</v>
      </c>
      <c r="W51">
        <v>15.38</v>
      </c>
      <c r="X51">
        <v>17.09</v>
      </c>
      <c r="Y51" s="126">
        <f t="shared" si="23"/>
        <v>-6.3300000000000018</v>
      </c>
      <c r="Z51">
        <v>8.36</v>
      </c>
      <c r="AA51">
        <v>64.39</v>
      </c>
      <c r="AB51">
        <v>87.9</v>
      </c>
      <c r="AC51" s="126">
        <f t="shared" si="24"/>
        <v>31.870000000000005</v>
      </c>
      <c r="AF51" s="128">
        <v>39156</v>
      </c>
      <c r="AG51" s="144">
        <v>-1366.6780000000001</v>
      </c>
      <c r="AH51" s="142">
        <f>SUM($AG$1:AG51)/1000</f>
        <v>-58.654788000000003</v>
      </c>
      <c r="AI51" s="142">
        <f t="shared" si="33"/>
        <v>8.0043230000000207</v>
      </c>
      <c r="AJ51" s="147">
        <f t="shared" si="25"/>
        <v>-17400.990905110393</v>
      </c>
      <c r="AK51" s="143">
        <v>-17.400990905110394</v>
      </c>
      <c r="AL51" s="142">
        <f t="shared" si="34"/>
        <v>7.2547996946476481</v>
      </c>
      <c r="AM51" s="144">
        <v>-1637.6000000000001</v>
      </c>
      <c r="AN51" s="142">
        <f>SUM($AM$1:AM51)/1000</f>
        <v>-53.090300000000006</v>
      </c>
      <c r="AO51" s="142">
        <f t="shared" si="35"/>
        <v>35.103799999999985</v>
      </c>
      <c r="AP51" s="144">
        <v>-3109.4</v>
      </c>
      <c r="AQ51" s="145">
        <f>SUM($AP$1:AP51)/1000</f>
        <v>-69.557099999999991</v>
      </c>
      <c r="AR51" s="142">
        <f t="shared" si="36"/>
        <v>13.778500000000022</v>
      </c>
      <c r="AS51" s="144">
        <v>-6679.38</v>
      </c>
      <c r="AT51" s="142">
        <f>SUM($AS$1:AS51)/1000</f>
        <v>-252.29981999999995</v>
      </c>
      <c r="AU51" s="142">
        <f t="shared" si="37"/>
        <v>80.848629999999957</v>
      </c>
      <c r="AV51" s="144">
        <v>20667</v>
      </c>
      <c r="AW51" s="142">
        <f>SUM($AV$1:AV51)/1000</f>
        <v>445.459</v>
      </c>
      <c r="AX51" s="142">
        <f t="shared" si="38"/>
        <v>-125.05549999999999</v>
      </c>
      <c r="AZ51" s="126">
        <f t="shared" si="26"/>
        <v>1.7925000000000002</v>
      </c>
      <c r="BA51" s="126">
        <f t="shared" si="6"/>
        <v>125.05549999999999</v>
      </c>
      <c r="BB51" s="126">
        <f t="shared" si="7"/>
        <v>-123.26299999999999</v>
      </c>
      <c r="BD51" s="126">
        <f t="shared" si="27"/>
        <v>7.18</v>
      </c>
      <c r="BE51" s="126">
        <f t="shared" si="28"/>
        <v>-8.0043230000000207</v>
      </c>
      <c r="BF51" s="126">
        <f t="shared" si="8"/>
        <v>-15.18432300000002</v>
      </c>
      <c r="BH51" s="126">
        <f t="shared" si="29"/>
        <v>-6.8390000000000004</v>
      </c>
      <c r="BI51" s="126">
        <f t="shared" si="30"/>
        <v>-7.2547996946476481</v>
      </c>
      <c r="BJ51" s="126">
        <f t="shared" si="31"/>
        <v>-0.41579969464764766</v>
      </c>
      <c r="BL51" s="126">
        <f t="shared" si="9"/>
        <v>-11.889999999999995</v>
      </c>
      <c r="BM51" s="126">
        <f t="shared" si="10"/>
        <v>-35.103799999999985</v>
      </c>
      <c r="BN51" s="126">
        <f t="shared" si="11"/>
        <v>-23.213799999999992</v>
      </c>
      <c r="BP51" s="126">
        <f t="shared" si="12"/>
        <v>6.3300000000000018</v>
      </c>
      <c r="BQ51" s="126">
        <f t="shared" si="13"/>
        <v>-13.778500000000022</v>
      </c>
      <c r="BR51" s="126">
        <f t="shared" si="14"/>
        <v>-20.108500000000024</v>
      </c>
      <c r="BT51" s="126">
        <f t="shared" si="15"/>
        <v>-31.870000000000005</v>
      </c>
      <c r="BU51" s="126">
        <f t="shared" si="16"/>
        <v>-80.848629999999957</v>
      </c>
      <c r="BV51" s="126">
        <f t="shared" si="17"/>
        <v>-48.978629999999953</v>
      </c>
      <c r="CC51">
        <f t="shared" si="32"/>
        <v>25.199000000000005</v>
      </c>
    </row>
    <row r="52" spans="1:81" x14ac:dyDescent="0.2">
      <c r="A52">
        <v>-7.48</v>
      </c>
      <c r="B52">
        <v>175.60000000000002</v>
      </c>
      <c r="C52">
        <v>263.2</v>
      </c>
      <c r="D52" s="126">
        <f t="shared" si="18"/>
        <v>-7.3924000000000003</v>
      </c>
      <c r="E52">
        <v>4360</v>
      </c>
      <c r="F52">
        <v>10639</v>
      </c>
      <c r="G52">
        <v>6996</v>
      </c>
      <c r="H52" s="126">
        <f t="shared" si="19"/>
        <v>0.71699999999999997</v>
      </c>
      <c r="J52">
        <v>1.98</v>
      </c>
      <c r="K52">
        <v>14.56</v>
      </c>
      <c r="L52">
        <v>4.2</v>
      </c>
      <c r="M52" s="126">
        <f t="shared" si="20"/>
        <v>-8.379999999999999</v>
      </c>
      <c r="N52">
        <v>-6085</v>
      </c>
      <c r="O52">
        <v>7914</v>
      </c>
      <c r="P52">
        <v>17553</v>
      </c>
      <c r="Q52" s="126">
        <f t="shared" si="21"/>
        <v>3.5539999999999998</v>
      </c>
      <c r="R52">
        <v>-7.48</v>
      </c>
      <c r="S52">
        <v>106.31</v>
      </c>
      <c r="T52">
        <v>120.52</v>
      </c>
      <c r="U52" s="126">
        <f t="shared" si="22"/>
        <v>6.7299999999999933</v>
      </c>
      <c r="V52">
        <v>-9.4500000000000011</v>
      </c>
      <c r="W52">
        <v>15.57</v>
      </c>
      <c r="X52">
        <v>17.21</v>
      </c>
      <c r="Y52" s="126">
        <f t="shared" si="23"/>
        <v>-7.8100000000000005</v>
      </c>
      <c r="Z52">
        <v>22.03</v>
      </c>
      <c r="AA52">
        <v>65.2</v>
      </c>
      <c r="AB52">
        <v>87.86</v>
      </c>
      <c r="AC52" s="126">
        <f t="shared" si="24"/>
        <v>44.69</v>
      </c>
      <c r="AF52" s="128">
        <v>39187</v>
      </c>
      <c r="AG52" s="144">
        <v>-1083.4950000000001</v>
      </c>
      <c r="AH52" s="142">
        <f>SUM($AG$1:AG52)/1000</f>
        <v>-59.738283000000003</v>
      </c>
      <c r="AI52" s="142">
        <f t="shared" si="33"/>
        <v>6.9208280000000215</v>
      </c>
      <c r="AJ52" s="147">
        <f t="shared" si="25"/>
        <v>-18058.957178961642</v>
      </c>
      <c r="AK52" s="143">
        <v>-18.058957178961641</v>
      </c>
      <c r="AL52" s="142">
        <f t="shared" si="34"/>
        <v>6.5968334207964006</v>
      </c>
      <c r="AM52" s="144">
        <v>-2227.7000000000003</v>
      </c>
      <c r="AN52" s="142">
        <f>SUM($AM$1:AM52)/1000</f>
        <v>-55.317999999999998</v>
      </c>
      <c r="AO52" s="142">
        <f t="shared" si="35"/>
        <v>32.876099999999994</v>
      </c>
      <c r="AP52" s="144">
        <v>-3156.7000000000003</v>
      </c>
      <c r="AQ52" s="145">
        <f>SUM($AP$1:AP52)/1000</f>
        <v>-72.713799999999992</v>
      </c>
      <c r="AR52" s="142">
        <f t="shared" si="36"/>
        <v>10.621800000000022</v>
      </c>
      <c r="AS52" s="144">
        <v>-8453.33</v>
      </c>
      <c r="AT52" s="142">
        <f>SUM($AS$1:AS52)/1000</f>
        <v>-260.75314999999995</v>
      </c>
      <c r="AU52" s="142">
        <f t="shared" si="37"/>
        <v>72.395299999999963</v>
      </c>
      <c r="AV52" s="144">
        <v>13098</v>
      </c>
      <c r="AW52" s="142">
        <f>SUM($AV$1:AV52)/1000</f>
        <v>458.55700000000002</v>
      </c>
      <c r="AX52" s="142">
        <f t="shared" si="38"/>
        <v>-111.95749999999998</v>
      </c>
      <c r="AZ52" s="126">
        <f t="shared" si="26"/>
        <v>7.3924000000000003</v>
      </c>
      <c r="BA52" s="126">
        <f t="shared" si="6"/>
        <v>111.95749999999998</v>
      </c>
      <c r="BB52" s="126">
        <f t="shared" si="7"/>
        <v>-104.56509999999999</v>
      </c>
      <c r="BD52" s="126">
        <f t="shared" si="27"/>
        <v>8.379999999999999</v>
      </c>
      <c r="BE52" s="126">
        <f t="shared" si="28"/>
        <v>-6.9208280000000215</v>
      </c>
      <c r="BF52" s="126">
        <f t="shared" si="8"/>
        <v>-15.300828000000021</v>
      </c>
      <c r="BH52" s="126">
        <f t="shared" si="29"/>
        <v>-3.5539999999999998</v>
      </c>
      <c r="BI52" s="126">
        <f t="shared" si="30"/>
        <v>-6.5968334207964006</v>
      </c>
      <c r="BJ52" s="126">
        <f t="shared" si="31"/>
        <v>-3.0428334207964007</v>
      </c>
      <c r="BL52" s="126">
        <f t="shared" si="9"/>
        <v>-6.7299999999999933</v>
      </c>
      <c r="BM52" s="126">
        <f t="shared" si="10"/>
        <v>-32.876099999999994</v>
      </c>
      <c r="BN52" s="126">
        <f t="shared" si="11"/>
        <v>-26.146100000000001</v>
      </c>
      <c r="BP52" s="126">
        <f t="shared" si="12"/>
        <v>7.8100000000000005</v>
      </c>
      <c r="BQ52" s="126">
        <f t="shared" si="13"/>
        <v>-10.621800000000022</v>
      </c>
      <c r="BR52" s="126">
        <f t="shared" si="14"/>
        <v>-18.431800000000024</v>
      </c>
      <c r="BT52" s="126">
        <f t="shared" si="15"/>
        <v>-44.69</v>
      </c>
      <c r="BU52" s="126">
        <f t="shared" si="16"/>
        <v>-72.395299999999963</v>
      </c>
      <c r="BV52" s="126">
        <f t="shared" si="17"/>
        <v>-27.705299999999966</v>
      </c>
      <c r="CC52">
        <f t="shared" si="32"/>
        <v>32.053999999999995</v>
      </c>
    </row>
    <row r="53" spans="1:81" x14ac:dyDescent="0.2">
      <c r="A53">
        <v>-5.94</v>
      </c>
      <c r="B53">
        <v>175.9</v>
      </c>
      <c r="C53">
        <v>266.3</v>
      </c>
      <c r="D53" s="126">
        <f t="shared" si="18"/>
        <v>-5.8496000000000006</v>
      </c>
      <c r="E53">
        <v>4333</v>
      </c>
      <c r="F53">
        <v>10707</v>
      </c>
      <c r="G53">
        <v>7091</v>
      </c>
      <c r="H53" s="126">
        <f t="shared" si="19"/>
        <v>0.71699999999999997</v>
      </c>
      <c r="J53">
        <v>2.31</v>
      </c>
      <c r="K53">
        <v>14.65</v>
      </c>
      <c r="L53">
        <v>3.92</v>
      </c>
      <c r="M53" s="126">
        <f t="shared" si="20"/>
        <v>-8.42</v>
      </c>
      <c r="N53">
        <v>-5863</v>
      </c>
      <c r="O53">
        <v>7963</v>
      </c>
      <c r="P53">
        <v>17990</v>
      </c>
      <c r="Q53" s="126">
        <f t="shared" si="21"/>
        <v>4.1639999999999997</v>
      </c>
      <c r="R53">
        <v>-5.94</v>
      </c>
      <c r="S53">
        <v>106.98</v>
      </c>
      <c r="T53">
        <v>120.58</v>
      </c>
      <c r="U53" s="126">
        <f t="shared" si="22"/>
        <v>7.6599999999999939</v>
      </c>
      <c r="V53">
        <v>-9.48</v>
      </c>
      <c r="W53">
        <v>15.68</v>
      </c>
      <c r="X53">
        <v>17.059999999999999</v>
      </c>
      <c r="Y53" s="126">
        <f t="shared" si="23"/>
        <v>-8.1000000000000014</v>
      </c>
      <c r="Z53">
        <v>18.86</v>
      </c>
      <c r="AA53">
        <v>65.62</v>
      </c>
      <c r="AB53">
        <v>87.820000000000007</v>
      </c>
      <c r="AC53" s="126">
        <f t="shared" si="24"/>
        <v>41.06</v>
      </c>
      <c r="AF53" s="128">
        <v>39217</v>
      </c>
      <c r="AG53" s="144">
        <v>-1796.8890000000001</v>
      </c>
      <c r="AH53" s="142">
        <f>SUM($AG$1:AG53)/1000</f>
        <v>-61.535172000000003</v>
      </c>
      <c r="AI53" s="142">
        <f t="shared" si="33"/>
        <v>5.1239390000000213</v>
      </c>
      <c r="AJ53" s="147">
        <f t="shared" si="25"/>
        <v>-18583</v>
      </c>
      <c r="AK53" s="143">
        <v>-18.582999999999998</v>
      </c>
      <c r="AL53" s="142">
        <f t="shared" si="34"/>
        <v>6.0727905997580436</v>
      </c>
      <c r="AM53" s="144">
        <v>-1007.6</v>
      </c>
      <c r="AN53" s="142">
        <f>SUM($AM$1:AM53)/1000</f>
        <v>-56.325600000000001</v>
      </c>
      <c r="AO53" s="142">
        <f t="shared" si="35"/>
        <v>31.86849999999999</v>
      </c>
      <c r="AP53" s="144">
        <v>-2127.1</v>
      </c>
      <c r="AQ53" s="145">
        <f>SUM($AP$1:AP53)/1000</f>
        <v>-74.840899999999991</v>
      </c>
      <c r="AR53" s="142">
        <f t="shared" si="36"/>
        <v>8.494700000000023</v>
      </c>
      <c r="AS53" s="144">
        <v>-8216.32</v>
      </c>
      <c r="AT53" s="142">
        <f>SUM($AS$1:AS53)/1000</f>
        <v>-268.96946999999989</v>
      </c>
      <c r="AU53" s="142">
        <f t="shared" si="37"/>
        <v>64.178980000000024</v>
      </c>
      <c r="AV53" s="144">
        <v>9517</v>
      </c>
      <c r="AW53" s="142">
        <f>SUM($AV$1:AV53)/1000</f>
        <v>468.07400000000001</v>
      </c>
      <c r="AX53" s="142">
        <f t="shared" si="38"/>
        <v>-102.44049999999999</v>
      </c>
      <c r="AZ53" s="126">
        <f t="shared" si="26"/>
        <v>5.8496000000000006</v>
      </c>
      <c r="BA53" s="126">
        <f t="shared" si="6"/>
        <v>102.44049999999999</v>
      </c>
      <c r="BB53" s="126">
        <f t="shared" si="7"/>
        <v>-96.590899999999991</v>
      </c>
      <c r="BD53" s="126">
        <f t="shared" si="27"/>
        <v>8.42</v>
      </c>
      <c r="BE53" s="126">
        <f t="shared" si="28"/>
        <v>-5.1239390000000213</v>
      </c>
      <c r="BF53" s="126">
        <f t="shared" si="8"/>
        <v>-13.543939000000021</v>
      </c>
      <c r="BH53" s="126">
        <f t="shared" si="29"/>
        <v>-4.1639999999999997</v>
      </c>
      <c r="BI53" s="126">
        <f t="shared" si="30"/>
        <v>-6.0727905997580436</v>
      </c>
      <c r="BJ53" s="126">
        <f t="shared" si="31"/>
        <v>-1.9087905997580439</v>
      </c>
      <c r="BL53" s="126">
        <f t="shared" si="9"/>
        <v>-7.6599999999999939</v>
      </c>
      <c r="BM53" s="126">
        <f t="shared" si="10"/>
        <v>-31.86849999999999</v>
      </c>
      <c r="BN53" s="126">
        <f t="shared" si="11"/>
        <v>-24.208499999999997</v>
      </c>
      <c r="BP53" s="126">
        <f t="shared" si="12"/>
        <v>8.1000000000000014</v>
      </c>
      <c r="BQ53" s="126">
        <f t="shared" si="13"/>
        <v>-8.494700000000023</v>
      </c>
      <c r="BR53" s="126">
        <f t="shared" si="14"/>
        <v>-16.594700000000024</v>
      </c>
      <c r="BT53" s="126">
        <f t="shared" si="15"/>
        <v>-41.06</v>
      </c>
      <c r="BU53" s="126">
        <f t="shared" si="16"/>
        <v>-64.178980000000024</v>
      </c>
      <c r="BV53" s="126">
        <f t="shared" si="17"/>
        <v>-23.118980000000022</v>
      </c>
      <c r="CC53">
        <f t="shared" si="32"/>
        <v>28.704000000000001</v>
      </c>
    </row>
    <row r="54" spans="1:81" x14ac:dyDescent="0.2">
      <c r="A54">
        <v>13.92</v>
      </c>
      <c r="B54">
        <v>178</v>
      </c>
      <c r="C54">
        <v>269.60000000000002</v>
      </c>
      <c r="D54" s="126">
        <f t="shared" si="18"/>
        <v>14.0116</v>
      </c>
      <c r="E54">
        <v>4346</v>
      </c>
      <c r="F54">
        <v>10839</v>
      </c>
      <c r="G54">
        <v>7210</v>
      </c>
      <c r="H54" s="126">
        <f t="shared" si="19"/>
        <v>0.71699999999999997</v>
      </c>
      <c r="J54">
        <v>2.62</v>
      </c>
      <c r="K54">
        <v>14.82</v>
      </c>
      <c r="L54">
        <v>3.99</v>
      </c>
      <c r="M54" s="126">
        <f t="shared" si="20"/>
        <v>-8.2100000000000009</v>
      </c>
      <c r="N54">
        <v>-9314</v>
      </c>
      <c r="O54">
        <v>8056</v>
      </c>
      <c r="P54">
        <v>18247</v>
      </c>
      <c r="Q54" s="126">
        <f t="shared" si="21"/>
        <v>0.877</v>
      </c>
      <c r="R54">
        <v>13.92</v>
      </c>
      <c r="S54">
        <v>108.27</v>
      </c>
      <c r="T54">
        <v>121.34</v>
      </c>
      <c r="U54" s="126">
        <f t="shared" si="22"/>
        <v>26.990000000000009</v>
      </c>
      <c r="V54">
        <v>-8.2200000000000006</v>
      </c>
      <c r="W54">
        <v>15.870000000000001</v>
      </c>
      <c r="X54">
        <v>17.46</v>
      </c>
      <c r="Y54" s="126">
        <f t="shared" si="23"/>
        <v>-6.6300000000000008</v>
      </c>
      <c r="Z54">
        <v>18</v>
      </c>
      <c r="AA54">
        <v>66.400000000000006</v>
      </c>
      <c r="AB54">
        <v>89.15</v>
      </c>
      <c r="AC54" s="126">
        <f t="shared" si="24"/>
        <v>40.75</v>
      </c>
      <c r="AF54" s="128">
        <v>39248</v>
      </c>
      <c r="AG54" s="144">
        <v>-1342.921</v>
      </c>
      <c r="AH54" s="142">
        <f>SUM($AG$1:AG54)/1000</f>
        <v>-62.878093000000007</v>
      </c>
      <c r="AI54" s="142">
        <f t="shared" si="33"/>
        <v>3.7810180000000173</v>
      </c>
      <c r="AJ54" s="147">
        <f t="shared" si="25"/>
        <v>-19082.309452942085</v>
      </c>
      <c r="AK54" s="143">
        <v>-19.082309452942084</v>
      </c>
      <c r="AL54" s="142">
        <f t="shared" si="34"/>
        <v>5.5734811468159577</v>
      </c>
      <c r="AM54" s="144">
        <v>545</v>
      </c>
      <c r="AN54" s="142">
        <f>SUM($AM$1:AM54)/1000</f>
        <v>-55.7806</v>
      </c>
      <c r="AO54" s="142">
        <f t="shared" si="35"/>
        <v>32.413499999999992</v>
      </c>
      <c r="AP54" s="144">
        <v>-2504.8000000000002</v>
      </c>
      <c r="AQ54" s="145">
        <f>SUM($AP$1:AP54)/1000</f>
        <v>-77.345699999999994</v>
      </c>
      <c r="AR54" s="142">
        <f t="shared" si="36"/>
        <v>5.98990000000002</v>
      </c>
      <c r="AS54" s="144">
        <v>-7855.63</v>
      </c>
      <c r="AT54" s="142">
        <f>SUM($AS$1:AS54)/1000</f>
        <v>-276.82509999999991</v>
      </c>
      <c r="AU54" s="142">
        <f t="shared" si="37"/>
        <v>56.323350000000005</v>
      </c>
      <c r="AV54" s="144">
        <v>17839</v>
      </c>
      <c r="AW54" s="142">
        <f>SUM($AV$1:AV54)/1000</f>
        <v>485.91300000000001</v>
      </c>
      <c r="AX54" s="142">
        <f t="shared" si="38"/>
        <v>-84.601499999999987</v>
      </c>
      <c r="AZ54" s="126">
        <f t="shared" si="26"/>
        <v>-14.0116</v>
      </c>
      <c r="BA54" s="126">
        <f t="shared" si="6"/>
        <v>84.601499999999987</v>
      </c>
      <c r="BB54" s="126">
        <f t="shared" si="7"/>
        <v>-98.613099999999989</v>
      </c>
      <c r="BD54" s="126">
        <f t="shared" si="27"/>
        <v>8.2100000000000009</v>
      </c>
      <c r="BE54" s="126">
        <f t="shared" si="28"/>
        <v>-3.7810180000000173</v>
      </c>
      <c r="BF54" s="126">
        <f t="shared" si="8"/>
        <v>-11.991018000000018</v>
      </c>
      <c r="BH54" s="126">
        <f t="shared" si="29"/>
        <v>-0.877</v>
      </c>
      <c r="BI54" s="126">
        <f t="shared" si="30"/>
        <v>-5.5734811468159577</v>
      </c>
      <c r="BJ54" s="126">
        <f t="shared" si="31"/>
        <v>-4.696481146815958</v>
      </c>
      <c r="BL54" s="126">
        <f t="shared" si="9"/>
        <v>-26.990000000000009</v>
      </c>
      <c r="BM54" s="126">
        <f t="shared" si="10"/>
        <v>-32.413499999999992</v>
      </c>
      <c r="BN54" s="126">
        <f t="shared" si="11"/>
        <v>-5.4234999999999829</v>
      </c>
      <c r="BP54" s="126">
        <f t="shared" si="12"/>
        <v>6.6300000000000008</v>
      </c>
      <c r="BQ54" s="126">
        <f t="shared" si="13"/>
        <v>-5.98990000000002</v>
      </c>
      <c r="BR54" s="126">
        <f t="shared" si="14"/>
        <v>-12.619900000000021</v>
      </c>
      <c r="BT54" s="126">
        <f t="shared" si="15"/>
        <v>-40.75</v>
      </c>
      <c r="BU54" s="126">
        <f t="shared" si="16"/>
        <v>-56.323350000000005</v>
      </c>
      <c r="BV54" s="126">
        <f t="shared" si="17"/>
        <v>-15.573350000000005</v>
      </c>
      <c r="CC54">
        <f t="shared" si="32"/>
        <v>26.786999999999995</v>
      </c>
    </row>
    <row r="55" spans="1:81" x14ac:dyDescent="0.2">
      <c r="A55">
        <v>16.14</v>
      </c>
      <c r="B55">
        <v>180</v>
      </c>
      <c r="C55">
        <v>272</v>
      </c>
      <c r="D55" s="126">
        <f t="shared" si="18"/>
        <v>16.231999999999999</v>
      </c>
      <c r="E55">
        <v>4382</v>
      </c>
      <c r="F55">
        <v>10963</v>
      </c>
      <c r="G55">
        <v>7298</v>
      </c>
      <c r="H55" s="126">
        <f t="shared" si="19"/>
        <v>0.71699999999999997</v>
      </c>
      <c r="J55">
        <v>4.5200000000000005</v>
      </c>
      <c r="K55">
        <v>14.99</v>
      </c>
      <c r="L55">
        <v>4.13</v>
      </c>
      <c r="M55" s="126">
        <f t="shared" si="20"/>
        <v>-6.339999999999999</v>
      </c>
      <c r="N55">
        <v>-8164</v>
      </c>
      <c r="O55">
        <v>8144</v>
      </c>
      <c r="P55">
        <v>18712</v>
      </c>
      <c r="Q55" s="126">
        <f t="shared" si="21"/>
        <v>2.4039999999999999</v>
      </c>
      <c r="R55">
        <v>16.14</v>
      </c>
      <c r="S55">
        <v>109.49000000000001</v>
      </c>
      <c r="T55">
        <v>123.23</v>
      </c>
      <c r="U55" s="126">
        <f t="shared" si="22"/>
        <v>29.879999999999995</v>
      </c>
      <c r="V55">
        <v>-9.49</v>
      </c>
      <c r="W55">
        <v>16.05</v>
      </c>
      <c r="X55">
        <v>17.7</v>
      </c>
      <c r="Y55" s="126">
        <f t="shared" si="23"/>
        <v>-7.8400000000000016</v>
      </c>
      <c r="Z55">
        <v>17.740000000000002</v>
      </c>
      <c r="AA55">
        <v>67.180000000000007</v>
      </c>
      <c r="AB55">
        <v>89.24</v>
      </c>
      <c r="AC55" s="126">
        <f t="shared" si="24"/>
        <v>39.79999999999999</v>
      </c>
      <c r="AF55" s="128">
        <v>39278</v>
      </c>
      <c r="AG55" s="144">
        <v>-681.94399999999996</v>
      </c>
      <c r="AH55" s="142">
        <f>SUM($AG$1:AG55)/1000</f>
        <v>-63.560037000000008</v>
      </c>
      <c r="AI55" s="142">
        <f t="shared" si="33"/>
        <v>3.0990740000000159</v>
      </c>
      <c r="AJ55" s="147">
        <f t="shared" si="25"/>
        <v>-19614.431247585948</v>
      </c>
      <c r="AK55" s="143">
        <v>-19.614431247585948</v>
      </c>
      <c r="AL55" s="142">
        <f t="shared" si="34"/>
        <v>5.0413593521720941</v>
      </c>
      <c r="AM55" s="144">
        <v>3061.4</v>
      </c>
      <c r="AN55" s="142">
        <f>SUM($AM$1:AM55)/1000</f>
        <v>-52.719199999999994</v>
      </c>
      <c r="AO55" s="142">
        <f t="shared" si="35"/>
        <v>35.474899999999998</v>
      </c>
      <c r="AP55" s="144">
        <v>-2322.8000000000002</v>
      </c>
      <c r="AQ55" s="145">
        <f>SUM($AP$1:AP55)/1000</f>
        <v>-79.668499999999995</v>
      </c>
      <c r="AR55" s="142">
        <f t="shared" si="36"/>
        <v>3.6671000000000191</v>
      </c>
      <c r="AS55" s="144">
        <v>-9820.64</v>
      </c>
      <c r="AT55" s="142">
        <f>SUM($AS$1:AS55)/1000</f>
        <v>-286.64573999999993</v>
      </c>
      <c r="AU55" s="142">
        <f t="shared" si="37"/>
        <v>46.502709999999979</v>
      </c>
      <c r="AV55" s="144">
        <v>14181</v>
      </c>
      <c r="AW55" s="142">
        <f>SUM($AV$1:AV55)/1000</f>
        <v>500.09399999999999</v>
      </c>
      <c r="AX55" s="142">
        <f t="shared" si="38"/>
        <v>-70.420500000000004</v>
      </c>
      <c r="AZ55" s="126">
        <f t="shared" si="26"/>
        <v>-16.231999999999999</v>
      </c>
      <c r="BA55" s="126">
        <f t="shared" si="6"/>
        <v>70.420500000000004</v>
      </c>
      <c r="BB55" s="126">
        <f t="shared" si="7"/>
        <v>-86.652500000000003</v>
      </c>
      <c r="BD55" s="126">
        <f t="shared" si="27"/>
        <v>6.339999999999999</v>
      </c>
      <c r="BE55" s="126">
        <f t="shared" si="28"/>
        <v>-3.0990740000000159</v>
      </c>
      <c r="BF55" s="126">
        <f t="shared" si="8"/>
        <v>-9.4390740000000157</v>
      </c>
      <c r="BH55" s="126">
        <f t="shared" si="29"/>
        <v>-2.4039999999999999</v>
      </c>
      <c r="BI55" s="126">
        <f t="shared" si="30"/>
        <v>-5.0413593521720941</v>
      </c>
      <c r="BJ55" s="126">
        <f t="shared" si="31"/>
        <v>-2.6373593521720942</v>
      </c>
      <c r="BL55" s="126">
        <f t="shared" si="9"/>
        <v>-29.879999999999995</v>
      </c>
      <c r="BM55" s="126">
        <f t="shared" si="10"/>
        <v>-35.474899999999998</v>
      </c>
      <c r="BN55" s="126">
        <f t="shared" si="11"/>
        <v>-5.5949000000000026</v>
      </c>
      <c r="BP55" s="126">
        <f t="shared" si="12"/>
        <v>7.8400000000000016</v>
      </c>
      <c r="BQ55" s="126">
        <f t="shared" si="13"/>
        <v>-3.6671000000000191</v>
      </c>
      <c r="BR55" s="126">
        <f t="shared" si="14"/>
        <v>-11.507100000000021</v>
      </c>
      <c r="BT55" s="126">
        <f t="shared" si="15"/>
        <v>-39.79999999999999</v>
      </c>
      <c r="BU55" s="126">
        <f t="shared" si="16"/>
        <v>-46.502709999999979</v>
      </c>
      <c r="BV55" s="126">
        <f t="shared" si="17"/>
        <v>-6.7027099999999891</v>
      </c>
      <c r="CC55">
        <f t="shared" si="32"/>
        <v>28.023999999999987</v>
      </c>
    </row>
    <row r="56" spans="1:81" x14ac:dyDescent="0.2">
      <c r="A56">
        <v>11.38</v>
      </c>
      <c r="B56">
        <v>179.20000000000002</v>
      </c>
      <c r="C56">
        <v>273.5</v>
      </c>
      <c r="D56" s="126">
        <f t="shared" si="18"/>
        <v>11.474300000000001</v>
      </c>
      <c r="E56">
        <v>4313</v>
      </c>
      <c r="F56">
        <v>10912</v>
      </c>
      <c r="G56">
        <v>7316</v>
      </c>
      <c r="H56" s="126">
        <f t="shared" si="19"/>
        <v>0.71699999999999997</v>
      </c>
      <c r="J56">
        <v>2.75</v>
      </c>
      <c r="K56">
        <v>14.93</v>
      </c>
      <c r="L56">
        <v>3.7600000000000002</v>
      </c>
      <c r="M56" s="126">
        <f t="shared" si="20"/>
        <v>-8.42</v>
      </c>
      <c r="N56">
        <v>-2583</v>
      </c>
      <c r="O56">
        <v>8113</v>
      </c>
      <c r="P56">
        <v>18903</v>
      </c>
      <c r="Q56" s="126">
        <f t="shared" si="21"/>
        <v>8.2070000000000007</v>
      </c>
      <c r="R56">
        <v>11.38</v>
      </c>
      <c r="S56">
        <v>108.99000000000001</v>
      </c>
      <c r="T56">
        <v>122.13</v>
      </c>
      <c r="U56" s="126">
        <f t="shared" si="22"/>
        <v>24.519999999999989</v>
      </c>
      <c r="V56">
        <v>-10.71</v>
      </c>
      <c r="W56">
        <v>15.98</v>
      </c>
      <c r="X56">
        <v>17.150000000000002</v>
      </c>
      <c r="Y56" s="126">
        <f t="shared" si="23"/>
        <v>-9.5399999999999991</v>
      </c>
      <c r="Z56">
        <v>3.61</v>
      </c>
      <c r="AA56">
        <v>66.900000000000006</v>
      </c>
      <c r="AB56">
        <v>87.42</v>
      </c>
      <c r="AC56" s="126">
        <f t="shared" si="24"/>
        <v>24.129999999999995</v>
      </c>
      <c r="AF56" s="128">
        <v>39309</v>
      </c>
      <c r="AG56" s="144">
        <v>-1338.5330000000001</v>
      </c>
      <c r="AH56" s="142">
        <f>SUM($AG$1:AG56)/1000</f>
        <v>-64.898570000000021</v>
      </c>
      <c r="AI56" s="142">
        <f t="shared" si="33"/>
        <v>1.7605410000000035</v>
      </c>
      <c r="AJ56" s="147">
        <f t="shared" si="25"/>
        <v>-20224</v>
      </c>
      <c r="AK56" s="143">
        <v>-20.224</v>
      </c>
      <c r="AL56" s="142">
        <f t="shared" si="34"/>
        <v>4.4317905997580418</v>
      </c>
      <c r="AM56" s="144">
        <v>-1667.4</v>
      </c>
      <c r="AN56" s="142">
        <f>SUM($AM$1:AM56)/1000</f>
        <v>-54.386600000000001</v>
      </c>
      <c r="AO56" s="142">
        <f t="shared" si="35"/>
        <v>33.80749999999999</v>
      </c>
      <c r="AP56" s="144">
        <v>-344.8</v>
      </c>
      <c r="AQ56" s="145">
        <f>SUM($AP$1:AP56)/1000</f>
        <v>-80.013300000000001</v>
      </c>
      <c r="AR56" s="142">
        <f t="shared" si="36"/>
        <v>3.3223000000000127</v>
      </c>
      <c r="AS56" s="144">
        <v>-7653.17</v>
      </c>
      <c r="AT56" s="142">
        <f>SUM($AS$1:AS56)/1000</f>
        <v>-294.29890999999992</v>
      </c>
      <c r="AU56" s="142">
        <f t="shared" si="37"/>
        <v>38.84953999999999</v>
      </c>
      <c r="AV56" s="144">
        <v>9522</v>
      </c>
      <c r="AW56" s="142">
        <f>SUM($AV$1:AV56)/1000</f>
        <v>509.61599999999999</v>
      </c>
      <c r="AX56" s="142">
        <f t="shared" si="38"/>
        <v>-60.898500000000013</v>
      </c>
      <c r="AZ56" s="126">
        <f t="shared" si="26"/>
        <v>-11.474300000000001</v>
      </c>
      <c r="BA56" s="126">
        <f t="shared" si="6"/>
        <v>60.898500000000013</v>
      </c>
      <c r="BB56" s="126">
        <f t="shared" si="7"/>
        <v>-72.372800000000012</v>
      </c>
      <c r="BD56" s="126">
        <f t="shared" si="27"/>
        <v>8.42</v>
      </c>
      <c r="BE56" s="126">
        <f t="shared" si="28"/>
        <v>-1.7605410000000035</v>
      </c>
      <c r="BF56" s="126">
        <f t="shared" si="8"/>
        <v>-10.180541000000003</v>
      </c>
      <c r="BH56" s="126">
        <f t="shared" si="29"/>
        <v>-8.2070000000000007</v>
      </c>
      <c r="BI56" s="126">
        <f t="shared" si="30"/>
        <v>-4.4317905997580418</v>
      </c>
      <c r="BJ56" s="126">
        <f t="shared" si="31"/>
        <v>3.7752094002419589</v>
      </c>
      <c r="BL56" s="126">
        <f t="shared" si="9"/>
        <v>-24.519999999999989</v>
      </c>
      <c r="BM56" s="126">
        <f t="shared" si="10"/>
        <v>-33.80749999999999</v>
      </c>
      <c r="BN56" s="126">
        <f t="shared" si="11"/>
        <v>-9.2875000000000014</v>
      </c>
      <c r="BP56" s="126">
        <f t="shared" si="12"/>
        <v>9.5399999999999991</v>
      </c>
      <c r="BQ56" s="126">
        <f t="shared" si="13"/>
        <v>-3.3223000000000127</v>
      </c>
      <c r="BR56" s="126">
        <f t="shared" si="14"/>
        <v>-12.862300000000012</v>
      </c>
      <c r="BT56" s="126">
        <f t="shared" si="15"/>
        <v>-24.129999999999995</v>
      </c>
      <c r="BU56" s="126">
        <f t="shared" si="16"/>
        <v>-38.84953999999999</v>
      </c>
      <c r="BV56" s="126">
        <f t="shared" si="17"/>
        <v>-14.719539999999995</v>
      </c>
      <c r="CC56">
        <f t="shared" si="32"/>
        <v>14.376999999999997</v>
      </c>
    </row>
    <row r="57" spans="1:81" x14ac:dyDescent="0.2">
      <c r="A57">
        <v>7.15</v>
      </c>
      <c r="B57">
        <v>179.20000000000002</v>
      </c>
      <c r="C57">
        <v>275.40000000000003</v>
      </c>
      <c r="D57" s="126">
        <f t="shared" si="18"/>
        <v>7.2462</v>
      </c>
      <c r="E57">
        <v>4230</v>
      </c>
      <c r="F57">
        <v>10911</v>
      </c>
      <c r="G57">
        <v>7398</v>
      </c>
      <c r="H57" s="126">
        <f t="shared" si="19"/>
        <v>0.71699999999999997</v>
      </c>
      <c r="J57">
        <v>2.4500000000000002</v>
      </c>
      <c r="K57">
        <v>14.93</v>
      </c>
      <c r="L57">
        <v>3.35</v>
      </c>
      <c r="M57" s="126">
        <f t="shared" si="20"/>
        <v>-9.129999999999999</v>
      </c>
      <c r="N57">
        <v>-2204</v>
      </c>
      <c r="O57">
        <v>8117</v>
      </c>
      <c r="P57">
        <v>19191</v>
      </c>
      <c r="Q57" s="126">
        <f t="shared" si="21"/>
        <v>8.8699999999999992</v>
      </c>
      <c r="R57">
        <v>7.15</v>
      </c>
      <c r="S57">
        <v>109.03</v>
      </c>
      <c r="T57">
        <v>122.14</v>
      </c>
      <c r="U57" s="126">
        <f t="shared" si="22"/>
        <v>20.259999999999998</v>
      </c>
      <c r="V57">
        <v>-9.7000000000000011</v>
      </c>
      <c r="W57">
        <v>15.98</v>
      </c>
      <c r="X57">
        <v>16.96</v>
      </c>
      <c r="Y57" s="126">
        <f t="shared" si="23"/>
        <v>-8.7200000000000006</v>
      </c>
      <c r="Z57">
        <v>-4.8600000000000003</v>
      </c>
      <c r="AA57">
        <v>66.94</v>
      </c>
      <c r="AB57">
        <v>86.59</v>
      </c>
      <c r="AC57" s="126">
        <f t="shared" si="24"/>
        <v>14.790000000000006</v>
      </c>
      <c r="AF57" s="128">
        <v>39340</v>
      </c>
      <c r="AG57" s="144">
        <v>-1519.1890000000001</v>
      </c>
      <c r="AH57" s="142">
        <f>SUM($AG$1:AG57)/1000</f>
        <v>-66.417759000000018</v>
      </c>
      <c r="AI57" s="142">
        <f t="shared" si="33"/>
        <v>0.24135200000000623</v>
      </c>
      <c r="AJ57" s="147">
        <f t="shared" si="25"/>
        <v>-20956.512023862004</v>
      </c>
      <c r="AK57" s="143">
        <v>-20.956512023862004</v>
      </c>
      <c r="AL57" s="142">
        <f t="shared" si="34"/>
        <v>3.699278575896038</v>
      </c>
      <c r="AM57" s="144">
        <v>-1086.3</v>
      </c>
      <c r="AN57" s="142">
        <f>SUM($AM$1:AM57)/1000</f>
        <v>-55.472900000000003</v>
      </c>
      <c r="AO57" s="142">
        <f t="shared" si="35"/>
        <v>32.721199999999989</v>
      </c>
      <c r="AP57" s="144">
        <v>-1707.1000000000001</v>
      </c>
      <c r="AQ57" s="145">
        <f>SUM($AP$1:AP57)/1000</f>
        <v>-81.720400000000012</v>
      </c>
      <c r="AR57" s="142">
        <f t="shared" si="36"/>
        <v>1.6152000000000015</v>
      </c>
      <c r="AS57" s="144">
        <v>-9188.33</v>
      </c>
      <c r="AT57" s="142">
        <f>SUM($AS$1:AS57)/1000</f>
        <v>-303.48723999999993</v>
      </c>
      <c r="AU57" s="142">
        <f t="shared" si="37"/>
        <v>29.661209999999983</v>
      </c>
      <c r="AV57" s="144">
        <v>16798</v>
      </c>
      <c r="AW57" s="142">
        <f>SUM($AV$1:AV57)/1000</f>
        <v>526.41399999999999</v>
      </c>
      <c r="AX57" s="142">
        <f t="shared" si="38"/>
        <v>-44.100500000000011</v>
      </c>
      <c r="AZ57" s="126">
        <f t="shared" si="26"/>
        <v>-7.2462</v>
      </c>
      <c r="BA57" s="126">
        <f t="shared" si="6"/>
        <v>44.100500000000011</v>
      </c>
      <c r="BB57" s="126">
        <f t="shared" si="7"/>
        <v>-51.346700000000013</v>
      </c>
      <c r="BD57" s="126">
        <f t="shared" si="27"/>
        <v>9.129999999999999</v>
      </c>
      <c r="BE57" s="126">
        <f t="shared" si="28"/>
        <v>-0.24135200000000623</v>
      </c>
      <c r="BF57" s="126">
        <f t="shared" si="8"/>
        <v>-9.3713520000000052</v>
      </c>
      <c r="BH57" s="126">
        <f t="shared" si="29"/>
        <v>-8.8699999999999992</v>
      </c>
      <c r="BI57" s="126">
        <f t="shared" si="30"/>
        <v>-3.699278575896038</v>
      </c>
      <c r="BJ57" s="126">
        <f t="shared" si="31"/>
        <v>5.1707214241039612</v>
      </c>
      <c r="BL57" s="126">
        <f t="shared" si="9"/>
        <v>-20.259999999999998</v>
      </c>
      <c r="BM57" s="126">
        <f t="shared" si="10"/>
        <v>-32.721199999999989</v>
      </c>
      <c r="BN57" s="126">
        <f t="shared" si="11"/>
        <v>-12.461199999999991</v>
      </c>
      <c r="BP57" s="126">
        <f t="shared" si="12"/>
        <v>8.7200000000000006</v>
      </c>
      <c r="BQ57" s="126">
        <f t="shared" si="13"/>
        <v>-1.6152000000000015</v>
      </c>
      <c r="BR57" s="126">
        <f t="shared" si="14"/>
        <v>-10.335200000000002</v>
      </c>
      <c r="BT57" s="126">
        <f t="shared" si="15"/>
        <v>-14.790000000000006</v>
      </c>
      <c r="BU57" s="126">
        <f t="shared" si="16"/>
        <v>-29.661209999999983</v>
      </c>
      <c r="BV57" s="126">
        <f t="shared" si="17"/>
        <v>-14.871209999999977</v>
      </c>
      <c r="CC57">
        <f t="shared" si="32"/>
        <v>5.8100000000000058</v>
      </c>
    </row>
    <row r="58" spans="1:81" x14ac:dyDescent="0.2">
      <c r="A58">
        <v>19.36</v>
      </c>
      <c r="B58">
        <v>180.5</v>
      </c>
      <c r="C58">
        <v>278</v>
      </c>
      <c r="D58" s="126">
        <f t="shared" si="18"/>
        <v>19.4575</v>
      </c>
      <c r="E58">
        <v>4268</v>
      </c>
      <c r="F58">
        <v>10988</v>
      </c>
      <c r="G58">
        <v>7437</v>
      </c>
      <c r="H58" s="126">
        <f t="shared" si="19"/>
        <v>0.71699999999999997</v>
      </c>
      <c r="J58">
        <v>1.77</v>
      </c>
      <c r="K58">
        <v>15.040000000000001</v>
      </c>
      <c r="L58">
        <v>3.12</v>
      </c>
      <c r="M58" s="126">
        <f t="shared" si="20"/>
        <v>-10.150000000000002</v>
      </c>
      <c r="N58">
        <v>-2433</v>
      </c>
      <c r="O58">
        <v>8175</v>
      </c>
      <c r="P58">
        <v>19619</v>
      </c>
      <c r="Q58" s="126">
        <f t="shared" si="21"/>
        <v>9.0109999999999992</v>
      </c>
      <c r="R58">
        <v>19.36</v>
      </c>
      <c r="S58">
        <v>109.8</v>
      </c>
      <c r="T58">
        <v>122.83</v>
      </c>
      <c r="U58" s="126">
        <f t="shared" si="22"/>
        <v>32.39</v>
      </c>
      <c r="V58">
        <v>-9.6300000000000008</v>
      </c>
      <c r="W58">
        <v>16.09</v>
      </c>
      <c r="X58">
        <v>16.649999999999999</v>
      </c>
      <c r="Y58" s="126">
        <f t="shared" si="23"/>
        <v>-9.0700000000000021</v>
      </c>
      <c r="Z58">
        <v>-7.59</v>
      </c>
      <c r="AA58">
        <v>67.42</v>
      </c>
      <c r="AB58">
        <v>86.100000000000009</v>
      </c>
      <c r="AC58" s="126">
        <f t="shared" si="24"/>
        <v>11.090000000000007</v>
      </c>
      <c r="AF58" s="128">
        <v>39370</v>
      </c>
      <c r="AG58" s="144">
        <v>-1389.0730000000001</v>
      </c>
      <c r="AH58" s="142">
        <f>SUM($AG$1:AG58)/1000</f>
        <v>-67.806832000000028</v>
      </c>
      <c r="AI58" s="142">
        <f t="shared" si="33"/>
        <v>-1.1477210000000042</v>
      </c>
      <c r="AJ58" s="147">
        <f t="shared" si="25"/>
        <v>-21860.91042328715</v>
      </c>
      <c r="AK58" s="143">
        <v>-21.860910423287152</v>
      </c>
      <c r="AL58" s="142">
        <f t="shared" si="34"/>
        <v>2.7948801764708904</v>
      </c>
      <c r="AM58" s="144">
        <v>17.100000000000001</v>
      </c>
      <c r="AN58" s="142">
        <f>SUM($AM$1:AM58)/1000</f>
        <v>-55.455800000000004</v>
      </c>
      <c r="AO58" s="142">
        <f t="shared" si="35"/>
        <v>32.738299999999988</v>
      </c>
      <c r="AP58" s="144">
        <v>-2929.6</v>
      </c>
      <c r="AQ58" s="145">
        <f>SUM($AP$1:AP58)/1000</f>
        <v>-84.65000000000002</v>
      </c>
      <c r="AR58" s="142">
        <f t="shared" si="36"/>
        <v>-1.3144000000000062</v>
      </c>
      <c r="AS58" s="144">
        <v>-9145.5500000000011</v>
      </c>
      <c r="AT58" s="142">
        <f>SUM($AS$1:AS58)/1000</f>
        <v>-312.63278999999994</v>
      </c>
      <c r="AU58" s="142">
        <f t="shared" si="37"/>
        <v>20.515659999999968</v>
      </c>
      <c r="AV58" s="144">
        <v>16828</v>
      </c>
      <c r="AW58" s="142">
        <f>SUM($AV$1:AV58)/1000</f>
        <v>543.24199999999996</v>
      </c>
      <c r="AX58" s="142">
        <f t="shared" si="38"/>
        <v>-27.272500000000036</v>
      </c>
      <c r="AZ58" s="126">
        <f t="shared" si="26"/>
        <v>-19.4575</v>
      </c>
      <c r="BA58" s="126">
        <f t="shared" si="6"/>
        <v>27.272500000000036</v>
      </c>
      <c r="BB58" s="126">
        <f t="shared" si="7"/>
        <v>-46.730000000000032</v>
      </c>
      <c r="BD58" s="126">
        <f t="shared" si="27"/>
        <v>10.150000000000002</v>
      </c>
      <c r="BE58" s="126">
        <f t="shared" si="28"/>
        <v>1.1477210000000042</v>
      </c>
      <c r="BF58" s="126">
        <f t="shared" si="8"/>
        <v>-9.0022789999999979</v>
      </c>
      <c r="BH58" s="126">
        <f t="shared" si="29"/>
        <v>-9.0109999999999992</v>
      </c>
      <c r="BI58" s="126">
        <f t="shared" si="30"/>
        <v>-2.7948801764708904</v>
      </c>
      <c r="BJ58" s="126">
        <f t="shared" si="31"/>
        <v>6.2161198235291089</v>
      </c>
      <c r="BL58" s="126">
        <f t="shared" si="9"/>
        <v>-32.39</v>
      </c>
      <c r="BM58" s="126">
        <f t="shared" si="10"/>
        <v>-32.738299999999988</v>
      </c>
      <c r="BN58" s="126">
        <f t="shared" si="11"/>
        <v>-0.34829999999998762</v>
      </c>
      <c r="BP58" s="126">
        <f t="shared" si="12"/>
        <v>9.0700000000000021</v>
      </c>
      <c r="BQ58" s="126">
        <f t="shared" si="13"/>
        <v>1.3144000000000062</v>
      </c>
      <c r="BR58" s="126">
        <f t="shared" si="14"/>
        <v>-7.7555999999999958</v>
      </c>
      <c r="BT58" s="126">
        <f t="shared" si="15"/>
        <v>-11.090000000000007</v>
      </c>
      <c r="BU58" s="126">
        <f t="shared" si="16"/>
        <v>-20.515659999999968</v>
      </c>
      <c r="BV58" s="126">
        <f t="shared" si="17"/>
        <v>-9.4256599999999615</v>
      </c>
      <c r="CC58">
        <f t="shared" si="32"/>
        <v>0.881000000000002</v>
      </c>
    </row>
    <row r="59" spans="1:81" x14ac:dyDescent="0.2">
      <c r="A59">
        <v>7.99</v>
      </c>
      <c r="B59">
        <v>181.60000000000002</v>
      </c>
      <c r="C59">
        <v>280.10000000000002</v>
      </c>
      <c r="D59" s="126">
        <f t="shared" si="18"/>
        <v>8.0884999999999998</v>
      </c>
      <c r="E59">
        <v>4176</v>
      </c>
      <c r="F59">
        <v>11058</v>
      </c>
      <c r="G59">
        <v>7599</v>
      </c>
      <c r="H59" s="126">
        <f t="shared" si="19"/>
        <v>0.71699999999999997</v>
      </c>
      <c r="J59">
        <v>1.34</v>
      </c>
      <c r="K59">
        <v>15.120000000000001</v>
      </c>
      <c r="L59">
        <v>3.06</v>
      </c>
      <c r="M59" s="126">
        <f t="shared" si="20"/>
        <v>-10.72</v>
      </c>
      <c r="N59">
        <v>-8278</v>
      </c>
      <c r="O59">
        <v>8232</v>
      </c>
      <c r="P59">
        <v>19795</v>
      </c>
      <c r="Q59" s="126">
        <f t="shared" si="21"/>
        <v>3.2850000000000001</v>
      </c>
      <c r="R59">
        <v>7.99</v>
      </c>
      <c r="S59">
        <v>110.47</v>
      </c>
      <c r="T59">
        <v>123.95</v>
      </c>
      <c r="U59" s="126">
        <f t="shared" si="22"/>
        <v>21.470000000000006</v>
      </c>
      <c r="V59">
        <v>-10.28</v>
      </c>
      <c r="W59">
        <v>16.2</v>
      </c>
      <c r="X59">
        <v>16.98</v>
      </c>
      <c r="Y59" s="126">
        <f t="shared" si="23"/>
        <v>-9.4999999999999982</v>
      </c>
      <c r="Z59">
        <v>-14.66</v>
      </c>
      <c r="AA59">
        <v>67.81</v>
      </c>
      <c r="AB59">
        <v>85.81</v>
      </c>
      <c r="AC59" s="126">
        <f t="shared" si="24"/>
        <v>3.34</v>
      </c>
      <c r="AF59" s="128">
        <v>39401</v>
      </c>
      <c r="AG59" s="144">
        <v>-2105.0100000000002</v>
      </c>
      <c r="AH59" s="142">
        <f>SUM($AG$1:AG59)/1000</f>
        <v>-69.911842000000021</v>
      </c>
      <c r="AI59" s="142">
        <f t="shared" si="33"/>
        <v>-3.2527309999999972</v>
      </c>
      <c r="AJ59" s="147">
        <f t="shared" si="25"/>
        <v>-22987</v>
      </c>
      <c r="AK59" s="143">
        <v>-22.986999999999998</v>
      </c>
      <c r="AL59" s="142">
        <f t="shared" si="34"/>
        <v>1.6687905997580437</v>
      </c>
      <c r="AM59" s="144">
        <v>-2359.2000000000003</v>
      </c>
      <c r="AN59" s="142">
        <f>SUM($AM$1:AM59)/1000</f>
        <v>-57.814999999999998</v>
      </c>
      <c r="AO59" s="142">
        <f t="shared" si="35"/>
        <v>30.379099999999994</v>
      </c>
      <c r="AP59" s="144">
        <v>-3478.3</v>
      </c>
      <c r="AQ59" s="145">
        <f>SUM($AP$1:AP59)/1000</f>
        <v>-88.128300000000024</v>
      </c>
      <c r="AR59" s="142">
        <f t="shared" si="36"/>
        <v>-4.7927000000000106</v>
      </c>
      <c r="AS59" s="144">
        <v>-10408.48</v>
      </c>
      <c r="AT59" s="142">
        <f>SUM($AS$1:AS59)/1000</f>
        <v>-323.04126999999988</v>
      </c>
      <c r="AU59" s="142">
        <f t="shared" si="37"/>
        <v>10.107180000000028</v>
      </c>
      <c r="AV59" s="144">
        <v>19658</v>
      </c>
      <c r="AW59" s="142">
        <f>SUM($AV$1:AV59)/1000</f>
        <v>562.9</v>
      </c>
      <c r="AX59" s="142">
        <f t="shared" si="38"/>
        <v>-7.6145000000000209</v>
      </c>
      <c r="AZ59" s="126">
        <f t="shared" si="26"/>
        <v>-8.0884999999999998</v>
      </c>
      <c r="BA59" s="126">
        <f t="shared" si="6"/>
        <v>7.6145000000000209</v>
      </c>
      <c r="BB59" s="126">
        <f t="shared" si="7"/>
        <v>-15.703000000000021</v>
      </c>
      <c r="BD59" s="126">
        <f t="shared" si="27"/>
        <v>10.72</v>
      </c>
      <c r="BE59" s="126">
        <f t="shared" si="28"/>
        <v>3.2527309999999972</v>
      </c>
      <c r="BF59" s="126">
        <f t="shared" si="8"/>
        <v>-7.4672690000000035</v>
      </c>
      <c r="BH59" s="126">
        <f t="shared" si="29"/>
        <v>-3.2850000000000001</v>
      </c>
      <c r="BI59" s="126">
        <f t="shared" si="30"/>
        <v>-1.6687905997580437</v>
      </c>
      <c r="BJ59" s="126">
        <f t="shared" si="31"/>
        <v>1.6162094002419565</v>
      </c>
      <c r="BL59" s="126">
        <f t="shared" si="9"/>
        <v>-21.470000000000006</v>
      </c>
      <c r="BM59" s="126">
        <f t="shared" si="10"/>
        <v>-30.379099999999994</v>
      </c>
      <c r="BN59" s="126">
        <f t="shared" si="11"/>
        <v>-8.909099999999988</v>
      </c>
      <c r="BP59" s="126">
        <f t="shared" si="12"/>
        <v>9.4999999999999982</v>
      </c>
      <c r="BQ59" s="126">
        <f t="shared" si="13"/>
        <v>4.7927000000000106</v>
      </c>
      <c r="BR59" s="126">
        <f t="shared" si="14"/>
        <v>-4.7072999999999876</v>
      </c>
      <c r="BT59" s="126">
        <f t="shared" si="15"/>
        <v>-3.34</v>
      </c>
      <c r="BU59" s="126">
        <f t="shared" si="16"/>
        <v>-10.107180000000028</v>
      </c>
      <c r="BV59" s="126">
        <f t="shared" si="17"/>
        <v>-6.7671800000000282</v>
      </c>
      <c r="CC59">
        <f t="shared" si="32"/>
        <v>-13.594999999999999</v>
      </c>
    </row>
    <row r="60" spans="1:81" s="126" customFormat="1" x14ac:dyDescent="0.2">
      <c r="A60" s="162">
        <v>10.53</v>
      </c>
      <c r="B60" s="162">
        <v>190.10000000000002</v>
      </c>
      <c r="C60" s="162">
        <v>289.60000000000002</v>
      </c>
      <c r="D60" s="162">
        <f t="shared" si="18"/>
        <v>10.6295</v>
      </c>
      <c r="E60" s="162">
        <v>4433</v>
      </c>
      <c r="F60" s="162">
        <v>11578</v>
      </c>
      <c r="G60" s="162">
        <v>7862</v>
      </c>
      <c r="H60" s="162">
        <f t="shared" si="19"/>
        <v>0.71699999999999997</v>
      </c>
      <c r="I60" s="162"/>
      <c r="J60" s="162">
        <v>7.09</v>
      </c>
      <c r="K60" s="162">
        <v>15.83</v>
      </c>
      <c r="L60" s="162">
        <v>3.52</v>
      </c>
      <c r="M60" s="162">
        <f t="shared" si="20"/>
        <v>-5.2200000000000006</v>
      </c>
      <c r="N60" s="162">
        <v>-11985</v>
      </c>
      <c r="O60" s="162">
        <v>8611</v>
      </c>
      <c r="P60" s="162">
        <v>20912</v>
      </c>
      <c r="Q60" s="162">
        <f t="shared" si="21"/>
        <v>0.316</v>
      </c>
      <c r="R60" s="162">
        <v>10.53</v>
      </c>
      <c r="S60" s="162">
        <v>115.62</v>
      </c>
      <c r="T60" s="162">
        <v>131.87</v>
      </c>
      <c r="U60" s="162">
        <f t="shared" si="22"/>
        <v>26.78</v>
      </c>
      <c r="V60" s="162">
        <v>-12.15</v>
      </c>
      <c r="W60" s="162">
        <v>16.940000000000001</v>
      </c>
      <c r="X60" s="162">
        <v>19.34</v>
      </c>
      <c r="Y60" s="162">
        <f t="shared" si="23"/>
        <v>-9.7500000000000018</v>
      </c>
      <c r="Z60" s="162">
        <v>-16.830000000000002</v>
      </c>
      <c r="AA60" s="162">
        <v>70.92</v>
      </c>
      <c r="AB60" s="162">
        <v>88.820000000000007</v>
      </c>
      <c r="AC60" s="162">
        <f t="shared" si="24"/>
        <v>1.0700000000000038</v>
      </c>
      <c r="AD60" s="163"/>
      <c r="AE60" s="163"/>
      <c r="AF60" s="164">
        <v>39431</v>
      </c>
      <c r="AG60" s="162">
        <v>-1967.269</v>
      </c>
      <c r="AH60" s="162">
        <f>SUM($AG$1:AG60)/1000</f>
        <v>-71.879111000000023</v>
      </c>
      <c r="AI60" s="162">
        <f t="shared" si="33"/>
        <v>-5.2199999999999989</v>
      </c>
      <c r="AJ60" s="165">
        <f t="shared" si="25"/>
        <v>-24339.790599758042</v>
      </c>
      <c r="AK60" s="165">
        <v>-24.339790599758043</v>
      </c>
      <c r="AL60" s="162">
        <f t="shared" si="34"/>
        <v>0.31599999999999895</v>
      </c>
      <c r="AM60" s="162">
        <v>-3599.1000000000004</v>
      </c>
      <c r="AN60" s="162">
        <f>SUM($AM$1:AM60)/1000</f>
        <v>-61.414099999999998</v>
      </c>
      <c r="AO60" s="162">
        <f t="shared" si="35"/>
        <v>26.779999999999994</v>
      </c>
      <c r="AP60" s="162">
        <v>-4957.3</v>
      </c>
      <c r="AQ60" s="166">
        <f>SUM($AP$1:AP60)/1000</f>
        <v>-93.085600000000014</v>
      </c>
      <c r="AR60" s="162">
        <f t="shared" si="36"/>
        <v>-9.75</v>
      </c>
      <c r="AS60" s="162">
        <v>-9037.18</v>
      </c>
      <c r="AT60" s="162">
        <f>SUM($AS$1:AS60)/1000</f>
        <v>-332.07844999999992</v>
      </c>
      <c r="AU60" s="162">
        <f t="shared" si="37"/>
        <v>1.0699999999999932</v>
      </c>
      <c r="AV60" s="162">
        <v>18244</v>
      </c>
      <c r="AW60" s="162">
        <f>SUM($AV$1:AV60)/1000</f>
        <v>581.14400000000001</v>
      </c>
      <c r="AX60" s="162">
        <f t="shared" si="38"/>
        <v>10.629500000000007</v>
      </c>
      <c r="AY60" s="162"/>
      <c r="AZ60" s="162">
        <f t="shared" si="26"/>
        <v>-10.6295</v>
      </c>
      <c r="BA60" s="162">
        <f>-AX60</f>
        <v>-10.629500000000007</v>
      </c>
      <c r="BB60" s="162">
        <f>AZ60-BA60</f>
        <v>0</v>
      </c>
      <c r="BC60" s="163"/>
      <c r="BD60" s="162">
        <f t="shared" si="27"/>
        <v>5.2200000000000006</v>
      </c>
      <c r="BE60" s="162">
        <f t="shared" si="28"/>
        <v>5.2199999999999989</v>
      </c>
      <c r="BF60" s="162">
        <f>BD60-BE60</f>
        <v>0</v>
      </c>
      <c r="BG60" s="162"/>
      <c r="BH60" s="162">
        <f t="shared" si="29"/>
        <v>-0.316</v>
      </c>
      <c r="BI60" s="162">
        <f t="shared" si="30"/>
        <v>-0.31599999999999895</v>
      </c>
      <c r="BJ60" s="162">
        <f t="shared" si="31"/>
        <v>1.0547118733938987E-15</v>
      </c>
      <c r="BK60" s="162"/>
      <c r="BL60" s="162">
        <f>-U60</f>
        <v>-26.78</v>
      </c>
      <c r="BM60" s="162">
        <f>-AO60</f>
        <v>-26.779999999999994</v>
      </c>
      <c r="BN60" s="162">
        <f>BM60-BL60</f>
        <v>0</v>
      </c>
      <c r="BO60" s="162"/>
      <c r="BP60" s="162">
        <f>-Y60</f>
        <v>9.7500000000000018</v>
      </c>
      <c r="BQ60" s="162">
        <f>-AR60</f>
        <v>9.75</v>
      </c>
      <c r="BR60" s="162">
        <f>BQ60-BP60</f>
        <v>0</v>
      </c>
      <c r="BS60" s="162"/>
      <c r="BT60" s="162">
        <f>-AC60</f>
        <v>-1.0700000000000038</v>
      </c>
      <c r="BU60" s="162">
        <f>-AU60</f>
        <v>-1.0699999999999932</v>
      </c>
      <c r="BV60" s="162">
        <f>BU60-BT60</f>
        <v>1.0658141036401503E-14</v>
      </c>
      <c r="CC60" s="126">
        <f t="shared" si="32"/>
        <v>-13.583999999999998</v>
      </c>
    </row>
    <row r="61" spans="1:81" x14ac:dyDescent="0.2">
      <c r="A61">
        <v>18.25</v>
      </c>
      <c r="B61">
        <v>182.4</v>
      </c>
      <c r="C61">
        <v>282.60000000000002</v>
      </c>
      <c r="D61" s="126">
        <f t="shared" si="18"/>
        <v>18.350200000000001</v>
      </c>
      <c r="E61">
        <v>4208</v>
      </c>
      <c r="F61">
        <v>11110</v>
      </c>
      <c r="G61">
        <v>7619</v>
      </c>
      <c r="H61" s="126">
        <f t="shared" si="19"/>
        <v>0.71699999999999997</v>
      </c>
      <c r="J61">
        <v>1.58</v>
      </c>
      <c r="K61">
        <v>15.200000000000001</v>
      </c>
      <c r="L61">
        <v>2.7600000000000002</v>
      </c>
      <c r="M61" s="126">
        <f t="shared" si="20"/>
        <v>-10.860000000000001</v>
      </c>
      <c r="N61">
        <v>-12804</v>
      </c>
      <c r="O61">
        <v>8285</v>
      </c>
      <c r="P61">
        <v>20108</v>
      </c>
      <c r="Q61" s="126">
        <f t="shared" si="21"/>
        <v>-0.98099999999999998</v>
      </c>
      <c r="R61">
        <v>18.25</v>
      </c>
      <c r="S61">
        <v>110.99000000000001</v>
      </c>
      <c r="T61">
        <v>125.25</v>
      </c>
      <c r="U61" s="126">
        <f t="shared" si="22"/>
        <v>32.509999999999991</v>
      </c>
      <c r="V61">
        <v>-4.59</v>
      </c>
      <c r="W61">
        <v>16.27</v>
      </c>
      <c r="X61">
        <v>17.64</v>
      </c>
      <c r="Y61" s="126">
        <f t="shared" si="23"/>
        <v>-3.2199999999999989</v>
      </c>
      <c r="Z61">
        <v>-21.01</v>
      </c>
      <c r="AA61">
        <v>68.14</v>
      </c>
      <c r="AB61">
        <v>84.74</v>
      </c>
      <c r="AC61" s="126">
        <f t="shared" si="24"/>
        <v>-4.4100000000000072</v>
      </c>
      <c r="AF61" s="128">
        <v>39462</v>
      </c>
      <c r="AG61" s="144">
        <v>-1587.317</v>
      </c>
      <c r="AH61" s="142">
        <f>SUM($AG$1:AG61)/1000</f>
        <v>-73.466428000000008</v>
      </c>
      <c r="AI61" s="142">
        <f t="shared" si="33"/>
        <v>-6.8073169999999834</v>
      </c>
      <c r="AJ61" s="147">
        <f t="shared" si="25"/>
        <v>-25745.112244450622</v>
      </c>
      <c r="AK61" s="143">
        <v>-25.74511224445062</v>
      </c>
      <c r="AL61" s="142">
        <f t="shared" si="34"/>
        <v>-1.0893216446925784</v>
      </c>
      <c r="AM61" s="144">
        <v>-7002.4000000000005</v>
      </c>
      <c r="AN61" s="142">
        <f>SUM($AM$1:AM61)/1000</f>
        <v>-68.416499999999999</v>
      </c>
      <c r="AO61" s="142">
        <f t="shared" si="35"/>
        <v>19.777599999999993</v>
      </c>
      <c r="AP61" s="144">
        <v>-3914.2000000000003</v>
      </c>
      <c r="AQ61" s="145">
        <f>SUM($AP$1:AP61)/1000</f>
        <v>-96.999800000000022</v>
      </c>
      <c r="AR61" s="142">
        <f t="shared" si="36"/>
        <v>-13.664200000000008</v>
      </c>
      <c r="AS61" s="144">
        <v>-12219.92</v>
      </c>
      <c r="AT61" s="142">
        <f>SUM($AS$1:AS61)/1000</f>
        <v>-344.29836999999986</v>
      </c>
      <c r="AU61" s="142">
        <f t="shared" si="37"/>
        <v>-11.149919999999952</v>
      </c>
      <c r="AV61" s="144">
        <v>14244</v>
      </c>
      <c r="AW61" s="142">
        <f>SUM($AV$1:AV61)/1000</f>
        <v>595.38800000000003</v>
      </c>
      <c r="AX61" s="142">
        <f t="shared" si="38"/>
        <v>24.873500000000035</v>
      </c>
      <c r="AZ61" s="126">
        <f t="shared" si="26"/>
        <v>-18.350200000000001</v>
      </c>
      <c r="BA61" s="126">
        <f t="shared" ref="BA61:BA116" si="39">-AX61</f>
        <v>-24.873500000000035</v>
      </c>
      <c r="BB61" s="126">
        <f t="shared" ref="BB61:BB116" si="40">AZ61-BA61</f>
        <v>6.5233000000000345</v>
      </c>
      <c r="BD61" s="126">
        <f t="shared" si="27"/>
        <v>10.860000000000001</v>
      </c>
      <c r="BE61" s="126">
        <f t="shared" si="28"/>
        <v>6.8073169999999834</v>
      </c>
      <c r="BF61" s="126">
        <f t="shared" ref="BF61:BF119" si="41">BE61-BD61</f>
        <v>-4.0526830000000178</v>
      </c>
      <c r="BH61" s="126">
        <f t="shared" si="29"/>
        <v>0.98099999999999998</v>
      </c>
      <c r="BI61" s="126">
        <f t="shared" si="30"/>
        <v>1.0893216446925784</v>
      </c>
      <c r="BJ61" s="126">
        <f t="shared" si="31"/>
        <v>0.10832164469257843</v>
      </c>
      <c r="BL61" s="126">
        <f t="shared" ref="BL61:BL119" si="42">-U61</f>
        <v>-32.509999999999991</v>
      </c>
      <c r="BM61" s="126">
        <f t="shared" ref="BM61:BM119" si="43">-AO61</f>
        <v>-19.777599999999993</v>
      </c>
      <c r="BN61" s="126">
        <f t="shared" ref="BN61:BN116" si="44">BM61-BL61</f>
        <v>12.732399999999998</v>
      </c>
      <c r="BP61" s="126">
        <f t="shared" ref="BP61:BP119" si="45">-Y61</f>
        <v>3.2199999999999989</v>
      </c>
      <c r="BQ61" s="126">
        <f t="shared" ref="BQ61:BQ119" si="46">-AR61</f>
        <v>13.664200000000008</v>
      </c>
      <c r="BR61" s="126">
        <f t="shared" ref="BR61:BR119" si="47">BQ61-BP61</f>
        <v>10.444200000000009</v>
      </c>
      <c r="BT61" s="126">
        <f t="shared" ref="BT61:BT116" si="48">-AC61</f>
        <v>4.4100000000000072</v>
      </c>
      <c r="BU61" s="126">
        <f t="shared" ref="BU61:BU116" si="49">-AU61</f>
        <v>11.149919999999952</v>
      </c>
      <c r="BV61" s="126">
        <f t="shared" ref="BV61:BV116" si="50">BU61-BT61</f>
        <v>6.7399199999999446</v>
      </c>
      <c r="CC61">
        <f t="shared" si="32"/>
        <v>-19.471000000000011</v>
      </c>
    </row>
    <row r="62" spans="1:81" x14ac:dyDescent="0.2">
      <c r="A62">
        <v>16.670000000000002</v>
      </c>
      <c r="B62">
        <v>183.3</v>
      </c>
      <c r="C62">
        <v>285.60000000000002</v>
      </c>
      <c r="D62" s="126">
        <f t="shared" si="18"/>
        <v>16.772300000000001</v>
      </c>
      <c r="E62">
        <v>4203</v>
      </c>
      <c r="F62">
        <v>11165</v>
      </c>
      <c r="G62">
        <v>7679</v>
      </c>
      <c r="H62" s="126">
        <f t="shared" si="19"/>
        <v>0.71699999999999997</v>
      </c>
      <c r="J62">
        <v>2.14</v>
      </c>
      <c r="K62">
        <v>15.280000000000001</v>
      </c>
      <c r="L62">
        <v>2.69</v>
      </c>
      <c r="M62" s="126">
        <f t="shared" si="20"/>
        <v>-10.450000000000001</v>
      </c>
      <c r="N62">
        <v>-12593</v>
      </c>
      <c r="O62">
        <v>8326</v>
      </c>
      <c r="P62">
        <v>20256</v>
      </c>
      <c r="Q62" s="126">
        <f t="shared" si="21"/>
        <v>-0.66300000000000003</v>
      </c>
      <c r="R62">
        <v>16.670000000000002</v>
      </c>
      <c r="S62">
        <v>111.58</v>
      </c>
      <c r="T62">
        <v>125.59</v>
      </c>
      <c r="U62" s="126">
        <f t="shared" si="22"/>
        <v>30.680000000000007</v>
      </c>
      <c r="V62">
        <v>-2.39</v>
      </c>
      <c r="W62">
        <v>16.54</v>
      </c>
      <c r="X62">
        <v>17.84</v>
      </c>
      <c r="Y62" s="126">
        <f t="shared" si="23"/>
        <v>-1.0899999999999994</v>
      </c>
      <c r="Z62">
        <v>-20.21</v>
      </c>
      <c r="AA62">
        <v>68.47</v>
      </c>
      <c r="AB62">
        <v>84.210000000000008</v>
      </c>
      <c r="AC62" s="126">
        <f t="shared" si="24"/>
        <v>-4.4699999999999918</v>
      </c>
      <c r="AF62" s="128">
        <v>39493</v>
      </c>
      <c r="AG62" s="144">
        <v>-1789.4110000000001</v>
      </c>
      <c r="AH62" s="142">
        <f>SUM($AG$1:AG62)/1000</f>
        <v>-75.255839000000009</v>
      </c>
      <c r="AI62" s="142">
        <f t="shared" si="33"/>
        <v>-8.5967279999999846</v>
      </c>
      <c r="AJ62" s="147">
        <f t="shared" si="25"/>
        <v>-26984</v>
      </c>
      <c r="AK62" s="143">
        <v>-26.984000000000002</v>
      </c>
      <c r="AL62" s="142">
        <f t="shared" si="34"/>
        <v>-2.3282094002419598</v>
      </c>
      <c r="AM62" s="144">
        <v>-3876</v>
      </c>
      <c r="AN62" s="142">
        <f>SUM($AM$1:AM62)/1000</f>
        <v>-72.292500000000004</v>
      </c>
      <c r="AO62" s="142">
        <f t="shared" si="35"/>
        <v>15.901599999999988</v>
      </c>
      <c r="AP62" s="144">
        <v>-1909.7</v>
      </c>
      <c r="AQ62" s="145">
        <f>SUM($AP$1:AP62)/1000</f>
        <v>-98.909500000000008</v>
      </c>
      <c r="AR62" s="142">
        <f t="shared" si="36"/>
        <v>-15.573899999999995</v>
      </c>
      <c r="AS62" s="144">
        <v>-9150.66</v>
      </c>
      <c r="AT62" s="142">
        <f>SUM($AS$1:AS62)/1000</f>
        <v>-353.44902999999988</v>
      </c>
      <c r="AU62" s="142">
        <f t="shared" si="37"/>
        <v>-20.300579999999968</v>
      </c>
      <c r="AV62" s="144">
        <v>15078</v>
      </c>
      <c r="AW62" s="142">
        <f>SUM($AV$1:AV62)/1000</f>
        <v>610.46600000000001</v>
      </c>
      <c r="AX62" s="142">
        <f t="shared" si="38"/>
        <v>39.95150000000001</v>
      </c>
      <c r="AZ62" s="126">
        <f t="shared" si="26"/>
        <v>-16.772300000000001</v>
      </c>
      <c r="BA62" s="126">
        <f t="shared" si="39"/>
        <v>-39.95150000000001</v>
      </c>
      <c r="BB62" s="126">
        <f t="shared" si="40"/>
        <v>23.179200000000009</v>
      </c>
      <c r="BD62" s="126">
        <f t="shared" si="27"/>
        <v>10.450000000000001</v>
      </c>
      <c r="BE62" s="126">
        <f t="shared" si="28"/>
        <v>8.5967279999999846</v>
      </c>
      <c r="BF62" s="126">
        <f t="shared" si="41"/>
        <v>-1.8532720000000165</v>
      </c>
      <c r="BH62" s="126">
        <f t="shared" si="29"/>
        <v>0.66300000000000003</v>
      </c>
      <c r="BI62" s="126">
        <f t="shared" si="30"/>
        <v>2.3282094002419598</v>
      </c>
      <c r="BJ62" s="126">
        <f t="shared" si="31"/>
        <v>1.6652094002419597</v>
      </c>
      <c r="BL62" s="126">
        <f t="shared" si="42"/>
        <v>-30.680000000000007</v>
      </c>
      <c r="BM62" s="126">
        <f t="shared" si="43"/>
        <v>-15.901599999999988</v>
      </c>
      <c r="BN62" s="126">
        <f t="shared" si="44"/>
        <v>14.778400000000019</v>
      </c>
      <c r="BP62" s="126">
        <f t="shared" si="45"/>
        <v>1.0899999999999994</v>
      </c>
      <c r="BQ62" s="126">
        <f t="shared" si="46"/>
        <v>15.573899999999995</v>
      </c>
      <c r="BR62" s="126">
        <f t="shared" si="47"/>
        <v>14.483899999999995</v>
      </c>
      <c r="BT62" s="126">
        <f t="shared" si="48"/>
        <v>4.4699999999999918</v>
      </c>
      <c r="BU62" s="126">
        <f t="shared" si="49"/>
        <v>20.300579999999968</v>
      </c>
      <c r="BV62" s="126">
        <f t="shared" si="50"/>
        <v>15.830579999999976</v>
      </c>
      <c r="CC62">
        <f t="shared" si="32"/>
        <v>-16.672999999999991</v>
      </c>
    </row>
    <row r="63" spans="1:81" x14ac:dyDescent="0.2">
      <c r="A63">
        <v>32.61</v>
      </c>
      <c r="B63">
        <v>185.20000000000002</v>
      </c>
      <c r="C63">
        <v>289</v>
      </c>
      <c r="D63" s="126">
        <f t="shared" si="18"/>
        <v>32.713799999999999</v>
      </c>
      <c r="E63">
        <v>4240</v>
      </c>
      <c r="F63">
        <v>11282</v>
      </c>
      <c r="G63">
        <v>7759</v>
      </c>
      <c r="H63" s="126">
        <f t="shared" si="19"/>
        <v>0.71699999999999997</v>
      </c>
      <c r="J63">
        <v>3.11</v>
      </c>
      <c r="K63">
        <v>15.44</v>
      </c>
      <c r="L63">
        <v>2.61</v>
      </c>
      <c r="M63" s="126">
        <f t="shared" si="20"/>
        <v>-9.7200000000000006</v>
      </c>
      <c r="N63">
        <v>-11728</v>
      </c>
      <c r="O63">
        <v>8411</v>
      </c>
      <c r="P63">
        <v>20610</v>
      </c>
      <c r="Q63" s="126">
        <f t="shared" si="21"/>
        <v>0.47099999999999997</v>
      </c>
      <c r="R63">
        <v>32.61</v>
      </c>
      <c r="S63">
        <v>112.73</v>
      </c>
      <c r="T63">
        <v>126.77</v>
      </c>
      <c r="U63" s="126">
        <f t="shared" si="22"/>
        <v>46.649999999999991</v>
      </c>
      <c r="V63">
        <v>-7.61</v>
      </c>
      <c r="W63">
        <v>16.96</v>
      </c>
      <c r="X63">
        <v>18.21</v>
      </c>
      <c r="Y63" s="126">
        <f t="shared" si="23"/>
        <v>-6.36</v>
      </c>
      <c r="Z63">
        <v>-12.52</v>
      </c>
      <c r="AA63">
        <v>69.150000000000006</v>
      </c>
      <c r="AB63">
        <v>84.5</v>
      </c>
      <c r="AC63" s="126">
        <f t="shared" si="24"/>
        <v>2.8299999999999947</v>
      </c>
      <c r="AF63" s="128">
        <v>39522</v>
      </c>
      <c r="AG63" s="144">
        <v>-1748.758</v>
      </c>
      <c r="AH63" s="142">
        <f>SUM($AG$1:AG63)/1000</f>
        <v>-77.004597000000004</v>
      </c>
      <c r="AI63" s="142">
        <f t="shared" si="33"/>
        <v>-10.34548599999998</v>
      </c>
      <c r="AJ63" s="147">
        <f t="shared" si="25"/>
        <v>-27912.844095624332</v>
      </c>
      <c r="AK63" s="143">
        <v>-27.912844095624333</v>
      </c>
      <c r="AL63" s="142">
        <f t="shared" si="34"/>
        <v>-3.2570534958662911</v>
      </c>
      <c r="AM63" s="144">
        <v>-6372.5</v>
      </c>
      <c r="AN63" s="142">
        <f>SUM($AM$1:AM63)/1000</f>
        <v>-78.665000000000006</v>
      </c>
      <c r="AO63" s="142">
        <f t="shared" si="35"/>
        <v>9.5290999999999855</v>
      </c>
      <c r="AP63" s="144">
        <v>-3540.6</v>
      </c>
      <c r="AQ63" s="145">
        <f>SUM($AP$1:AP63)/1000</f>
        <v>-102.45010000000002</v>
      </c>
      <c r="AR63" s="142">
        <f t="shared" si="36"/>
        <v>-19.114500000000007</v>
      </c>
      <c r="AS63" s="144">
        <v>-9979.42</v>
      </c>
      <c r="AT63" s="142">
        <f>SUM($AS$1:AS63)/1000</f>
        <v>-363.42844999999983</v>
      </c>
      <c r="AU63" s="142">
        <f t="shared" si="37"/>
        <v>-30.279999999999916</v>
      </c>
      <c r="AV63" s="144">
        <v>16505</v>
      </c>
      <c r="AW63" s="142">
        <f>SUM($AV$1:AV63)/1000</f>
        <v>626.971</v>
      </c>
      <c r="AX63" s="142">
        <f t="shared" si="38"/>
        <v>56.456500000000005</v>
      </c>
      <c r="AZ63" s="126">
        <f t="shared" si="26"/>
        <v>-32.713799999999999</v>
      </c>
      <c r="BA63" s="126">
        <f t="shared" si="39"/>
        <v>-56.456500000000005</v>
      </c>
      <c r="BB63" s="126">
        <f t="shared" si="40"/>
        <v>23.742700000000006</v>
      </c>
      <c r="BD63" s="126">
        <f t="shared" si="27"/>
        <v>9.7200000000000006</v>
      </c>
      <c r="BE63" s="126">
        <f t="shared" si="28"/>
        <v>10.34548599999998</v>
      </c>
      <c r="BF63" s="126">
        <f t="shared" si="41"/>
        <v>0.62548599999997911</v>
      </c>
      <c r="BH63" s="126">
        <f t="shared" si="29"/>
        <v>-0.47099999999999997</v>
      </c>
      <c r="BI63" s="126">
        <f t="shared" si="30"/>
        <v>3.2570534958662911</v>
      </c>
      <c r="BJ63" s="126">
        <f t="shared" si="31"/>
        <v>3.7280534958662912</v>
      </c>
      <c r="BL63" s="126">
        <f t="shared" si="42"/>
        <v>-46.649999999999991</v>
      </c>
      <c r="BM63" s="126">
        <f t="shared" si="43"/>
        <v>-9.5290999999999855</v>
      </c>
      <c r="BN63" s="126">
        <f t="shared" si="44"/>
        <v>37.120900000000006</v>
      </c>
      <c r="BP63" s="126">
        <f t="shared" si="45"/>
        <v>6.36</v>
      </c>
      <c r="BQ63" s="126">
        <f t="shared" si="46"/>
        <v>19.114500000000007</v>
      </c>
      <c r="BR63" s="126">
        <f t="shared" si="47"/>
        <v>12.754500000000007</v>
      </c>
      <c r="BT63" s="126">
        <f t="shared" si="48"/>
        <v>-2.8299999999999947</v>
      </c>
      <c r="BU63" s="126">
        <f t="shared" si="49"/>
        <v>30.279999999999916</v>
      </c>
      <c r="BV63" s="126">
        <f t="shared" si="50"/>
        <v>33.109999999999914</v>
      </c>
      <c r="CC63">
        <f t="shared" si="32"/>
        <v>-12.779000000000007</v>
      </c>
    </row>
    <row r="64" spans="1:81" x14ac:dyDescent="0.2">
      <c r="A64">
        <v>35.78</v>
      </c>
      <c r="B64">
        <v>187.70000000000002</v>
      </c>
      <c r="C64">
        <v>291.90000000000003</v>
      </c>
      <c r="D64" s="126">
        <f t="shared" si="18"/>
        <v>35.8842</v>
      </c>
      <c r="E64">
        <v>4232</v>
      </c>
      <c r="F64">
        <v>11431</v>
      </c>
      <c r="G64">
        <v>7916</v>
      </c>
      <c r="H64" s="126">
        <f t="shared" si="19"/>
        <v>0.71699999999999997</v>
      </c>
      <c r="J64">
        <v>1.92</v>
      </c>
      <c r="K64">
        <v>15.64</v>
      </c>
      <c r="L64">
        <v>2.41</v>
      </c>
      <c r="M64" s="126">
        <f t="shared" si="20"/>
        <v>-11.31</v>
      </c>
      <c r="N64">
        <v>-10652</v>
      </c>
      <c r="O64">
        <v>8519</v>
      </c>
      <c r="P64">
        <v>20773</v>
      </c>
      <c r="Q64" s="126">
        <f t="shared" si="21"/>
        <v>1.6020000000000001</v>
      </c>
      <c r="R64">
        <v>35.78</v>
      </c>
      <c r="S64">
        <v>114.23</v>
      </c>
      <c r="T64">
        <v>128.18</v>
      </c>
      <c r="U64" s="126">
        <f t="shared" si="22"/>
        <v>49.730000000000004</v>
      </c>
      <c r="V64">
        <v>-13.86</v>
      </c>
      <c r="W64">
        <v>16.740000000000002</v>
      </c>
      <c r="X64">
        <v>19.05</v>
      </c>
      <c r="Y64" s="126">
        <f t="shared" si="23"/>
        <v>-11.55</v>
      </c>
      <c r="Z64">
        <v>-26.94</v>
      </c>
      <c r="AA64">
        <v>70.06</v>
      </c>
      <c r="AB64">
        <v>83.95</v>
      </c>
      <c r="AC64" s="126">
        <f t="shared" si="24"/>
        <v>-13.05</v>
      </c>
      <c r="AF64" s="128">
        <v>39553</v>
      </c>
      <c r="AG64" s="144">
        <v>-1867.173</v>
      </c>
      <c r="AH64" s="142">
        <f>SUM($AG$1:AG64)/1000</f>
        <v>-78.871769999999998</v>
      </c>
      <c r="AI64" s="142">
        <f t="shared" si="33"/>
        <v>-12.212658999999974</v>
      </c>
      <c r="AJ64" s="147">
        <f t="shared" si="25"/>
        <v>-28689.455413725187</v>
      </c>
      <c r="AK64" s="143">
        <v>-28.689455413725188</v>
      </c>
      <c r="AL64" s="142">
        <f t="shared" si="34"/>
        <v>-4.033664813967146</v>
      </c>
      <c r="AM64" s="144">
        <v>-3192.3</v>
      </c>
      <c r="AN64" s="142">
        <f>SUM($AM$1:AM64)/1000</f>
        <v>-81.857300000000009</v>
      </c>
      <c r="AO64" s="142">
        <f t="shared" si="35"/>
        <v>6.3367999999999824</v>
      </c>
      <c r="AP64" s="144">
        <v>-3445.1</v>
      </c>
      <c r="AQ64" s="145">
        <f>SUM($AP$1:AP64)/1000</f>
        <v>-105.89520000000003</v>
      </c>
      <c r="AR64" s="142">
        <f t="shared" si="36"/>
        <v>-22.559600000000017</v>
      </c>
      <c r="AS64" s="144">
        <v>-9546.51</v>
      </c>
      <c r="AT64" s="142">
        <f>SUM($AS$1:AS64)/1000</f>
        <v>-372.97495999999984</v>
      </c>
      <c r="AU64" s="142">
        <f t="shared" si="37"/>
        <v>-39.826509999999928</v>
      </c>
      <c r="AV64" s="144">
        <v>14461</v>
      </c>
      <c r="AW64" s="142">
        <f>SUM($AV$1:AV64)/1000</f>
        <v>641.43200000000002</v>
      </c>
      <c r="AX64" s="142">
        <f t="shared" si="38"/>
        <v>70.917500000000018</v>
      </c>
      <c r="AZ64" s="126">
        <f t="shared" si="26"/>
        <v>-35.8842</v>
      </c>
      <c r="BA64" s="126">
        <f t="shared" si="39"/>
        <v>-70.917500000000018</v>
      </c>
      <c r="BB64" s="126">
        <f t="shared" si="40"/>
        <v>35.033300000000018</v>
      </c>
      <c r="BD64" s="126">
        <f t="shared" si="27"/>
        <v>11.31</v>
      </c>
      <c r="BE64" s="126">
        <f t="shared" si="28"/>
        <v>12.212658999999974</v>
      </c>
      <c r="BF64" s="126">
        <f t="shared" si="41"/>
        <v>0.90265899999997323</v>
      </c>
      <c r="BH64" s="126">
        <f t="shared" si="29"/>
        <v>-1.6020000000000001</v>
      </c>
      <c r="BI64" s="126">
        <f t="shared" si="30"/>
        <v>4.033664813967146</v>
      </c>
      <c r="BJ64" s="126">
        <f t="shared" si="31"/>
        <v>5.6356648139671464</v>
      </c>
      <c r="BL64" s="126">
        <f t="shared" si="42"/>
        <v>-49.730000000000004</v>
      </c>
      <c r="BM64" s="126">
        <f t="shared" si="43"/>
        <v>-6.3367999999999824</v>
      </c>
      <c r="BN64" s="126">
        <f t="shared" si="44"/>
        <v>43.393200000000022</v>
      </c>
      <c r="BP64" s="126">
        <f t="shared" si="45"/>
        <v>11.55</v>
      </c>
      <c r="BQ64" s="126">
        <f t="shared" si="46"/>
        <v>22.559600000000017</v>
      </c>
      <c r="BR64" s="126">
        <f t="shared" si="47"/>
        <v>11.009600000000017</v>
      </c>
      <c r="BT64" s="126">
        <f t="shared" si="48"/>
        <v>13.05</v>
      </c>
      <c r="BU64" s="126">
        <f t="shared" si="49"/>
        <v>39.826509999999928</v>
      </c>
      <c r="BV64" s="126">
        <f t="shared" si="50"/>
        <v>26.776509999999927</v>
      </c>
      <c r="CC64">
        <f t="shared" si="32"/>
        <v>-34.308000000000007</v>
      </c>
    </row>
    <row r="65" spans="1:81" x14ac:dyDescent="0.2">
      <c r="A65">
        <v>9.07</v>
      </c>
      <c r="B65">
        <v>188.4</v>
      </c>
      <c r="C65">
        <v>294.60000000000002</v>
      </c>
      <c r="D65" s="126">
        <f t="shared" si="18"/>
        <v>9.1761999999999997</v>
      </c>
      <c r="E65">
        <v>4187</v>
      </c>
      <c r="F65">
        <v>11472</v>
      </c>
      <c r="G65">
        <v>8002</v>
      </c>
      <c r="H65" s="126">
        <f t="shared" si="19"/>
        <v>0.71699999999999997</v>
      </c>
      <c r="J65">
        <v>1.19</v>
      </c>
      <c r="K65">
        <v>15.69</v>
      </c>
      <c r="L65">
        <v>2.2000000000000002</v>
      </c>
      <c r="M65" s="126">
        <f t="shared" si="20"/>
        <v>-12.299999999999999</v>
      </c>
      <c r="N65">
        <v>-9207</v>
      </c>
      <c r="O65">
        <v>8548</v>
      </c>
      <c r="P65">
        <v>21056</v>
      </c>
      <c r="Q65" s="126">
        <f t="shared" si="21"/>
        <v>3.3010000000000002</v>
      </c>
      <c r="R65">
        <v>9.06</v>
      </c>
      <c r="S65">
        <v>114.61</v>
      </c>
      <c r="T65">
        <v>128.61000000000001</v>
      </c>
      <c r="U65" s="126">
        <f t="shared" si="22"/>
        <v>23.060000000000016</v>
      </c>
      <c r="V65">
        <v>-19.84</v>
      </c>
      <c r="W65">
        <v>16.8</v>
      </c>
      <c r="X65">
        <v>18.43</v>
      </c>
      <c r="Y65" s="126">
        <f t="shared" si="23"/>
        <v>-18.21</v>
      </c>
      <c r="Z65">
        <v>-22.13</v>
      </c>
      <c r="AA65">
        <v>70.290000000000006</v>
      </c>
      <c r="AB65">
        <v>82.81</v>
      </c>
      <c r="AC65" s="126">
        <f t="shared" si="24"/>
        <v>-9.610000000000003</v>
      </c>
      <c r="AF65" s="128">
        <v>39583</v>
      </c>
      <c r="AG65" s="144">
        <v>-2030.3530000000001</v>
      </c>
      <c r="AH65" s="142">
        <f>SUM($AG$1:AG65)/1000</f>
        <v>-80.902123000000003</v>
      </c>
      <c r="AI65" s="142">
        <f t="shared" ref="AI65:AI96" si="51">AH65-$AH$130</f>
        <v>-14.243011999999979</v>
      </c>
      <c r="AJ65" s="147">
        <f t="shared" si="25"/>
        <v>-29547</v>
      </c>
      <c r="AK65" s="143">
        <v>-29.547000000000001</v>
      </c>
      <c r="AL65" s="142">
        <f t="shared" ref="AL65:AL96" si="52">AK65-$AK$130</f>
        <v>-4.8912094002419586</v>
      </c>
      <c r="AM65" s="144">
        <v>-1591.1000000000001</v>
      </c>
      <c r="AN65" s="142">
        <f>SUM($AM$1:AM65)/1000</f>
        <v>-83.448400000000007</v>
      </c>
      <c r="AO65" s="142">
        <f t="shared" ref="AO65:AO96" si="53">AN65-$AN$130</f>
        <v>4.7456999999999852</v>
      </c>
      <c r="AP65" s="144">
        <v>-3258.2000000000003</v>
      </c>
      <c r="AQ65" s="145">
        <f>SUM($AP$1:AP65)/1000</f>
        <v>-109.15340000000002</v>
      </c>
      <c r="AR65" s="142">
        <f t="shared" ref="AR65:AR96" si="54">AQ65-$AQ$130</f>
        <v>-25.817800000000005</v>
      </c>
      <c r="AS65" s="144">
        <v>-9360.68</v>
      </c>
      <c r="AT65" s="142">
        <f>SUM($AS$1:AS65)/1000</f>
        <v>-382.33563999999984</v>
      </c>
      <c r="AU65" s="142">
        <f t="shared" ref="AU65:AU96" si="55">AT65-$AT$130</f>
        <v>-49.18718999999993</v>
      </c>
      <c r="AV65" s="144">
        <v>7301</v>
      </c>
      <c r="AW65" s="142">
        <f>SUM($AV$1:AV65)/1000</f>
        <v>648.73299999999995</v>
      </c>
      <c r="AX65" s="142">
        <f t="shared" ref="AX65:AX96" si="56">AW65-$AW$130</f>
        <v>78.218499999999949</v>
      </c>
      <c r="AZ65" s="126">
        <f t="shared" si="26"/>
        <v>-9.1761999999999997</v>
      </c>
      <c r="BA65" s="126">
        <f t="shared" si="39"/>
        <v>-78.218499999999949</v>
      </c>
      <c r="BB65" s="126">
        <f t="shared" si="40"/>
        <v>69.042299999999955</v>
      </c>
      <c r="BD65" s="126">
        <f t="shared" si="27"/>
        <v>12.299999999999999</v>
      </c>
      <c r="BE65" s="126">
        <f t="shared" si="28"/>
        <v>14.243011999999979</v>
      </c>
      <c r="BF65" s="126">
        <f t="shared" si="41"/>
        <v>1.94301199999998</v>
      </c>
      <c r="BH65" s="126">
        <f t="shared" si="29"/>
        <v>-3.3010000000000002</v>
      </c>
      <c r="BI65" s="126">
        <f t="shared" si="30"/>
        <v>4.8912094002419586</v>
      </c>
      <c r="BJ65" s="126">
        <f t="shared" si="31"/>
        <v>8.1922094002419588</v>
      </c>
      <c r="BL65" s="126">
        <f t="shared" si="42"/>
        <v>-23.060000000000016</v>
      </c>
      <c r="BM65" s="126">
        <f t="shared" si="43"/>
        <v>-4.7456999999999852</v>
      </c>
      <c r="BN65" s="126">
        <f t="shared" si="44"/>
        <v>18.314300000000031</v>
      </c>
      <c r="BP65" s="126">
        <f t="shared" si="45"/>
        <v>18.21</v>
      </c>
      <c r="BQ65" s="126">
        <f t="shared" si="46"/>
        <v>25.817800000000005</v>
      </c>
      <c r="BR65" s="126">
        <f t="shared" si="47"/>
        <v>7.6078000000000046</v>
      </c>
      <c r="BT65" s="126">
        <f t="shared" si="48"/>
        <v>9.610000000000003</v>
      </c>
      <c r="BU65" s="126">
        <f t="shared" si="49"/>
        <v>49.18718999999993</v>
      </c>
      <c r="BV65" s="126">
        <f t="shared" si="50"/>
        <v>39.577189999999931</v>
      </c>
      <c r="CC65">
        <f t="shared" si="32"/>
        <v>-36.819000000000003</v>
      </c>
    </row>
    <row r="66" spans="1:81" x14ac:dyDescent="0.2">
      <c r="A66">
        <v>29.27</v>
      </c>
      <c r="B66">
        <v>190.20000000000002</v>
      </c>
      <c r="C66">
        <v>297.40000000000003</v>
      </c>
      <c r="D66" s="126">
        <f t="shared" ref="D66:D126" si="57">A66-((B66-C66)/1000)</f>
        <v>29.377199999999998</v>
      </c>
      <c r="E66">
        <v>4187</v>
      </c>
      <c r="F66">
        <v>11588</v>
      </c>
      <c r="G66">
        <v>8118</v>
      </c>
      <c r="H66" s="126">
        <f t="shared" ref="H66:H126" si="58">(E66-(F66-G66))/1000</f>
        <v>0.71699999999999997</v>
      </c>
      <c r="J66">
        <v>2.15</v>
      </c>
      <c r="K66">
        <v>15.85</v>
      </c>
      <c r="L66">
        <v>2.08</v>
      </c>
      <c r="M66" s="126">
        <f t="shared" ref="M66:M126" si="59">J66-(K66-L66)</f>
        <v>-11.62</v>
      </c>
      <c r="N66">
        <v>-17117</v>
      </c>
      <c r="O66">
        <v>8632</v>
      </c>
      <c r="P66">
        <v>21274</v>
      </c>
      <c r="Q66" s="126">
        <f t="shared" ref="Q66:Q126" si="60">(N66-(O66-P66))/1000</f>
        <v>-4.4749999999999996</v>
      </c>
      <c r="R66">
        <v>29.27</v>
      </c>
      <c r="S66">
        <v>115.74000000000001</v>
      </c>
      <c r="T66">
        <v>129.15</v>
      </c>
      <c r="U66" s="126">
        <f t="shared" ref="U66:U126" si="61">R66-(S66-T66)</f>
        <v>42.679999999999993</v>
      </c>
      <c r="V66">
        <v>-22.34</v>
      </c>
      <c r="W66">
        <v>16.96</v>
      </c>
      <c r="X66">
        <v>18.559999999999999</v>
      </c>
      <c r="Y66" s="126">
        <f t="shared" ref="Y66:Y126" si="62">V66-(W66-X66)</f>
        <v>-20.740000000000002</v>
      </c>
      <c r="Z66">
        <v>-19.87</v>
      </c>
      <c r="AA66">
        <v>71</v>
      </c>
      <c r="AB66">
        <v>83.320000000000007</v>
      </c>
      <c r="AC66" s="126">
        <f t="shared" ref="AC66:AC126" si="63">Z66-(AA66-AB66)</f>
        <v>-7.5499999999999936</v>
      </c>
      <c r="AF66" s="128">
        <v>39614</v>
      </c>
      <c r="AG66" s="144">
        <v>-1926.0150000000001</v>
      </c>
      <c r="AH66" s="142">
        <f>SUM($AG$1:AG66)/1000</f>
        <v>-82.82813800000001</v>
      </c>
      <c r="AI66" s="142">
        <f t="shared" si="51"/>
        <v>-16.169026999999986</v>
      </c>
      <c r="AJ66" s="147">
        <f t="shared" ref="AJ66:AJ116" si="64">AK66*1000</f>
        <v>-30629.240425152035</v>
      </c>
      <c r="AK66" s="143">
        <v>-30.629240425152034</v>
      </c>
      <c r="AL66" s="142">
        <f t="shared" si="52"/>
        <v>-5.9734498253939918</v>
      </c>
      <c r="AM66" s="144">
        <v>-1252.3000000000002</v>
      </c>
      <c r="AN66" s="142">
        <f>SUM($AM$1:AM66)/1000</f>
        <v>-84.700700000000012</v>
      </c>
      <c r="AO66" s="142">
        <f t="shared" si="53"/>
        <v>3.4933999999999799</v>
      </c>
      <c r="AP66" s="144">
        <v>-2955.9</v>
      </c>
      <c r="AQ66" s="145">
        <f>SUM($AP$1:AP66)/1000</f>
        <v>-112.10930000000002</v>
      </c>
      <c r="AR66" s="142">
        <f t="shared" si="54"/>
        <v>-28.773700000000005</v>
      </c>
      <c r="AS66" s="144">
        <v>-8823.7000000000007</v>
      </c>
      <c r="AT66" s="142">
        <f>SUM($AS$1:AS66)/1000</f>
        <v>-391.15933999999987</v>
      </c>
      <c r="AU66" s="142">
        <f t="shared" si="55"/>
        <v>-58.010889999999961</v>
      </c>
      <c r="AV66" s="144">
        <v>17895</v>
      </c>
      <c r="AW66" s="142">
        <f>SUM($AV$1:AV66)/1000</f>
        <v>666.62800000000004</v>
      </c>
      <c r="AX66" s="142">
        <f t="shared" si="56"/>
        <v>96.113500000000045</v>
      </c>
      <c r="AZ66" s="126">
        <f t="shared" ref="AZ66:AZ117" si="65">-D66</f>
        <v>-29.377199999999998</v>
      </c>
      <c r="BA66" s="126">
        <f t="shared" si="39"/>
        <v>-96.113500000000045</v>
      </c>
      <c r="BB66" s="126">
        <f t="shared" si="40"/>
        <v>66.736300000000043</v>
      </c>
      <c r="BD66" s="126">
        <f t="shared" ref="BD66:BD119" si="66">-M66</f>
        <v>11.62</v>
      </c>
      <c r="BE66" s="126">
        <f t="shared" ref="BE66:BE119" si="67">-AI66</f>
        <v>16.169026999999986</v>
      </c>
      <c r="BF66" s="126">
        <f t="shared" si="41"/>
        <v>4.5490269999999864</v>
      </c>
      <c r="BH66" s="126">
        <f t="shared" ref="BH66:BH119" si="68">-Q66</f>
        <v>4.4749999999999996</v>
      </c>
      <c r="BI66" s="126">
        <f t="shared" ref="BI66:BI116" si="69">-AL66</f>
        <v>5.9734498253939918</v>
      </c>
      <c r="BJ66" s="126">
        <f t="shared" ref="BJ66:BJ119" si="70">BI66-BH66</f>
        <v>1.4984498253939922</v>
      </c>
      <c r="BL66" s="126">
        <f t="shared" si="42"/>
        <v>-42.679999999999993</v>
      </c>
      <c r="BM66" s="126">
        <f t="shared" si="43"/>
        <v>-3.4933999999999799</v>
      </c>
      <c r="BN66" s="126">
        <f t="shared" si="44"/>
        <v>39.186600000000013</v>
      </c>
      <c r="BP66" s="126">
        <f t="shared" si="45"/>
        <v>20.740000000000002</v>
      </c>
      <c r="BQ66" s="126">
        <f t="shared" si="46"/>
        <v>28.773700000000005</v>
      </c>
      <c r="BR66" s="126">
        <f t="shared" si="47"/>
        <v>8.0337000000000032</v>
      </c>
      <c r="BT66" s="126">
        <f t="shared" si="48"/>
        <v>7.5499999999999936</v>
      </c>
      <c r="BU66" s="126">
        <f t="shared" si="49"/>
        <v>58.010889999999961</v>
      </c>
      <c r="BV66" s="126">
        <f t="shared" si="50"/>
        <v>50.460889999999964</v>
      </c>
      <c r="CC66">
        <f t="shared" ref="CC66:CC116" si="71">AC66+Y66+M66+Q66</f>
        <v>-44.384999999999998</v>
      </c>
    </row>
    <row r="67" spans="1:81" x14ac:dyDescent="0.2">
      <c r="A67">
        <v>37.9</v>
      </c>
      <c r="B67">
        <v>192.4</v>
      </c>
      <c r="C67">
        <v>299.8</v>
      </c>
      <c r="D67" s="126">
        <f t="shared" si="57"/>
        <v>38.007399999999997</v>
      </c>
      <c r="E67">
        <v>4183</v>
      </c>
      <c r="F67">
        <v>11725</v>
      </c>
      <c r="G67">
        <v>8259</v>
      </c>
      <c r="H67" s="126">
        <f t="shared" si="58"/>
        <v>0.71699999999999997</v>
      </c>
      <c r="J67">
        <v>1.45</v>
      </c>
      <c r="K67">
        <v>16.03</v>
      </c>
      <c r="L67">
        <v>2.2000000000000002</v>
      </c>
      <c r="M67" s="126">
        <f t="shared" si="59"/>
        <v>-12.380000000000003</v>
      </c>
      <c r="N67">
        <v>970</v>
      </c>
      <c r="O67">
        <v>8730</v>
      </c>
      <c r="P67">
        <v>21763</v>
      </c>
      <c r="Q67" s="126">
        <f t="shared" si="60"/>
        <v>14.003</v>
      </c>
      <c r="R67">
        <v>37.89</v>
      </c>
      <c r="S67">
        <v>117.08</v>
      </c>
      <c r="T67">
        <v>130.94</v>
      </c>
      <c r="U67" s="126">
        <f t="shared" si="61"/>
        <v>51.75</v>
      </c>
      <c r="V67">
        <v>-17.97</v>
      </c>
      <c r="W67">
        <v>17.16</v>
      </c>
      <c r="X67">
        <v>18.66</v>
      </c>
      <c r="Y67" s="126">
        <f t="shared" si="62"/>
        <v>-16.47</v>
      </c>
      <c r="Z67">
        <v>-26.98</v>
      </c>
      <c r="AA67">
        <v>71.820000000000007</v>
      </c>
      <c r="AB67">
        <v>83.23</v>
      </c>
      <c r="AC67" s="126">
        <f t="shared" si="63"/>
        <v>-15.570000000000004</v>
      </c>
      <c r="AF67" s="128">
        <v>39644</v>
      </c>
      <c r="AG67" s="144">
        <v>-1470.9290000000001</v>
      </c>
      <c r="AH67" s="142">
        <f>SUM($AG$1:AG67)/1000</f>
        <v>-84.299067000000008</v>
      </c>
      <c r="AI67" s="142">
        <f t="shared" si="51"/>
        <v>-17.639955999999984</v>
      </c>
      <c r="AJ67" s="147">
        <f t="shared" si="64"/>
        <v>-31722.325359907893</v>
      </c>
      <c r="AK67" s="143">
        <v>-31.722325359907892</v>
      </c>
      <c r="AL67" s="142">
        <f t="shared" si="52"/>
        <v>-7.0665347601498496</v>
      </c>
      <c r="AM67" s="144">
        <v>573.6</v>
      </c>
      <c r="AN67" s="142">
        <f>SUM($AM$1:AM67)/1000</f>
        <v>-84.127100000000013</v>
      </c>
      <c r="AO67" s="142">
        <f t="shared" si="53"/>
        <v>4.0669999999999789</v>
      </c>
      <c r="AP67" s="144">
        <v>-2391.6</v>
      </c>
      <c r="AQ67" s="145">
        <f>SUM($AP$1:AP67)/1000</f>
        <v>-114.50090000000003</v>
      </c>
      <c r="AR67" s="142">
        <f t="shared" si="54"/>
        <v>-31.165300000000016</v>
      </c>
      <c r="AS67" s="144">
        <v>-6657.93</v>
      </c>
      <c r="AT67" s="142">
        <f>SUM($AS$1:AS67)/1000</f>
        <v>-397.81726999999984</v>
      </c>
      <c r="AU67" s="142">
        <f t="shared" si="55"/>
        <v>-64.668819999999926</v>
      </c>
      <c r="AV67" s="144">
        <v>9794</v>
      </c>
      <c r="AW67" s="142">
        <f>SUM($AV$1:AV67)/1000</f>
        <v>676.42200000000003</v>
      </c>
      <c r="AX67" s="142">
        <f t="shared" si="56"/>
        <v>105.90750000000003</v>
      </c>
      <c r="AZ67" s="126">
        <f t="shared" si="65"/>
        <v>-38.007399999999997</v>
      </c>
      <c r="BA67" s="126">
        <f t="shared" si="39"/>
        <v>-105.90750000000003</v>
      </c>
      <c r="BB67" s="126">
        <f t="shared" si="40"/>
        <v>67.900100000000037</v>
      </c>
      <c r="BD67" s="126">
        <f t="shared" si="66"/>
        <v>12.380000000000003</v>
      </c>
      <c r="BE67" s="126">
        <f t="shared" si="67"/>
        <v>17.639955999999984</v>
      </c>
      <c r="BF67" s="126">
        <f t="shared" si="41"/>
        <v>5.2599559999999812</v>
      </c>
      <c r="BH67" s="126">
        <f t="shared" si="68"/>
        <v>-14.003</v>
      </c>
      <c r="BI67" s="126">
        <f t="shared" si="69"/>
        <v>7.0665347601498496</v>
      </c>
      <c r="BJ67" s="126">
        <f t="shared" si="70"/>
        <v>21.06953476014985</v>
      </c>
      <c r="BL67" s="126">
        <f t="shared" si="42"/>
        <v>-51.75</v>
      </c>
      <c r="BM67" s="126">
        <f t="shared" si="43"/>
        <v>-4.0669999999999789</v>
      </c>
      <c r="BN67" s="126">
        <f t="shared" si="44"/>
        <v>47.683000000000021</v>
      </c>
      <c r="BP67" s="126">
        <f t="shared" si="45"/>
        <v>16.47</v>
      </c>
      <c r="BQ67" s="126">
        <f t="shared" si="46"/>
        <v>31.165300000000016</v>
      </c>
      <c r="BR67" s="126">
        <f t="shared" si="47"/>
        <v>14.695300000000017</v>
      </c>
      <c r="BT67" s="126">
        <f t="shared" si="48"/>
        <v>15.570000000000004</v>
      </c>
      <c r="BU67" s="126">
        <f t="shared" si="49"/>
        <v>64.668819999999926</v>
      </c>
      <c r="BV67" s="126">
        <f t="shared" si="50"/>
        <v>49.098819999999918</v>
      </c>
      <c r="CC67">
        <f t="shared" si="71"/>
        <v>-30.417000000000009</v>
      </c>
    </row>
    <row r="68" spans="1:81" x14ac:dyDescent="0.2">
      <c r="A68">
        <v>48.02</v>
      </c>
      <c r="B68">
        <v>191.60000000000002</v>
      </c>
      <c r="C68">
        <v>301.3</v>
      </c>
      <c r="D68" s="126">
        <f t="shared" si="57"/>
        <v>48.1297</v>
      </c>
      <c r="E68">
        <v>4166</v>
      </c>
      <c r="F68">
        <v>11673</v>
      </c>
      <c r="G68">
        <v>8224</v>
      </c>
      <c r="H68" s="126">
        <f t="shared" si="58"/>
        <v>0.71699999999999997</v>
      </c>
      <c r="J68">
        <v>-1.3900000000000001</v>
      </c>
      <c r="K68">
        <v>15.96</v>
      </c>
      <c r="L68">
        <v>1.84</v>
      </c>
      <c r="M68" s="126">
        <f t="shared" si="59"/>
        <v>-15.510000000000002</v>
      </c>
      <c r="N68">
        <v>2419</v>
      </c>
      <c r="O68">
        <v>8697</v>
      </c>
      <c r="P68">
        <v>21845</v>
      </c>
      <c r="Q68" s="126">
        <f t="shared" si="60"/>
        <v>15.567</v>
      </c>
      <c r="R68">
        <v>48.02</v>
      </c>
      <c r="S68">
        <v>116.56</v>
      </c>
      <c r="T68">
        <v>129.94999999999999</v>
      </c>
      <c r="U68" s="126">
        <f t="shared" si="61"/>
        <v>61.409999999999989</v>
      </c>
      <c r="V68">
        <v>-15.4</v>
      </c>
      <c r="W68">
        <v>17.080000000000002</v>
      </c>
      <c r="X68">
        <v>17.98</v>
      </c>
      <c r="Y68" s="126">
        <f t="shared" si="62"/>
        <v>-14.500000000000002</v>
      </c>
      <c r="Z68">
        <v>-30.72</v>
      </c>
      <c r="AA68">
        <v>71.52</v>
      </c>
      <c r="AB68">
        <v>81.05</v>
      </c>
      <c r="AC68" s="126">
        <f t="shared" si="63"/>
        <v>-21.189999999999998</v>
      </c>
      <c r="AF68" s="128">
        <v>39675</v>
      </c>
      <c r="AG68" s="144">
        <v>-1628.124</v>
      </c>
      <c r="AH68" s="142">
        <f>SUM($AG$1:AG68)/1000</f>
        <v>-85.927191000000008</v>
      </c>
      <c r="AI68" s="142">
        <f t="shared" si="51"/>
        <v>-19.268079999999983</v>
      </c>
      <c r="AJ68" s="147">
        <f t="shared" si="64"/>
        <v>-32523.000000000004</v>
      </c>
      <c r="AK68" s="143">
        <v>-32.523000000000003</v>
      </c>
      <c r="AL68" s="142">
        <f t="shared" si="52"/>
        <v>-7.8672094002419612</v>
      </c>
      <c r="AM68" s="144">
        <v>-5397.7000000000007</v>
      </c>
      <c r="AN68" s="142">
        <f>SUM($AM$1:AM68)/1000</f>
        <v>-89.524799999999999</v>
      </c>
      <c r="AO68" s="142">
        <f t="shared" si="53"/>
        <v>-1.3307000000000073</v>
      </c>
      <c r="AP68" s="144">
        <v>-414.8</v>
      </c>
      <c r="AQ68" s="145">
        <f>SUM($AP$1:AP68)/1000</f>
        <v>-114.91570000000003</v>
      </c>
      <c r="AR68" s="142">
        <f t="shared" si="54"/>
        <v>-31.580100000000016</v>
      </c>
      <c r="AS68" s="144">
        <v>-6790.3</v>
      </c>
      <c r="AT68" s="142">
        <f>SUM($AS$1:AS68)/1000</f>
        <v>-404.60756999999984</v>
      </c>
      <c r="AU68" s="142">
        <f t="shared" si="55"/>
        <v>-71.459119999999928</v>
      </c>
      <c r="AV68" s="144">
        <v>6886</v>
      </c>
      <c r="AW68" s="142">
        <f>SUM($AV$1:AV68)/1000</f>
        <v>683.30799999999999</v>
      </c>
      <c r="AX68" s="142">
        <f t="shared" si="56"/>
        <v>112.79349999999999</v>
      </c>
      <c r="AZ68" s="126">
        <f t="shared" si="65"/>
        <v>-48.1297</v>
      </c>
      <c r="BA68" s="126">
        <f t="shared" si="39"/>
        <v>-112.79349999999999</v>
      </c>
      <c r="BB68" s="126">
        <f t="shared" si="40"/>
        <v>64.663799999999995</v>
      </c>
      <c r="BD68" s="126">
        <f t="shared" si="66"/>
        <v>15.510000000000002</v>
      </c>
      <c r="BE68" s="126">
        <f t="shared" si="67"/>
        <v>19.268079999999983</v>
      </c>
      <c r="BF68" s="126">
        <f t="shared" si="41"/>
        <v>3.7580799999999819</v>
      </c>
      <c r="BH68" s="126">
        <f t="shared" si="68"/>
        <v>-15.567</v>
      </c>
      <c r="BI68" s="126">
        <f t="shared" si="69"/>
        <v>7.8672094002419612</v>
      </c>
      <c r="BJ68" s="126">
        <f t="shared" si="70"/>
        <v>23.434209400241961</v>
      </c>
      <c r="BL68" s="126">
        <f t="shared" si="42"/>
        <v>-61.409999999999989</v>
      </c>
      <c r="BM68" s="126">
        <f t="shared" si="43"/>
        <v>1.3307000000000073</v>
      </c>
      <c r="BN68" s="126">
        <f t="shared" si="44"/>
        <v>62.740699999999997</v>
      </c>
      <c r="BP68" s="126">
        <f t="shared" si="45"/>
        <v>14.500000000000002</v>
      </c>
      <c r="BQ68" s="126">
        <f t="shared" si="46"/>
        <v>31.580100000000016</v>
      </c>
      <c r="BR68" s="126">
        <f t="shared" si="47"/>
        <v>17.080100000000016</v>
      </c>
      <c r="BT68" s="126">
        <f t="shared" si="48"/>
        <v>21.189999999999998</v>
      </c>
      <c r="BU68" s="126">
        <f t="shared" si="49"/>
        <v>71.459119999999928</v>
      </c>
      <c r="BV68" s="126">
        <f t="shared" si="50"/>
        <v>50.26911999999993</v>
      </c>
      <c r="CC68">
        <f t="shared" si="71"/>
        <v>-35.633000000000003</v>
      </c>
    </row>
    <row r="69" spans="1:81" x14ac:dyDescent="0.2">
      <c r="A69">
        <v>21.61</v>
      </c>
      <c r="B69">
        <v>191.70000000000002</v>
      </c>
      <c r="C69">
        <v>303.60000000000002</v>
      </c>
      <c r="D69" s="126">
        <f t="shared" si="57"/>
        <v>21.721899999999998</v>
      </c>
      <c r="E69">
        <v>4087</v>
      </c>
      <c r="F69">
        <v>11680</v>
      </c>
      <c r="G69">
        <v>8310</v>
      </c>
      <c r="H69" s="126">
        <f t="shared" si="58"/>
        <v>0.71699999999999997</v>
      </c>
      <c r="J69">
        <v>1.5</v>
      </c>
      <c r="K69">
        <v>15.98</v>
      </c>
      <c r="L69">
        <v>1.25</v>
      </c>
      <c r="M69" s="126">
        <f t="shared" si="59"/>
        <v>-13.23</v>
      </c>
      <c r="N69">
        <v>-38880</v>
      </c>
      <c r="O69">
        <v>8706</v>
      </c>
      <c r="P69">
        <v>22265</v>
      </c>
      <c r="Q69" s="126">
        <f t="shared" si="60"/>
        <v>-25.321000000000002</v>
      </c>
      <c r="R69">
        <v>21.61</v>
      </c>
      <c r="S69">
        <v>116.67</v>
      </c>
      <c r="T69">
        <v>129.33000000000001</v>
      </c>
      <c r="U69" s="126">
        <f t="shared" si="61"/>
        <v>34.27000000000001</v>
      </c>
      <c r="V69">
        <v>-14.08</v>
      </c>
      <c r="W69">
        <v>17.100000000000001</v>
      </c>
      <c r="X69">
        <v>17.73</v>
      </c>
      <c r="Y69" s="126">
        <f t="shared" si="62"/>
        <v>-13.450000000000001</v>
      </c>
      <c r="Z69">
        <v>-27.77</v>
      </c>
      <c r="AA69">
        <v>71.59</v>
      </c>
      <c r="AB69">
        <v>79.739999999999995</v>
      </c>
      <c r="AC69" s="126">
        <f t="shared" si="63"/>
        <v>-19.620000000000008</v>
      </c>
      <c r="AF69" s="128">
        <v>39706</v>
      </c>
      <c r="AG69" s="144">
        <v>-1781.9760000000001</v>
      </c>
      <c r="AH69" s="142">
        <f>SUM($AG$1:AG69)/1000</f>
        <v>-87.709167000000008</v>
      </c>
      <c r="AI69" s="142">
        <f t="shared" si="51"/>
        <v>-21.050055999999984</v>
      </c>
      <c r="AJ69" s="147">
        <f t="shared" si="64"/>
        <v>-32839.786796360131</v>
      </c>
      <c r="AK69" s="143">
        <v>-32.83978679636013</v>
      </c>
      <c r="AL69" s="142">
        <f t="shared" si="52"/>
        <v>-8.183996196602088</v>
      </c>
      <c r="AM69" s="144">
        <v>-4332</v>
      </c>
      <c r="AN69" s="142">
        <f>SUM($AM$1:AM69)/1000</f>
        <v>-93.856800000000007</v>
      </c>
      <c r="AO69" s="142">
        <f t="shared" si="53"/>
        <v>-5.6627000000000152</v>
      </c>
      <c r="AP69" s="144">
        <v>-2711.9</v>
      </c>
      <c r="AQ69" s="145">
        <f>SUM($AP$1:AP69)/1000</f>
        <v>-117.62760000000002</v>
      </c>
      <c r="AR69" s="142">
        <f t="shared" si="54"/>
        <v>-34.292000000000002</v>
      </c>
      <c r="AS69" s="144">
        <v>-8778.5500000000011</v>
      </c>
      <c r="AT69" s="142">
        <f>SUM($AS$1:AS69)/1000</f>
        <v>-413.38611999999983</v>
      </c>
      <c r="AU69" s="142">
        <f t="shared" si="55"/>
        <v>-80.237669999999923</v>
      </c>
      <c r="AV69" s="144">
        <v>14537</v>
      </c>
      <c r="AW69" s="142">
        <f>SUM($AV$1:AV69)/1000</f>
        <v>697.84500000000003</v>
      </c>
      <c r="AX69" s="142">
        <f t="shared" si="56"/>
        <v>127.33050000000003</v>
      </c>
      <c r="AZ69" s="126">
        <f t="shared" si="65"/>
        <v>-21.721899999999998</v>
      </c>
      <c r="BA69" s="126">
        <f t="shared" si="39"/>
        <v>-127.33050000000003</v>
      </c>
      <c r="BB69" s="126">
        <f t="shared" si="40"/>
        <v>105.60860000000002</v>
      </c>
      <c r="BD69" s="126">
        <f t="shared" si="66"/>
        <v>13.23</v>
      </c>
      <c r="BE69" s="126">
        <f t="shared" si="67"/>
        <v>21.050055999999984</v>
      </c>
      <c r="BF69" s="126">
        <f t="shared" si="41"/>
        <v>7.8200559999999832</v>
      </c>
      <c r="BH69" s="126">
        <f t="shared" si="68"/>
        <v>25.321000000000002</v>
      </c>
      <c r="BI69" s="126">
        <f t="shared" si="69"/>
        <v>8.183996196602088</v>
      </c>
      <c r="BJ69" s="126">
        <f t="shared" si="70"/>
        <v>-17.137003803397914</v>
      </c>
      <c r="BL69" s="126">
        <f t="shared" si="42"/>
        <v>-34.27000000000001</v>
      </c>
      <c r="BM69" s="126">
        <f t="shared" si="43"/>
        <v>5.6627000000000152</v>
      </c>
      <c r="BN69" s="126">
        <f t="shared" si="44"/>
        <v>39.932700000000025</v>
      </c>
      <c r="BP69" s="126">
        <f t="shared" si="45"/>
        <v>13.450000000000001</v>
      </c>
      <c r="BQ69" s="126">
        <f t="shared" si="46"/>
        <v>34.292000000000002</v>
      </c>
      <c r="BR69" s="126">
        <f t="shared" si="47"/>
        <v>20.841999999999999</v>
      </c>
      <c r="BT69" s="126">
        <f t="shared" si="48"/>
        <v>19.620000000000008</v>
      </c>
      <c r="BU69" s="126">
        <f t="shared" si="49"/>
        <v>80.237669999999923</v>
      </c>
      <c r="BV69" s="126">
        <f t="shared" si="50"/>
        <v>60.617669999999919</v>
      </c>
      <c r="CC69">
        <f t="shared" si="71"/>
        <v>-71.621000000000009</v>
      </c>
    </row>
    <row r="70" spans="1:81" x14ac:dyDescent="0.2">
      <c r="A70">
        <v>13.32</v>
      </c>
      <c r="B70">
        <v>203.60000000000002</v>
      </c>
      <c r="C70">
        <v>322.90000000000003</v>
      </c>
      <c r="D70" s="126">
        <f t="shared" si="57"/>
        <v>13.439300000000001</v>
      </c>
      <c r="E70">
        <v>4575</v>
      </c>
      <c r="F70">
        <v>12399</v>
      </c>
      <c r="G70">
        <v>8541</v>
      </c>
      <c r="H70" s="126">
        <f t="shared" si="58"/>
        <v>0.71699999999999997</v>
      </c>
      <c r="J70">
        <v>-0.69000000000000006</v>
      </c>
      <c r="K70">
        <v>16.95</v>
      </c>
      <c r="L70">
        <v>1.48</v>
      </c>
      <c r="M70" s="126">
        <f t="shared" si="59"/>
        <v>-16.16</v>
      </c>
      <c r="N70">
        <v>-55150</v>
      </c>
      <c r="O70">
        <v>9219</v>
      </c>
      <c r="P70">
        <v>22616</v>
      </c>
      <c r="Q70" s="126">
        <f t="shared" si="60"/>
        <v>-41.753</v>
      </c>
      <c r="R70">
        <v>13.32</v>
      </c>
      <c r="S70">
        <v>123.92</v>
      </c>
      <c r="T70">
        <v>133.78</v>
      </c>
      <c r="U70" s="126">
        <f t="shared" si="61"/>
        <v>23.18</v>
      </c>
      <c r="V70">
        <v>-21.88</v>
      </c>
      <c r="W70">
        <v>18.150000000000002</v>
      </c>
      <c r="X70">
        <v>19.8</v>
      </c>
      <c r="Y70" s="126">
        <f t="shared" si="62"/>
        <v>-20.23</v>
      </c>
      <c r="Z70">
        <v>-21.97</v>
      </c>
      <c r="AA70">
        <v>75.94</v>
      </c>
      <c r="AB70">
        <v>83.94</v>
      </c>
      <c r="AC70" s="126">
        <f t="shared" si="63"/>
        <v>-13.969999999999999</v>
      </c>
      <c r="AF70" s="128">
        <v>39736</v>
      </c>
      <c r="AG70" s="144">
        <v>-1915.691</v>
      </c>
      <c r="AH70" s="142">
        <f>SUM($AG$1:AG70)/1000</f>
        <v>-89.624858000000003</v>
      </c>
      <c r="AI70" s="142">
        <f t="shared" si="51"/>
        <v>-22.965746999999979</v>
      </c>
      <c r="AJ70" s="147">
        <f t="shared" si="64"/>
        <v>-32928.317220717334</v>
      </c>
      <c r="AK70" s="143">
        <v>-32.928317220717332</v>
      </c>
      <c r="AL70" s="142">
        <f t="shared" si="52"/>
        <v>-8.2725266209592903</v>
      </c>
      <c r="AM70" s="144">
        <v>-2785.1000000000004</v>
      </c>
      <c r="AN70" s="142">
        <f>SUM($AM$1:AM70)/1000</f>
        <v>-96.641900000000007</v>
      </c>
      <c r="AO70" s="142">
        <f t="shared" si="53"/>
        <v>-8.4478000000000151</v>
      </c>
      <c r="AP70" s="144">
        <v>-3685.1</v>
      </c>
      <c r="AQ70" s="145">
        <f>SUM($AP$1:AP70)/1000</f>
        <v>-121.31270000000002</v>
      </c>
      <c r="AR70" s="142">
        <f t="shared" si="54"/>
        <v>-37.977100000000007</v>
      </c>
      <c r="AS70" s="144">
        <v>-10059</v>
      </c>
      <c r="AT70" s="142">
        <f>SUM($AS$1:AS70)/1000</f>
        <v>-423.4451199999998</v>
      </c>
      <c r="AU70" s="142">
        <f t="shared" si="55"/>
        <v>-90.296669999999892</v>
      </c>
      <c r="AV70" s="144">
        <v>13199</v>
      </c>
      <c r="AW70" s="142">
        <f>SUM($AV$1:AV70)/1000</f>
        <v>711.04399999999998</v>
      </c>
      <c r="AX70" s="142">
        <f t="shared" si="56"/>
        <v>140.52949999999998</v>
      </c>
      <c r="AZ70" s="126">
        <f t="shared" si="65"/>
        <v>-13.439300000000001</v>
      </c>
      <c r="BA70" s="126">
        <f t="shared" si="39"/>
        <v>-140.52949999999998</v>
      </c>
      <c r="BB70" s="126">
        <f t="shared" si="40"/>
        <v>127.09019999999998</v>
      </c>
      <c r="BD70" s="126">
        <f t="shared" si="66"/>
        <v>16.16</v>
      </c>
      <c r="BE70" s="126">
        <f t="shared" si="67"/>
        <v>22.965746999999979</v>
      </c>
      <c r="BF70" s="126">
        <f t="shared" si="41"/>
        <v>6.8057469999999789</v>
      </c>
      <c r="BH70" s="126">
        <f t="shared" si="68"/>
        <v>41.753</v>
      </c>
      <c r="BI70" s="126">
        <f t="shared" si="69"/>
        <v>8.2725266209592903</v>
      </c>
      <c r="BJ70" s="126">
        <f t="shared" si="70"/>
        <v>-33.48047337904071</v>
      </c>
      <c r="BL70" s="126">
        <f t="shared" si="42"/>
        <v>-23.18</v>
      </c>
      <c r="BM70" s="126">
        <f t="shared" si="43"/>
        <v>8.4478000000000151</v>
      </c>
      <c r="BN70" s="126">
        <f t="shared" si="44"/>
        <v>31.627800000000015</v>
      </c>
      <c r="BP70" s="126">
        <f t="shared" si="45"/>
        <v>20.23</v>
      </c>
      <c r="BQ70" s="126">
        <f t="shared" si="46"/>
        <v>37.977100000000007</v>
      </c>
      <c r="BR70" s="126">
        <f t="shared" si="47"/>
        <v>17.747100000000007</v>
      </c>
      <c r="BT70" s="126">
        <f t="shared" si="48"/>
        <v>13.969999999999999</v>
      </c>
      <c r="BU70" s="126">
        <f t="shared" si="49"/>
        <v>90.296669999999892</v>
      </c>
      <c r="BV70" s="126">
        <f t="shared" si="50"/>
        <v>76.326669999999893</v>
      </c>
      <c r="CC70">
        <f t="shared" si="71"/>
        <v>-92.113</v>
      </c>
    </row>
    <row r="71" spans="1:81" x14ac:dyDescent="0.2">
      <c r="A71">
        <v>14.23</v>
      </c>
      <c r="B71">
        <v>204.60000000000002</v>
      </c>
      <c r="C71">
        <v>325.3</v>
      </c>
      <c r="D71" s="126">
        <f t="shared" si="57"/>
        <v>14.3507</v>
      </c>
      <c r="E71">
        <v>4573</v>
      </c>
      <c r="F71">
        <v>12465</v>
      </c>
      <c r="G71">
        <v>8609</v>
      </c>
      <c r="H71" s="126">
        <f t="shared" si="58"/>
        <v>0.71699999999999997</v>
      </c>
      <c r="J71">
        <v>-2.2200000000000002</v>
      </c>
      <c r="K71">
        <v>17.04</v>
      </c>
      <c r="L71">
        <v>1.58</v>
      </c>
      <c r="M71" s="126">
        <f t="shared" si="59"/>
        <v>-17.68</v>
      </c>
      <c r="N71">
        <v>-58159</v>
      </c>
      <c r="O71">
        <v>9269</v>
      </c>
      <c r="P71">
        <v>22846</v>
      </c>
      <c r="Q71" s="126">
        <f t="shared" si="60"/>
        <v>-44.582000000000001</v>
      </c>
      <c r="R71">
        <v>14.23</v>
      </c>
      <c r="S71">
        <v>124.57000000000001</v>
      </c>
      <c r="T71">
        <v>134.46</v>
      </c>
      <c r="U71" s="126">
        <f t="shared" si="61"/>
        <v>24.12</v>
      </c>
      <c r="V71">
        <v>-26.3</v>
      </c>
      <c r="W71">
        <v>18.240000000000002</v>
      </c>
      <c r="X71">
        <v>19.57</v>
      </c>
      <c r="Y71" s="126">
        <f t="shared" si="62"/>
        <v>-24.970000000000002</v>
      </c>
      <c r="Z71">
        <v>-29.23</v>
      </c>
      <c r="AA71">
        <v>76.31</v>
      </c>
      <c r="AB71">
        <v>83.42</v>
      </c>
      <c r="AC71" s="126">
        <f t="shared" si="63"/>
        <v>-22.12</v>
      </c>
      <c r="AF71" s="128">
        <v>39767</v>
      </c>
      <c r="AG71" s="144">
        <v>-1984.5130000000001</v>
      </c>
      <c r="AH71" s="142">
        <f>SUM($AG$1:AG71)/1000</f>
        <v>-91.60937100000001</v>
      </c>
      <c r="AI71" s="142">
        <f t="shared" si="51"/>
        <v>-24.950259999999986</v>
      </c>
      <c r="AJ71" s="147">
        <f t="shared" si="64"/>
        <v>-33156</v>
      </c>
      <c r="AK71" s="143">
        <v>-33.155999999999999</v>
      </c>
      <c r="AL71" s="142">
        <f t="shared" si="52"/>
        <v>-8.5002094002419568</v>
      </c>
      <c r="AM71" s="144">
        <v>-4997.5</v>
      </c>
      <c r="AN71" s="142">
        <f>SUM($AM$1:AM71)/1000</f>
        <v>-101.63940000000001</v>
      </c>
      <c r="AO71" s="142">
        <f t="shared" si="53"/>
        <v>-13.445300000000017</v>
      </c>
      <c r="AP71" s="144">
        <v>-3437.8</v>
      </c>
      <c r="AQ71" s="145">
        <f>SUM($AP$1:AP71)/1000</f>
        <v>-124.75050000000003</v>
      </c>
      <c r="AR71" s="142">
        <f t="shared" si="54"/>
        <v>-41.414900000000017</v>
      </c>
      <c r="AS71" s="144">
        <v>-7704.4400000000005</v>
      </c>
      <c r="AT71" s="142">
        <f>SUM($AS$1:AS71)/1000</f>
        <v>-431.14955999999984</v>
      </c>
      <c r="AU71" s="142">
        <f t="shared" si="55"/>
        <v>-98.001109999999926</v>
      </c>
      <c r="AV71" s="144">
        <v>8874</v>
      </c>
      <c r="AW71" s="142">
        <f>SUM($AV$1:AV71)/1000</f>
        <v>719.91800000000001</v>
      </c>
      <c r="AX71" s="142">
        <f t="shared" si="56"/>
        <v>149.40350000000001</v>
      </c>
      <c r="AZ71" s="126">
        <f t="shared" si="65"/>
        <v>-14.3507</v>
      </c>
      <c r="BA71" s="126">
        <f t="shared" si="39"/>
        <v>-149.40350000000001</v>
      </c>
      <c r="BB71" s="126">
        <f t="shared" si="40"/>
        <v>135.05280000000002</v>
      </c>
      <c r="BD71" s="126">
        <f t="shared" si="66"/>
        <v>17.68</v>
      </c>
      <c r="BE71" s="126">
        <f t="shared" si="67"/>
        <v>24.950259999999986</v>
      </c>
      <c r="BF71" s="126">
        <f t="shared" si="41"/>
        <v>7.2702599999999862</v>
      </c>
      <c r="BH71" s="126">
        <f t="shared" si="68"/>
        <v>44.582000000000001</v>
      </c>
      <c r="BI71" s="126">
        <f t="shared" si="69"/>
        <v>8.5002094002419568</v>
      </c>
      <c r="BJ71" s="126">
        <f t="shared" si="70"/>
        <v>-36.081790599758044</v>
      </c>
      <c r="BL71" s="126">
        <f t="shared" si="42"/>
        <v>-24.12</v>
      </c>
      <c r="BM71" s="126">
        <f t="shared" si="43"/>
        <v>13.445300000000017</v>
      </c>
      <c r="BN71" s="126">
        <f t="shared" si="44"/>
        <v>37.565300000000022</v>
      </c>
      <c r="BP71" s="126">
        <f t="shared" si="45"/>
        <v>24.970000000000002</v>
      </c>
      <c r="BQ71" s="126">
        <f t="shared" si="46"/>
        <v>41.414900000000017</v>
      </c>
      <c r="BR71" s="126">
        <f t="shared" si="47"/>
        <v>16.444900000000015</v>
      </c>
      <c r="BT71" s="126">
        <f t="shared" si="48"/>
        <v>22.12</v>
      </c>
      <c r="BU71" s="126">
        <f t="shared" si="49"/>
        <v>98.001109999999926</v>
      </c>
      <c r="BV71" s="126">
        <f t="shared" si="50"/>
        <v>75.881109999999921</v>
      </c>
      <c r="CC71">
        <f t="shared" si="71"/>
        <v>-109.352</v>
      </c>
    </row>
    <row r="72" spans="1:81" x14ac:dyDescent="0.2">
      <c r="A72">
        <v>4.04</v>
      </c>
      <c r="B72">
        <v>213.3</v>
      </c>
      <c r="C72">
        <v>335.1</v>
      </c>
      <c r="D72" s="126">
        <f t="shared" si="57"/>
        <v>4.1618000000000004</v>
      </c>
      <c r="E72">
        <v>4865</v>
      </c>
      <c r="F72">
        <v>12992</v>
      </c>
      <c r="G72">
        <v>8844</v>
      </c>
      <c r="H72" s="126">
        <f t="shared" si="58"/>
        <v>0.71699999999999997</v>
      </c>
      <c r="J72">
        <v>-2.29</v>
      </c>
      <c r="K72">
        <v>17.75</v>
      </c>
      <c r="L72">
        <v>2.0699999999999998</v>
      </c>
      <c r="M72" s="126">
        <f t="shared" si="59"/>
        <v>-17.97</v>
      </c>
      <c r="N72">
        <v>-58225</v>
      </c>
      <c r="O72">
        <v>9645</v>
      </c>
      <c r="P72">
        <v>24018</v>
      </c>
      <c r="Q72" s="126">
        <f t="shared" si="60"/>
        <v>-43.851999999999997</v>
      </c>
      <c r="R72">
        <v>4.04</v>
      </c>
      <c r="S72">
        <v>129.79</v>
      </c>
      <c r="T72">
        <v>143.11000000000001</v>
      </c>
      <c r="U72" s="126">
        <f t="shared" si="61"/>
        <v>17.360000000000021</v>
      </c>
      <c r="V72">
        <v>-36.79</v>
      </c>
      <c r="W72">
        <v>19</v>
      </c>
      <c r="X72">
        <v>21.48</v>
      </c>
      <c r="Y72" s="126">
        <f t="shared" si="62"/>
        <v>-34.31</v>
      </c>
      <c r="Z72">
        <v>-37.770000000000003</v>
      </c>
      <c r="AA72">
        <v>79.44</v>
      </c>
      <c r="AB72">
        <v>86.56</v>
      </c>
      <c r="AC72" s="126">
        <f t="shared" si="63"/>
        <v>-30.65</v>
      </c>
      <c r="AF72" s="128">
        <v>39797</v>
      </c>
      <c r="AG72" s="144">
        <v>-2005.732</v>
      </c>
      <c r="AH72" s="142">
        <f>SUM($AG$1:AG72)/1000</f>
        <v>-93.615103000000019</v>
      </c>
      <c r="AI72" s="142">
        <f t="shared" si="51"/>
        <v>-26.955991999999995</v>
      </c>
      <c r="AJ72" s="147">
        <f t="shared" si="64"/>
        <v>-33783.98275977782</v>
      </c>
      <c r="AK72" s="143">
        <v>-33.783982759777821</v>
      </c>
      <c r="AL72" s="142">
        <f t="shared" si="52"/>
        <v>-9.1281921600197791</v>
      </c>
      <c r="AM72" s="144">
        <v>-4861.5</v>
      </c>
      <c r="AN72" s="142">
        <f>SUM($AM$1:AM72)/1000</f>
        <v>-106.50090000000002</v>
      </c>
      <c r="AO72" s="142">
        <f t="shared" si="53"/>
        <v>-18.306800000000024</v>
      </c>
      <c r="AP72" s="144">
        <v>-3132.8</v>
      </c>
      <c r="AQ72" s="145">
        <f>SUM($AP$1:AP72)/1000</f>
        <v>-127.88330000000003</v>
      </c>
      <c r="AR72" s="142">
        <f t="shared" si="54"/>
        <v>-44.54770000000002</v>
      </c>
      <c r="AS72" s="144">
        <v>-5604.52</v>
      </c>
      <c r="AT72" s="142">
        <f>SUM($AS$1:AS72)/1000</f>
        <v>-436.75407999999982</v>
      </c>
      <c r="AU72" s="142">
        <f t="shared" si="55"/>
        <v>-103.60562999999991</v>
      </c>
      <c r="AV72" s="144">
        <v>14860</v>
      </c>
      <c r="AW72" s="142">
        <f>SUM($AV$1:AV72)/1000</f>
        <v>734.77800000000002</v>
      </c>
      <c r="AX72" s="142">
        <f t="shared" si="56"/>
        <v>164.26350000000002</v>
      </c>
      <c r="AZ72" s="126">
        <f t="shared" si="65"/>
        <v>-4.1618000000000004</v>
      </c>
      <c r="BA72" s="126">
        <f t="shared" si="39"/>
        <v>-164.26350000000002</v>
      </c>
      <c r="BB72" s="126">
        <f t="shared" si="40"/>
        <v>160.10170000000002</v>
      </c>
      <c r="BD72" s="126">
        <f t="shared" si="66"/>
        <v>17.97</v>
      </c>
      <c r="BE72" s="126">
        <f t="shared" si="67"/>
        <v>26.955991999999995</v>
      </c>
      <c r="BF72" s="126">
        <f t="shared" si="41"/>
        <v>8.985991999999996</v>
      </c>
      <c r="BH72" s="126">
        <f t="shared" si="68"/>
        <v>43.851999999999997</v>
      </c>
      <c r="BI72" s="126">
        <f t="shared" si="69"/>
        <v>9.1281921600197791</v>
      </c>
      <c r="BJ72" s="126">
        <f t="shared" si="70"/>
        <v>-34.723807839980218</v>
      </c>
      <c r="BL72" s="126">
        <f t="shared" si="42"/>
        <v>-17.360000000000021</v>
      </c>
      <c r="BM72" s="126">
        <f t="shared" si="43"/>
        <v>18.306800000000024</v>
      </c>
      <c r="BN72" s="126">
        <f t="shared" si="44"/>
        <v>35.666800000000045</v>
      </c>
      <c r="BP72" s="126">
        <f t="shared" si="45"/>
        <v>34.31</v>
      </c>
      <c r="BQ72" s="126">
        <f t="shared" si="46"/>
        <v>44.54770000000002</v>
      </c>
      <c r="BR72" s="126">
        <f t="shared" si="47"/>
        <v>10.237700000000018</v>
      </c>
      <c r="BT72" s="126">
        <f t="shared" si="48"/>
        <v>30.65</v>
      </c>
      <c r="BU72" s="126">
        <f t="shared" si="49"/>
        <v>103.60562999999991</v>
      </c>
      <c r="BV72" s="126">
        <f t="shared" si="50"/>
        <v>72.9556299999999</v>
      </c>
      <c r="CC72">
        <f t="shared" si="71"/>
        <v>-126.78200000000001</v>
      </c>
    </row>
    <row r="73" spans="1:81" x14ac:dyDescent="0.2">
      <c r="A73">
        <v>36.33</v>
      </c>
      <c r="B73">
        <v>191.20000000000002</v>
      </c>
      <c r="C73">
        <v>330.40000000000003</v>
      </c>
      <c r="D73" s="126">
        <f t="shared" si="57"/>
        <v>36.469200000000001</v>
      </c>
      <c r="E73">
        <v>4747</v>
      </c>
      <c r="F73">
        <v>12684</v>
      </c>
      <c r="G73">
        <v>8659</v>
      </c>
      <c r="H73" s="126">
        <f t="shared" si="58"/>
        <v>0.72199999999999998</v>
      </c>
      <c r="J73">
        <v>1.06</v>
      </c>
      <c r="K73">
        <v>17.57</v>
      </c>
      <c r="L73">
        <v>1.54</v>
      </c>
      <c r="M73" s="126">
        <f t="shared" si="59"/>
        <v>-14.97</v>
      </c>
      <c r="N73">
        <v>-55751</v>
      </c>
      <c r="O73">
        <v>11532</v>
      </c>
      <c r="P73">
        <v>23172</v>
      </c>
      <c r="Q73" s="126">
        <f t="shared" si="60"/>
        <v>-44.110999999999997</v>
      </c>
      <c r="R73">
        <v>36.33</v>
      </c>
      <c r="S73">
        <v>125.5</v>
      </c>
      <c r="T73">
        <v>136.26</v>
      </c>
      <c r="U73" s="126">
        <f t="shared" si="61"/>
        <v>47.089999999999989</v>
      </c>
      <c r="V73">
        <v>-34.26</v>
      </c>
      <c r="W73">
        <v>19.87</v>
      </c>
      <c r="X73">
        <v>19.79</v>
      </c>
      <c r="Y73" s="126">
        <f t="shared" si="62"/>
        <v>-34.340000000000003</v>
      </c>
      <c r="Z73">
        <v>-25.84</v>
      </c>
      <c r="AA73">
        <v>84.39</v>
      </c>
      <c r="AB73">
        <v>82.460000000000008</v>
      </c>
      <c r="AC73" s="126">
        <f t="shared" si="63"/>
        <v>-27.769999999999992</v>
      </c>
      <c r="AF73" s="128">
        <v>39828</v>
      </c>
      <c r="AG73" s="144">
        <v>-1671.6680000000001</v>
      </c>
      <c r="AH73" s="142">
        <f>SUM($AG$1:AG73)/1000</f>
        <v>-95.286771000000016</v>
      </c>
      <c r="AI73" s="142">
        <f t="shared" si="51"/>
        <v>-28.627659999999992</v>
      </c>
      <c r="AJ73" s="147">
        <f t="shared" si="64"/>
        <v>-34648.368720185739</v>
      </c>
      <c r="AK73" s="143">
        <v>-34.648368720185736</v>
      </c>
      <c r="AL73" s="142">
        <f t="shared" si="52"/>
        <v>-9.9925781204276944</v>
      </c>
      <c r="AM73" s="144">
        <v>-6897.8</v>
      </c>
      <c r="AN73" s="142">
        <f>SUM($AM$1:AM73)/1000</f>
        <v>-113.39870000000001</v>
      </c>
      <c r="AO73" s="142">
        <f t="shared" si="53"/>
        <v>-25.204600000000013</v>
      </c>
      <c r="AP73" s="144">
        <v>-3305.8</v>
      </c>
      <c r="AQ73" s="145">
        <f>SUM($AP$1:AP73)/1000</f>
        <v>-131.18910000000002</v>
      </c>
      <c r="AR73" s="142">
        <f t="shared" si="54"/>
        <v>-47.853500000000011</v>
      </c>
      <c r="AS73" s="144">
        <v>-6009.35</v>
      </c>
      <c r="AT73" s="142">
        <f>SUM($AS$1:AS73)/1000</f>
        <v>-442.7634299999998</v>
      </c>
      <c r="AU73" s="142">
        <f t="shared" si="55"/>
        <v>-109.61497999999989</v>
      </c>
      <c r="AV73" s="144">
        <v>4332</v>
      </c>
      <c r="AW73" s="142">
        <f>SUM($AV$1:AV73)/1000</f>
        <v>739.11</v>
      </c>
      <c r="AX73" s="142">
        <f t="shared" si="56"/>
        <v>168.59550000000002</v>
      </c>
      <c r="AZ73" s="126">
        <f t="shared" si="65"/>
        <v>-36.469200000000001</v>
      </c>
      <c r="BA73" s="126">
        <f t="shared" si="39"/>
        <v>-168.59550000000002</v>
      </c>
      <c r="BB73" s="126">
        <f t="shared" si="40"/>
        <v>132.12630000000001</v>
      </c>
      <c r="BD73" s="126">
        <f t="shared" si="66"/>
        <v>14.97</v>
      </c>
      <c r="BE73" s="126">
        <f t="shared" si="67"/>
        <v>28.627659999999992</v>
      </c>
      <c r="BF73" s="126">
        <f t="shared" si="41"/>
        <v>13.657659999999991</v>
      </c>
      <c r="BH73" s="126">
        <f t="shared" si="68"/>
        <v>44.110999999999997</v>
      </c>
      <c r="BI73" s="126">
        <f t="shared" si="69"/>
        <v>9.9925781204276944</v>
      </c>
      <c r="BJ73" s="126">
        <f t="shared" si="70"/>
        <v>-34.118421879572303</v>
      </c>
      <c r="BL73" s="126">
        <f t="shared" si="42"/>
        <v>-47.089999999999989</v>
      </c>
      <c r="BM73" s="126">
        <f t="shared" si="43"/>
        <v>25.204600000000013</v>
      </c>
      <c r="BN73" s="126">
        <f t="shared" si="44"/>
        <v>72.294600000000003</v>
      </c>
      <c r="BP73" s="126">
        <f t="shared" si="45"/>
        <v>34.340000000000003</v>
      </c>
      <c r="BQ73" s="126">
        <f t="shared" si="46"/>
        <v>47.853500000000011</v>
      </c>
      <c r="BR73" s="126">
        <f t="shared" si="47"/>
        <v>13.513500000000008</v>
      </c>
      <c r="BT73" s="126">
        <f t="shared" si="48"/>
        <v>27.769999999999992</v>
      </c>
      <c r="BU73" s="126">
        <f t="shared" si="49"/>
        <v>109.61497999999989</v>
      </c>
      <c r="BV73" s="126">
        <f t="shared" si="50"/>
        <v>81.844979999999893</v>
      </c>
      <c r="CC73">
        <f t="shared" si="71"/>
        <v>-121.191</v>
      </c>
    </row>
    <row r="74" spans="1:81" x14ac:dyDescent="0.2">
      <c r="A74">
        <v>42.230000000000004</v>
      </c>
      <c r="B74">
        <v>191.8</v>
      </c>
      <c r="C74">
        <v>332.5</v>
      </c>
      <c r="D74" s="126">
        <f t="shared" si="57"/>
        <v>42.370700000000006</v>
      </c>
      <c r="E74">
        <v>4725</v>
      </c>
      <c r="F74">
        <v>12717</v>
      </c>
      <c r="G74">
        <v>8714</v>
      </c>
      <c r="H74" s="126">
        <f t="shared" si="58"/>
        <v>0.72199999999999998</v>
      </c>
      <c r="J74">
        <v>0.72</v>
      </c>
      <c r="K74">
        <v>17.62</v>
      </c>
      <c r="L74">
        <v>1.53</v>
      </c>
      <c r="M74" s="126">
        <f t="shared" si="59"/>
        <v>-15.37</v>
      </c>
      <c r="N74">
        <v>-75253</v>
      </c>
      <c r="O74">
        <v>11563</v>
      </c>
      <c r="P74">
        <v>23406</v>
      </c>
      <c r="Q74" s="126">
        <f t="shared" si="60"/>
        <v>-63.41</v>
      </c>
      <c r="R74">
        <v>42.230000000000004</v>
      </c>
      <c r="S74">
        <v>125.85000000000001</v>
      </c>
      <c r="T74">
        <v>135.79</v>
      </c>
      <c r="U74" s="126">
        <f t="shared" si="61"/>
        <v>52.169999999999987</v>
      </c>
      <c r="V74">
        <v>-31.07</v>
      </c>
      <c r="W74">
        <v>19.93</v>
      </c>
      <c r="X74">
        <v>19.690000000000001</v>
      </c>
      <c r="Y74" s="126">
        <f t="shared" si="62"/>
        <v>-31.31</v>
      </c>
      <c r="Z74">
        <v>-30.16</v>
      </c>
      <c r="AA74">
        <v>84.61</v>
      </c>
      <c r="AB74">
        <v>82.03</v>
      </c>
      <c r="AC74" s="126">
        <f t="shared" si="63"/>
        <v>-32.739999999999995</v>
      </c>
      <c r="AF74" s="128">
        <v>39859</v>
      </c>
      <c r="AG74" s="144">
        <v>-1071.6479999999999</v>
      </c>
      <c r="AH74" s="142">
        <f>SUM($AG$1:AG74)/1000</f>
        <v>-96.358419000000026</v>
      </c>
      <c r="AI74" s="142">
        <f t="shared" si="51"/>
        <v>-29.699308000000002</v>
      </c>
      <c r="AJ74" s="147">
        <f t="shared" si="64"/>
        <v>-35479</v>
      </c>
      <c r="AK74" s="143">
        <v>-35.478999999999999</v>
      </c>
      <c r="AL74" s="142">
        <f t="shared" si="52"/>
        <v>-10.823209400241957</v>
      </c>
      <c r="AM74" s="144">
        <v>-4317.9000000000005</v>
      </c>
      <c r="AN74" s="142">
        <f>SUM($AM$1:AM74)/1000</f>
        <v>-117.7166</v>
      </c>
      <c r="AO74" s="142">
        <f t="shared" si="53"/>
        <v>-29.522500000000008</v>
      </c>
      <c r="AP74" s="144">
        <v>-1169.3</v>
      </c>
      <c r="AQ74" s="145">
        <f>SUM($AP$1:AP74)/1000</f>
        <v>-132.35840000000002</v>
      </c>
      <c r="AR74" s="142">
        <f t="shared" si="54"/>
        <v>-49.022800000000004</v>
      </c>
      <c r="AS74" s="144">
        <v>-7442.92</v>
      </c>
      <c r="AT74" s="142">
        <f>SUM($AS$1:AS74)/1000</f>
        <v>-450.20634999999982</v>
      </c>
      <c r="AU74" s="142">
        <f t="shared" si="55"/>
        <v>-117.0578999999999</v>
      </c>
      <c r="AV74" s="144">
        <v>9079</v>
      </c>
      <c r="AW74" s="142">
        <f>SUM($AV$1:AV74)/1000</f>
        <v>748.18899999999996</v>
      </c>
      <c r="AX74" s="142">
        <f t="shared" si="56"/>
        <v>177.67449999999997</v>
      </c>
      <c r="AZ74" s="126">
        <f t="shared" si="65"/>
        <v>-42.370700000000006</v>
      </c>
      <c r="BA74" s="126">
        <f t="shared" si="39"/>
        <v>-177.67449999999997</v>
      </c>
      <c r="BB74" s="126">
        <f t="shared" si="40"/>
        <v>135.30379999999997</v>
      </c>
      <c r="BD74" s="126">
        <f t="shared" si="66"/>
        <v>15.37</v>
      </c>
      <c r="BE74" s="126">
        <f t="shared" si="67"/>
        <v>29.699308000000002</v>
      </c>
      <c r="BF74" s="126">
        <f t="shared" si="41"/>
        <v>14.329308000000003</v>
      </c>
      <c r="BH74" s="126">
        <f t="shared" si="68"/>
        <v>63.41</v>
      </c>
      <c r="BI74" s="126">
        <f t="shared" si="69"/>
        <v>10.823209400241957</v>
      </c>
      <c r="BJ74" s="126">
        <f t="shared" si="70"/>
        <v>-52.586790599758039</v>
      </c>
      <c r="BL74" s="126">
        <f t="shared" si="42"/>
        <v>-52.169999999999987</v>
      </c>
      <c r="BM74" s="126">
        <f t="shared" si="43"/>
        <v>29.522500000000008</v>
      </c>
      <c r="BN74" s="126">
        <f t="shared" si="44"/>
        <v>81.692499999999995</v>
      </c>
      <c r="BP74" s="126">
        <f t="shared" si="45"/>
        <v>31.31</v>
      </c>
      <c r="BQ74" s="126">
        <f t="shared" si="46"/>
        <v>49.022800000000004</v>
      </c>
      <c r="BR74" s="126">
        <f t="shared" si="47"/>
        <v>17.712800000000005</v>
      </c>
      <c r="BT74" s="126">
        <f t="shared" si="48"/>
        <v>32.739999999999995</v>
      </c>
      <c r="BU74" s="126">
        <f t="shared" si="49"/>
        <v>117.0578999999999</v>
      </c>
      <c r="BV74" s="126">
        <f t="shared" si="50"/>
        <v>84.317899999999909</v>
      </c>
      <c r="CC74">
        <f t="shared" si="71"/>
        <v>-142.82999999999998</v>
      </c>
    </row>
    <row r="75" spans="1:81" x14ac:dyDescent="0.2">
      <c r="A75">
        <v>56.93</v>
      </c>
      <c r="B75">
        <v>193.10000000000002</v>
      </c>
      <c r="C75">
        <v>333.5</v>
      </c>
      <c r="D75" s="126">
        <f t="shared" si="57"/>
        <v>57.070399999999999</v>
      </c>
      <c r="E75">
        <v>4754</v>
      </c>
      <c r="F75">
        <v>12803</v>
      </c>
      <c r="G75">
        <v>8771</v>
      </c>
      <c r="H75" s="126">
        <f t="shared" si="58"/>
        <v>0.72199999999999998</v>
      </c>
      <c r="J75">
        <v>0.18</v>
      </c>
      <c r="K75">
        <v>17.740000000000002</v>
      </c>
      <c r="L75">
        <v>1.4000000000000001</v>
      </c>
      <c r="M75" s="126">
        <f t="shared" si="59"/>
        <v>-16.160000000000004</v>
      </c>
      <c r="N75">
        <v>-103531</v>
      </c>
      <c r="O75">
        <v>11639</v>
      </c>
      <c r="P75">
        <v>23756</v>
      </c>
      <c r="Q75" s="126">
        <f t="shared" si="60"/>
        <v>-91.414000000000001</v>
      </c>
      <c r="R75">
        <v>56.93</v>
      </c>
      <c r="S75">
        <v>126.7</v>
      </c>
      <c r="T75">
        <v>136.85</v>
      </c>
      <c r="U75" s="126">
        <f t="shared" si="61"/>
        <v>67.079999999999984</v>
      </c>
      <c r="V75">
        <v>-35.92</v>
      </c>
      <c r="W75">
        <v>20.059999999999999</v>
      </c>
      <c r="X75">
        <v>19.86</v>
      </c>
      <c r="Y75" s="126">
        <f t="shared" si="62"/>
        <v>-36.120000000000005</v>
      </c>
      <c r="Z75">
        <v>-24.91</v>
      </c>
      <c r="AA75">
        <v>85.16</v>
      </c>
      <c r="AB75">
        <v>82.710000000000008</v>
      </c>
      <c r="AC75" s="126">
        <f t="shared" si="63"/>
        <v>-27.359999999999989</v>
      </c>
      <c r="AF75" s="128">
        <v>39887</v>
      </c>
      <c r="AG75" s="144">
        <v>-1850.877</v>
      </c>
      <c r="AH75" s="142">
        <f>SUM($AG$1:AG75)/1000</f>
        <v>-98.209296000000023</v>
      </c>
      <c r="AI75" s="142">
        <f t="shared" si="51"/>
        <v>-31.550184999999999</v>
      </c>
      <c r="AJ75" s="147">
        <f t="shared" si="64"/>
        <v>-36065.393275639683</v>
      </c>
      <c r="AK75" s="143">
        <v>-36.065393275639686</v>
      </c>
      <c r="AL75" s="142">
        <f t="shared" si="52"/>
        <v>-11.409602675881644</v>
      </c>
      <c r="AM75" s="144">
        <v>-4803.6000000000004</v>
      </c>
      <c r="AN75" s="142">
        <f>SUM($AM$1:AM75)/1000</f>
        <v>-122.52020000000002</v>
      </c>
      <c r="AO75" s="142">
        <f t="shared" si="53"/>
        <v>-34.326100000000025</v>
      </c>
      <c r="AP75" s="144">
        <v>-2619.6</v>
      </c>
      <c r="AQ75" s="145">
        <f>SUM($AP$1:AP75)/1000</f>
        <v>-134.97800000000004</v>
      </c>
      <c r="AR75" s="142">
        <f t="shared" si="54"/>
        <v>-51.642400000000023</v>
      </c>
      <c r="AS75" s="144">
        <v>-5915.79</v>
      </c>
      <c r="AT75" s="142">
        <f>SUM($AS$1:AS75)/1000</f>
        <v>-456.12213999999977</v>
      </c>
      <c r="AU75" s="142">
        <f t="shared" si="55"/>
        <v>-122.97368999999986</v>
      </c>
      <c r="AV75" s="144">
        <v>13346</v>
      </c>
      <c r="AW75" s="142">
        <f>SUM($AV$1:AV75)/1000</f>
        <v>761.53499999999997</v>
      </c>
      <c r="AX75" s="142">
        <f t="shared" si="56"/>
        <v>191.02049999999997</v>
      </c>
      <c r="AZ75" s="126">
        <f t="shared" si="65"/>
        <v>-57.070399999999999</v>
      </c>
      <c r="BA75" s="126">
        <f t="shared" si="39"/>
        <v>-191.02049999999997</v>
      </c>
      <c r="BB75" s="126">
        <f t="shared" si="40"/>
        <v>133.95009999999996</v>
      </c>
      <c r="BD75" s="126">
        <f t="shared" si="66"/>
        <v>16.160000000000004</v>
      </c>
      <c r="BE75" s="126">
        <f t="shared" si="67"/>
        <v>31.550184999999999</v>
      </c>
      <c r="BF75" s="126">
        <f t="shared" si="41"/>
        <v>15.390184999999995</v>
      </c>
      <c r="BH75" s="126">
        <f t="shared" si="68"/>
        <v>91.414000000000001</v>
      </c>
      <c r="BI75" s="126">
        <f t="shared" si="69"/>
        <v>11.409602675881644</v>
      </c>
      <c r="BJ75" s="126">
        <f t="shared" si="70"/>
        <v>-80.004397324118358</v>
      </c>
      <c r="BL75" s="126">
        <f t="shared" si="42"/>
        <v>-67.079999999999984</v>
      </c>
      <c r="BM75" s="126">
        <f t="shared" si="43"/>
        <v>34.326100000000025</v>
      </c>
      <c r="BN75" s="126">
        <f t="shared" si="44"/>
        <v>101.40610000000001</v>
      </c>
      <c r="BP75" s="126">
        <f t="shared" si="45"/>
        <v>36.120000000000005</v>
      </c>
      <c r="BQ75" s="126">
        <f t="shared" si="46"/>
        <v>51.642400000000023</v>
      </c>
      <c r="BR75" s="126">
        <f t="shared" si="47"/>
        <v>15.522400000000019</v>
      </c>
      <c r="BT75" s="126">
        <f t="shared" si="48"/>
        <v>27.359999999999989</v>
      </c>
      <c r="BU75" s="126">
        <f t="shared" si="49"/>
        <v>122.97368999999986</v>
      </c>
      <c r="BV75" s="126">
        <f t="shared" si="50"/>
        <v>95.613689999999878</v>
      </c>
      <c r="CC75">
        <f t="shared" si="71"/>
        <v>-171.05399999999997</v>
      </c>
    </row>
    <row r="76" spans="1:81" x14ac:dyDescent="0.2">
      <c r="A76">
        <v>55.050000000000004</v>
      </c>
      <c r="B76">
        <v>196.20000000000002</v>
      </c>
      <c r="C76">
        <v>338</v>
      </c>
      <c r="D76" s="126">
        <f t="shared" si="57"/>
        <v>55.191800000000008</v>
      </c>
      <c r="E76">
        <v>4744</v>
      </c>
      <c r="F76">
        <v>13006</v>
      </c>
      <c r="G76">
        <v>8984</v>
      </c>
      <c r="H76" s="126">
        <f t="shared" si="58"/>
        <v>0.72199999999999998</v>
      </c>
      <c r="J76">
        <v>1.54</v>
      </c>
      <c r="K76">
        <v>18.010000000000002</v>
      </c>
      <c r="L76">
        <v>1.41</v>
      </c>
      <c r="M76" s="126">
        <f t="shared" si="59"/>
        <v>-15.060000000000002</v>
      </c>
      <c r="N76">
        <v>-109756</v>
      </c>
      <c r="O76">
        <v>11811</v>
      </c>
      <c r="P76">
        <v>24049</v>
      </c>
      <c r="Q76" s="126">
        <f t="shared" si="60"/>
        <v>-97.518000000000001</v>
      </c>
      <c r="R76">
        <v>55.050000000000004</v>
      </c>
      <c r="S76">
        <v>128.69999999999999</v>
      </c>
      <c r="T76">
        <v>138.42000000000002</v>
      </c>
      <c r="U76" s="126">
        <f t="shared" si="61"/>
        <v>64.770000000000039</v>
      </c>
      <c r="V76">
        <v>-45.800000000000004</v>
      </c>
      <c r="W76">
        <v>20.37</v>
      </c>
      <c r="X76">
        <v>20.53</v>
      </c>
      <c r="Y76" s="126">
        <f t="shared" si="62"/>
        <v>-45.64</v>
      </c>
      <c r="Z76">
        <v>-17.8</v>
      </c>
      <c r="AA76">
        <v>86.460000000000008</v>
      </c>
      <c r="AB76">
        <v>83.28</v>
      </c>
      <c r="AC76" s="126">
        <f t="shared" si="63"/>
        <v>-20.980000000000008</v>
      </c>
      <c r="AF76" s="128">
        <v>39918</v>
      </c>
      <c r="AG76" s="144">
        <v>-1461.0319999999999</v>
      </c>
      <c r="AH76" s="142">
        <f>SUM($AG$1:AG76)/1000</f>
        <v>-99.670328000000026</v>
      </c>
      <c r="AI76" s="142">
        <f t="shared" si="51"/>
        <v>-33.011217000000002</v>
      </c>
      <c r="AJ76" s="147">
        <f t="shared" si="64"/>
        <v>-36435.763454095242</v>
      </c>
      <c r="AK76" s="143">
        <v>-36.435763454095245</v>
      </c>
      <c r="AL76" s="142">
        <f t="shared" si="52"/>
        <v>-11.779972854337203</v>
      </c>
      <c r="AM76" s="144">
        <v>-2225.2000000000003</v>
      </c>
      <c r="AN76" s="142">
        <f>SUM($AM$1:AM76)/1000</f>
        <v>-124.7454</v>
      </c>
      <c r="AO76" s="142">
        <f t="shared" si="53"/>
        <v>-36.551300000000012</v>
      </c>
      <c r="AP76" s="144">
        <v>-2883.6</v>
      </c>
      <c r="AQ76" s="145">
        <f>SUM($AP$1:AP76)/1000</f>
        <v>-137.86160000000004</v>
      </c>
      <c r="AR76" s="142">
        <f t="shared" si="54"/>
        <v>-54.526000000000025</v>
      </c>
      <c r="AS76" s="144">
        <v>-3733.01</v>
      </c>
      <c r="AT76" s="142">
        <f>SUM($AS$1:AS76)/1000</f>
        <v>-459.85514999999981</v>
      </c>
      <c r="AU76" s="142">
        <f t="shared" si="55"/>
        <v>-126.7066999999999</v>
      </c>
      <c r="AV76" s="144">
        <v>7838</v>
      </c>
      <c r="AW76" s="142">
        <f>SUM($AV$1:AV76)/1000</f>
        <v>769.37300000000005</v>
      </c>
      <c r="AX76" s="142">
        <f t="shared" si="56"/>
        <v>198.85850000000005</v>
      </c>
      <c r="AZ76" s="126">
        <f t="shared" si="65"/>
        <v>-55.191800000000008</v>
      </c>
      <c r="BA76" s="126">
        <f t="shared" si="39"/>
        <v>-198.85850000000005</v>
      </c>
      <c r="BB76" s="126">
        <f t="shared" si="40"/>
        <v>143.66670000000005</v>
      </c>
      <c r="BD76" s="126">
        <f t="shared" si="66"/>
        <v>15.060000000000002</v>
      </c>
      <c r="BE76" s="126">
        <f t="shared" si="67"/>
        <v>33.011217000000002</v>
      </c>
      <c r="BF76" s="126">
        <f t="shared" si="41"/>
        <v>17.951217</v>
      </c>
      <c r="BH76" s="126">
        <f t="shared" si="68"/>
        <v>97.518000000000001</v>
      </c>
      <c r="BI76" s="126">
        <f t="shared" si="69"/>
        <v>11.779972854337203</v>
      </c>
      <c r="BJ76" s="126">
        <f t="shared" si="70"/>
        <v>-85.738027145662798</v>
      </c>
      <c r="BL76" s="126">
        <f t="shared" si="42"/>
        <v>-64.770000000000039</v>
      </c>
      <c r="BM76" s="126">
        <f t="shared" si="43"/>
        <v>36.551300000000012</v>
      </c>
      <c r="BN76" s="126">
        <f t="shared" si="44"/>
        <v>101.32130000000005</v>
      </c>
      <c r="BP76" s="126">
        <f t="shared" si="45"/>
        <v>45.64</v>
      </c>
      <c r="BQ76" s="126">
        <f t="shared" si="46"/>
        <v>54.526000000000025</v>
      </c>
      <c r="BR76" s="126">
        <f t="shared" si="47"/>
        <v>8.8860000000000241</v>
      </c>
      <c r="BT76" s="126">
        <f t="shared" si="48"/>
        <v>20.980000000000008</v>
      </c>
      <c r="BU76" s="126">
        <f t="shared" si="49"/>
        <v>126.7066999999999</v>
      </c>
      <c r="BV76" s="126">
        <f t="shared" si="50"/>
        <v>105.72669999999989</v>
      </c>
      <c r="CC76">
        <f t="shared" si="71"/>
        <v>-179.19800000000001</v>
      </c>
    </row>
    <row r="77" spans="1:81" x14ac:dyDescent="0.2">
      <c r="A77">
        <v>61.63</v>
      </c>
      <c r="B77">
        <v>196.8</v>
      </c>
      <c r="C77">
        <v>339</v>
      </c>
      <c r="D77" s="126">
        <f t="shared" si="57"/>
        <v>61.772200000000005</v>
      </c>
      <c r="E77">
        <v>4711</v>
      </c>
      <c r="F77">
        <v>13046</v>
      </c>
      <c r="G77">
        <v>9057</v>
      </c>
      <c r="H77" s="126">
        <f t="shared" si="58"/>
        <v>0.72199999999999998</v>
      </c>
      <c r="J77">
        <v>1.84</v>
      </c>
      <c r="K77">
        <v>18.07</v>
      </c>
      <c r="L77">
        <v>1.31</v>
      </c>
      <c r="M77" s="126">
        <f t="shared" si="59"/>
        <v>-14.920000000000002</v>
      </c>
      <c r="N77">
        <v>-110101</v>
      </c>
      <c r="O77">
        <v>11832</v>
      </c>
      <c r="P77">
        <v>24241</v>
      </c>
      <c r="Q77" s="126">
        <f t="shared" si="60"/>
        <v>-97.691999999999993</v>
      </c>
      <c r="R77">
        <v>61.63</v>
      </c>
      <c r="S77">
        <v>129.09</v>
      </c>
      <c r="T77">
        <v>138.19</v>
      </c>
      <c r="U77" s="126">
        <f t="shared" si="61"/>
        <v>70.72999999999999</v>
      </c>
      <c r="V77">
        <v>-37.51</v>
      </c>
      <c r="W77">
        <v>20.440000000000001</v>
      </c>
      <c r="X77">
        <v>20.330000000000002</v>
      </c>
      <c r="Y77" s="126">
        <f t="shared" si="62"/>
        <v>-37.619999999999997</v>
      </c>
      <c r="Z77">
        <v>-18.150000000000002</v>
      </c>
      <c r="AA77">
        <v>86.72</v>
      </c>
      <c r="AB77">
        <v>82.72</v>
      </c>
      <c r="AC77" s="126">
        <f t="shared" si="63"/>
        <v>-22.150000000000002</v>
      </c>
      <c r="AF77" s="128">
        <v>39948</v>
      </c>
      <c r="AG77" s="144">
        <v>-1636.587</v>
      </c>
      <c r="AH77" s="142">
        <f>SUM($AG$1:AG77)/1000</f>
        <v>-101.30691500000002</v>
      </c>
      <c r="AI77" s="142">
        <f t="shared" si="51"/>
        <v>-34.647803999999994</v>
      </c>
      <c r="AJ77" s="147">
        <f t="shared" si="64"/>
        <v>-36678</v>
      </c>
      <c r="AK77" s="143">
        <v>-36.677999999999997</v>
      </c>
      <c r="AL77" s="142">
        <f t="shared" si="52"/>
        <v>-12.022209400241955</v>
      </c>
      <c r="AM77" s="144">
        <v>-1699.7</v>
      </c>
      <c r="AN77" s="142">
        <f>SUM($AM$1:AM77)/1000</f>
        <v>-126.44510000000001</v>
      </c>
      <c r="AO77" s="142">
        <f t="shared" si="53"/>
        <v>-38.251000000000019</v>
      </c>
      <c r="AP77" s="144">
        <v>-1864</v>
      </c>
      <c r="AQ77" s="145">
        <f>SUM($AP$1:AP77)/1000</f>
        <v>-139.72560000000004</v>
      </c>
      <c r="AR77" s="142">
        <f t="shared" si="54"/>
        <v>-56.390000000000029</v>
      </c>
      <c r="AS77" s="144">
        <v>-2981.9500000000003</v>
      </c>
      <c r="AT77" s="142">
        <f>SUM($AS$1:AS77)/1000</f>
        <v>-462.83709999999979</v>
      </c>
      <c r="AU77" s="142">
        <f t="shared" si="55"/>
        <v>-129.68864999999988</v>
      </c>
      <c r="AV77" s="144">
        <v>7050</v>
      </c>
      <c r="AW77" s="142">
        <f>SUM($AV$1:AV77)/1000</f>
        <v>776.423</v>
      </c>
      <c r="AX77" s="142">
        <f t="shared" si="56"/>
        <v>205.9085</v>
      </c>
      <c r="AZ77" s="126">
        <f t="shared" si="65"/>
        <v>-61.772200000000005</v>
      </c>
      <c r="BA77" s="126">
        <f t="shared" si="39"/>
        <v>-205.9085</v>
      </c>
      <c r="BB77" s="126">
        <f t="shared" si="40"/>
        <v>144.13630000000001</v>
      </c>
      <c r="BD77" s="126">
        <f t="shared" si="66"/>
        <v>14.920000000000002</v>
      </c>
      <c r="BE77" s="126">
        <f t="shared" si="67"/>
        <v>34.647803999999994</v>
      </c>
      <c r="BF77" s="126">
        <f t="shared" si="41"/>
        <v>19.727803999999992</v>
      </c>
      <c r="BH77" s="126">
        <f t="shared" si="68"/>
        <v>97.691999999999993</v>
      </c>
      <c r="BI77" s="126">
        <f t="shared" si="69"/>
        <v>12.022209400241955</v>
      </c>
      <c r="BJ77" s="126">
        <f t="shared" si="70"/>
        <v>-85.669790599758045</v>
      </c>
      <c r="BL77" s="126">
        <f t="shared" si="42"/>
        <v>-70.72999999999999</v>
      </c>
      <c r="BM77" s="126">
        <f t="shared" si="43"/>
        <v>38.251000000000019</v>
      </c>
      <c r="BN77" s="126">
        <f t="shared" si="44"/>
        <v>108.98100000000001</v>
      </c>
      <c r="BP77" s="126">
        <f t="shared" si="45"/>
        <v>37.619999999999997</v>
      </c>
      <c r="BQ77" s="126">
        <f t="shared" si="46"/>
        <v>56.390000000000029</v>
      </c>
      <c r="BR77" s="126">
        <f t="shared" si="47"/>
        <v>18.770000000000032</v>
      </c>
      <c r="BT77" s="126">
        <f t="shared" si="48"/>
        <v>22.150000000000002</v>
      </c>
      <c r="BU77" s="126">
        <f t="shared" si="49"/>
        <v>129.68864999999988</v>
      </c>
      <c r="BV77" s="126">
        <f t="shared" si="50"/>
        <v>107.53864999999988</v>
      </c>
      <c r="CC77">
        <f t="shared" si="71"/>
        <v>-172.38200000000001</v>
      </c>
    </row>
    <row r="78" spans="1:81" x14ac:dyDescent="0.2">
      <c r="A78">
        <v>63.64</v>
      </c>
      <c r="B78">
        <v>197.5</v>
      </c>
      <c r="C78">
        <v>339.40000000000003</v>
      </c>
      <c r="D78" s="126">
        <f t="shared" si="57"/>
        <v>63.7819</v>
      </c>
      <c r="E78">
        <v>4648</v>
      </c>
      <c r="F78">
        <v>13090</v>
      </c>
      <c r="G78">
        <v>9164</v>
      </c>
      <c r="H78" s="126">
        <f t="shared" si="58"/>
        <v>0.72199999999999998</v>
      </c>
      <c r="J78">
        <v>4.18</v>
      </c>
      <c r="K78">
        <v>18.13</v>
      </c>
      <c r="L78">
        <v>1.29</v>
      </c>
      <c r="M78" s="126">
        <f t="shared" si="59"/>
        <v>-12.66</v>
      </c>
      <c r="N78">
        <v>-110727</v>
      </c>
      <c r="O78">
        <v>11854</v>
      </c>
      <c r="P78">
        <v>24427</v>
      </c>
      <c r="Q78" s="126">
        <f t="shared" si="60"/>
        <v>-98.153999999999996</v>
      </c>
      <c r="R78">
        <v>63.64</v>
      </c>
      <c r="S78">
        <v>129.5</v>
      </c>
      <c r="T78">
        <v>138.08000000000001</v>
      </c>
      <c r="U78" s="126">
        <f t="shared" si="61"/>
        <v>72.220000000000013</v>
      </c>
      <c r="V78">
        <v>-43.79</v>
      </c>
      <c r="W78">
        <v>20.51</v>
      </c>
      <c r="X78">
        <v>20.3</v>
      </c>
      <c r="Y78" s="126">
        <f t="shared" si="62"/>
        <v>-44</v>
      </c>
      <c r="Z78">
        <v>-27.1</v>
      </c>
      <c r="AA78">
        <v>87.01</v>
      </c>
      <c r="AB78">
        <v>83.63</v>
      </c>
      <c r="AC78" s="126">
        <f t="shared" si="63"/>
        <v>-30.480000000000011</v>
      </c>
      <c r="AF78" s="128">
        <v>39979</v>
      </c>
      <c r="AG78" s="144">
        <v>-1778.472</v>
      </c>
      <c r="AH78" s="142">
        <f>SUM($AG$1:AG78)/1000</f>
        <v>-103.08538700000001</v>
      </c>
      <c r="AI78" s="142">
        <f t="shared" si="51"/>
        <v>-36.426275999999987</v>
      </c>
      <c r="AJ78" s="147">
        <f t="shared" si="64"/>
        <v>-36860.925619144924</v>
      </c>
      <c r="AK78" s="143">
        <v>-36.860925619144922</v>
      </c>
      <c r="AL78" s="142">
        <f t="shared" si="52"/>
        <v>-12.20513501938688</v>
      </c>
      <c r="AM78" s="144">
        <v>-2388.2000000000003</v>
      </c>
      <c r="AN78" s="142">
        <f>SUM($AM$1:AM78)/1000</f>
        <v>-128.83330000000001</v>
      </c>
      <c r="AO78" s="142">
        <f t="shared" si="53"/>
        <v>-40.639200000000017</v>
      </c>
      <c r="AP78" s="144">
        <v>-2241.3000000000002</v>
      </c>
      <c r="AQ78" s="145">
        <f>SUM($AP$1:AP78)/1000</f>
        <v>-141.96690000000001</v>
      </c>
      <c r="AR78" s="142">
        <f t="shared" si="54"/>
        <v>-58.631299999999996</v>
      </c>
      <c r="AS78" s="144">
        <v>-2438.35</v>
      </c>
      <c r="AT78" s="142">
        <f>SUM($AS$1:AS78)/1000</f>
        <v>-465.27544999999975</v>
      </c>
      <c r="AU78" s="142">
        <f t="shared" si="55"/>
        <v>-132.12699999999984</v>
      </c>
      <c r="AV78" s="144">
        <v>13498</v>
      </c>
      <c r="AW78" s="142">
        <f>SUM($AV$1:AV78)/1000</f>
        <v>789.92100000000005</v>
      </c>
      <c r="AX78" s="142">
        <f t="shared" si="56"/>
        <v>219.40650000000005</v>
      </c>
      <c r="AZ78" s="126">
        <f t="shared" si="65"/>
        <v>-63.7819</v>
      </c>
      <c r="BA78" s="126">
        <f t="shared" si="39"/>
        <v>-219.40650000000005</v>
      </c>
      <c r="BB78" s="126">
        <f t="shared" si="40"/>
        <v>155.62460000000004</v>
      </c>
      <c r="BD78" s="126">
        <f t="shared" si="66"/>
        <v>12.66</v>
      </c>
      <c r="BE78" s="126">
        <f t="shared" si="67"/>
        <v>36.426275999999987</v>
      </c>
      <c r="BF78" s="126">
        <f t="shared" si="41"/>
        <v>23.766275999999987</v>
      </c>
      <c r="BH78" s="126">
        <f t="shared" si="68"/>
        <v>98.153999999999996</v>
      </c>
      <c r="BI78" s="126">
        <f t="shared" si="69"/>
        <v>12.20513501938688</v>
      </c>
      <c r="BJ78" s="126">
        <f t="shared" si="70"/>
        <v>-85.948864980613109</v>
      </c>
      <c r="BL78" s="126">
        <f t="shared" si="42"/>
        <v>-72.220000000000013</v>
      </c>
      <c r="BM78" s="126">
        <f t="shared" si="43"/>
        <v>40.639200000000017</v>
      </c>
      <c r="BN78" s="126">
        <f t="shared" si="44"/>
        <v>112.85920000000003</v>
      </c>
      <c r="BP78" s="126">
        <f t="shared" si="45"/>
        <v>44</v>
      </c>
      <c r="BQ78" s="126">
        <f t="shared" si="46"/>
        <v>58.631299999999996</v>
      </c>
      <c r="BR78" s="126">
        <f t="shared" si="47"/>
        <v>14.631299999999996</v>
      </c>
      <c r="BT78" s="126">
        <f t="shared" si="48"/>
        <v>30.480000000000011</v>
      </c>
      <c r="BU78" s="126">
        <f t="shared" si="49"/>
        <v>132.12699999999984</v>
      </c>
      <c r="BV78" s="126">
        <f t="shared" si="50"/>
        <v>101.64699999999982</v>
      </c>
      <c r="CC78">
        <f t="shared" si="71"/>
        <v>-185.29400000000001</v>
      </c>
    </row>
    <row r="79" spans="1:81" x14ac:dyDescent="0.2">
      <c r="A79">
        <v>54.72</v>
      </c>
      <c r="B79">
        <v>199.8</v>
      </c>
      <c r="C79">
        <v>341.5</v>
      </c>
      <c r="D79" s="126">
        <f t="shared" si="57"/>
        <v>54.861699999999999</v>
      </c>
      <c r="E79">
        <v>4659</v>
      </c>
      <c r="F79">
        <v>13242</v>
      </c>
      <c r="G79">
        <v>9305</v>
      </c>
      <c r="H79" s="126">
        <f t="shared" si="58"/>
        <v>0.72199999999999998</v>
      </c>
      <c r="J79">
        <v>-0.12</v>
      </c>
      <c r="K79">
        <v>18.34</v>
      </c>
      <c r="L79">
        <v>1.57</v>
      </c>
      <c r="M79" s="126">
        <f t="shared" si="59"/>
        <v>-16.89</v>
      </c>
      <c r="N79">
        <v>-84707</v>
      </c>
      <c r="O79">
        <v>11980</v>
      </c>
      <c r="P79">
        <v>24748</v>
      </c>
      <c r="Q79" s="126">
        <f t="shared" si="60"/>
        <v>-71.938999999999993</v>
      </c>
      <c r="R79">
        <v>54.72</v>
      </c>
      <c r="S79">
        <v>130.99</v>
      </c>
      <c r="T79">
        <v>140.71</v>
      </c>
      <c r="U79" s="126">
        <f t="shared" si="61"/>
        <v>64.44</v>
      </c>
      <c r="V79">
        <v>-37.39</v>
      </c>
      <c r="W79">
        <v>20.75</v>
      </c>
      <c r="X79">
        <v>20.36</v>
      </c>
      <c r="Y79" s="126">
        <f t="shared" si="62"/>
        <v>-37.78</v>
      </c>
      <c r="Z79">
        <v>-30.3</v>
      </c>
      <c r="AA79">
        <v>88.02</v>
      </c>
      <c r="AB79">
        <v>83.83</v>
      </c>
      <c r="AC79" s="126">
        <f t="shared" si="63"/>
        <v>-34.489999999999995</v>
      </c>
      <c r="AF79" s="128">
        <v>40009</v>
      </c>
      <c r="AG79" s="144">
        <v>-808.04700000000003</v>
      </c>
      <c r="AH79" s="142">
        <f>SUM($AG$1:AG79)/1000</f>
        <v>-103.89343400000003</v>
      </c>
      <c r="AI79" s="142">
        <f t="shared" si="51"/>
        <v>-37.234323000000003</v>
      </c>
      <c r="AJ79" s="147">
        <f t="shared" si="64"/>
        <v>-36977.095981951767</v>
      </c>
      <c r="AK79" s="143">
        <v>-36.97709598195177</v>
      </c>
      <c r="AL79" s="142">
        <f t="shared" si="52"/>
        <v>-12.321305382193728</v>
      </c>
      <c r="AM79" s="144">
        <v>2597.1000000000004</v>
      </c>
      <c r="AN79" s="142">
        <f>SUM($AM$1:AM79)/1000</f>
        <v>-126.2362</v>
      </c>
      <c r="AO79" s="142">
        <f t="shared" si="53"/>
        <v>-38.042100000000005</v>
      </c>
      <c r="AP79" s="144">
        <v>-1598.9</v>
      </c>
      <c r="AQ79" s="145">
        <f>SUM($AP$1:AP79)/1000</f>
        <v>-143.56580000000002</v>
      </c>
      <c r="AR79" s="142">
        <f t="shared" si="54"/>
        <v>-60.230200000000011</v>
      </c>
      <c r="AS79" s="144">
        <v>-1797.23</v>
      </c>
      <c r="AT79" s="142">
        <f>SUM($AS$1:AS79)/1000</f>
        <v>-467.07267999999976</v>
      </c>
      <c r="AU79" s="142">
        <f t="shared" si="55"/>
        <v>-133.92422999999985</v>
      </c>
      <c r="AV79" s="144">
        <v>14035</v>
      </c>
      <c r="AW79" s="142">
        <f>SUM($AV$1:AV79)/1000</f>
        <v>803.95600000000002</v>
      </c>
      <c r="AX79" s="142">
        <f t="shared" si="56"/>
        <v>233.44150000000002</v>
      </c>
      <c r="AZ79" s="126">
        <f t="shared" si="65"/>
        <v>-54.861699999999999</v>
      </c>
      <c r="BA79" s="126">
        <f t="shared" si="39"/>
        <v>-233.44150000000002</v>
      </c>
      <c r="BB79" s="126">
        <f t="shared" si="40"/>
        <v>178.57980000000003</v>
      </c>
      <c r="BD79" s="126">
        <f t="shared" si="66"/>
        <v>16.89</v>
      </c>
      <c r="BE79" s="126">
        <f t="shared" si="67"/>
        <v>37.234323000000003</v>
      </c>
      <c r="BF79" s="126">
        <f t="shared" si="41"/>
        <v>20.344323000000003</v>
      </c>
      <c r="BH79" s="126">
        <f t="shared" si="68"/>
        <v>71.938999999999993</v>
      </c>
      <c r="BI79" s="126">
        <f t="shared" si="69"/>
        <v>12.321305382193728</v>
      </c>
      <c r="BJ79" s="126">
        <f t="shared" si="70"/>
        <v>-59.617694617806265</v>
      </c>
      <c r="BL79" s="126">
        <f t="shared" si="42"/>
        <v>-64.44</v>
      </c>
      <c r="BM79" s="126">
        <f t="shared" si="43"/>
        <v>38.042100000000005</v>
      </c>
      <c r="BN79" s="126">
        <f t="shared" si="44"/>
        <v>102.4821</v>
      </c>
      <c r="BP79" s="126">
        <f t="shared" si="45"/>
        <v>37.78</v>
      </c>
      <c r="BQ79" s="126">
        <f t="shared" si="46"/>
        <v>60.230200000000011</v>
      </c>
      <c r="BR79" s="126">
        <f t="shared" si="47"/>
        <v>22.450200000000009</v>
      </c>
      <c r="BT79" s="126">
        <f t="shared" si="48"/>
        <v>34.489999999999995</v>
      </c>
      <c r="BU79" s="126">
        <f t="shared" si="49"/>
        <v>133.92422999999985</v>
      </c>
      <c r="BV79" s="126">
        <f t="shared" si="50"/>
        <v>99.434229999999857</v>
      </c>
      <c r="CC79">
        <f t="shared" si="71"/>
        <v>-161.09899999999999</v>
      </c>
    </row>
    <row r="80" spans="1:81" x14ac:dyDescent="0.2">
      <c r="A80">
        <v>51.08</v>
      </c>
      <c r="B80">
        <v>198.5</v>
      </c>
      <c r="C80">
        <v>341.90000000000003</v>
      </c>
      <c r="D80" s="126">
        <f t="shared" si="57"/>
        <v>51.223399999999998</v>
      </c>
      <c r="E80">
        <v>4559</v>
      </c>
      <c r="F80">
        <v>13157</v>
      </c>
      <c r="G80">
        <v>9320</v>
      </c>
      <c r="H80" s="126">
        <f t="shared" si="58"/>
        <v>0.72199999999999998</v>
      </c>
      <c r="J80">
        <v>-1.54</v>
      </c>
      <c r="K80">
        <v>18.22</v>
      </c>
      <c r="L80">
        <v>1.1400000000000001</v>
      </c>
      <c r="M80" s="126">
        <f t="shared" si="59"/>
        <v>-18.619999999999997</v>
      </c>
      <c r="N80">
        <v>-68796</v>
      </c>
      <c r="O80">
        <v>11904</v>
      </c>
      <c r="P80">
        <v>24800</v>
      </c>
      <c r="Q80" s="126">
        <f t="shared" si="60"/>
        <v>-55.9</v>
      </c>
      <c r="R80">
        <v>51.08</v>
      </c>
      <c r="S80">
        <v>130.16</v>
      </c>
      <c r="T80">
        <v>138.94</v>
      </c>
      <c r="U80" s="126">
        <f t="shared" si="61"/>
        <v>59.86</v>
      </c>
      <c r="V80">
        <v>-36.050000000000004</v>
      </c>
      <c r="W80">
        <v>20.61</v>
      </c>
      <c r="X80">
        <v>19.53</v>
      </c>
      <c r="Y80" s="126">
        <f t="shared" si="62"/>
        <v>-37.130000000000003</v>
      </c>
      <c r="Z80">
        <v>-35.04</v>
      </c>
      <c r="AA80">
        <v>87.47</v>
      </c>
      <c r="AB80">
        <v>81.92</v>
      </c>
      <c r="AC80" s="126">
        <f t="shared" si="63"/>
        <v>-40.589999999999996</v>
      </c>
      <c r="AF80" s="128">
        <v>40040</v>
      </c>
      <c r="AG80" s="144">
        <v>-1248.6770000000001</v>
      </c>
      <c r="AH80" s="142">
        <f>SUM($AG$1:AG80)/1000</f>
        <v>-105.14211100000001</v>
      </c>
      <c r="AI80" s="142">
        <f t="shared" si="51"/>
        <v>-38.48299999999999</v>
      </c>
      <c r="AJ80" s="147">
        <f t="shared" si="64"/>
        <v>-37000</v>
      </c>
      <c r="AK80" s="143">
        <v>-37</v>
      </c>
      <c r="AL80" s="142">
        <f t="shared" si="52"/>
        <v>-12.344209400241958</v>
      </c>
      <c r="AM80" s="144">
        <v>-3599.2000000000003</v>
      </c>
      <c r="AN80" s="142">
        <f>SUM($AM$1:AM80)/1000</f>
        <v>-129.83539999999999</v>
      </c>
      <c r="AO80" s="142">
        <f t="shared" si="53"/>
        <v>-41.641300000000001</v>
      </c>
      <c r="AP80" s="144">
        <v>-466.90000000000003</v>
      </c>
      <c r="AQ80" s="145">
        <f>SUM($AP$1:AP80)/1000</f>
        <v>-144.03270000000001</v>
      </c>
      <c r="AR80" s="142">
        <f t="shared" si="54"/>
        <v>-60.697099999999992</v>
      </c>
      <c r="AS80" s="144">
        <v>-2841.73</v>
      </c>
      <c r="AT80" s="142">
        <f>SUM($AS$1:AS80)/1000</f>
        <v>-469.91440999999975</v>
      </c>
      <c r="AU80" s="142">
        <f t="shared" si="55"/>
        <v>-136.76595999999984</v>
      </c>
      <c r="AV80" s="144">
        <v>7552</v>
      </c>
      <c r="AW80" s="142">
        <f>SUM($AV$1:AV80)/1000</f>
        <v>811.50800000000004</v>
      </c>
      <c r="AX80" s="142">
        <f t="shared" si="56"/>
        <v>240.99350000000004</v>
      </c>
      <c r="AZ80" s="126">
        <f t="shared" si="65"/>
        <v>-51.223399999999998</v>
      </c>
      <c r="BA80" s="126">
        <f t="shared" si="39"/>
        <v>-240.99350000000004</v>
      </c>
      <c r="BB80" s="126">
        <f t="shared" si="40"/>
        <v>189.77010000000004</v>
      </c>
      <c r="BD80" s="126">
        <f t="shared" si="66"/>
        <v>18.619999999999997</v>
      </c>
      <c r="BE80" s="126">
        <f t="shared" si="67"/>
        <v>38.48299999999999</v>
      </c>
      <c r="BF80" s="126">
        <f t="shared" si="41"/>
        <v>19.862999999999992</v>
      </c>
      <c r="BH80" s="126">
        <f t="shared" si="68"/>
        <v>55.9</v>
      </c>
      <c r="BI80" s="126">
        <f t="shared" si="69"/>
        <v>12.344209400241958</v>
      </c>
      <c r="BJ80" s="126">
        <f t="shared" si="70"/>
        <v>-43.555790599758041</v>
      </c>
      <c r="BL80" s="126">
        <f t="shared" si="42"/>
        <v>-59.86</v>
      </c>
      <c r="BM80" s="126">
        <f t="shared" si="43"/>
        <v>41.641300000000001</v>
      </c>
      <c r="BN80" s="126">
        <f t="shared" si="44"/>
        <v>101.5013</v>
      </c>
      <c r="BP80" s="126">
        <f t="shared" si="45"/>
        <v>37.130000000000003</v>
      </c>
      <c r="BQ80" s="126">
        <f t="shared" si="46"/>
        <v>60.697099999999992</v>
      </c>
      <c r="BR80" s="126">
        <f t="shared" si="47"/>
        <v>23.567099999999989</v>
      </c>
      <c r="BT80" s="126">
        <f t="shared" si="48"/>
        <v>40.589999999999996</v>
      </c>
      <c r="BU80" s="126">
        <f t="shared" si="49"/>
        <v>136.76595999999984</v>
      </c>
      <c r="BV80" s="126">
        <f t="shared" si="50"/>
        <v>96.175959999999833</v>
      </c>
      <c r="CC80">
        <f t="shared" si="71"/>
        <v>-152.24</v>
      </c>
    </row>
    <row r="81" spans="1:81" x14ac:dyDescent="0.2">
      <c r="A81">
        <v>72.510000000000005</v>
      </c>
      <c r="B81">
        <v>198.5</v>
      </c>
      <c r="C81">
        <v>343.40000000000003</v>
      </c>
      <c r="D81" s="126">
        <f t="shared" si="57"/>
        <v>72.654900000000012</v>
      </c>
      <c r="E81">
        <v>4488</v>
      </c>
      <c r="F81">
        <v>13151</v>
      </c>
      <c r="G81">
        <v>9385</v>
      </c>
      <c r="H81" s="126">
        <f t="shared" si="58"/>
        <v>0.72199999999999998</v>
      </c>
      <c r="J81">
        <v>-1.78</v>
      </c>
      <c r="K81">
        <v>18.22</v>
      </c>
      <c r="L81">
        <v>0.71</v>
      </c>
      <c r="M81" s="126">
        <f t="shared" si="59"/>
        <v>-19.29</v>
      </c>
      <c r="N81">
        <v>-119316</v>
      </c>
      <c r="O81">
        <v>11899</v>
      </c>
      <c r="P81">
        <v>25051</v>
      </c>
      <c r="Q81" s="126">
        <f t="shared" si="60"/>
        <v>-106.164</v>
      </c>
      <c r="R81">
        <v>72.510000000000005</v>
      </c>
      <c r="S81">
        <v>130.11000000000001</v>
      </c>
      <c r="T81">
        <v>138.54</v>
      </c>
      <c r="U81" s="126">
        <f t="shared" si="61"/>
        <v>80.939999999999984</v>
      </c>
      <c r="V81">
        <v>-38.97</v>
      </c>
      <c r="W81">
        <v>20.61</v>
      </c>
      <c r="X81">
        <v>19.16</v>
      </c>
      <c r="Y81" s="126">
        <f t="shared" si="62"/>
        <v>-40.42</v>
      </c>
      <c r="Z81">
        <v>-35.86</v>
      </c>
      <c r="AA81">
        <v>87.45</v>
      </c>
      <c r="AB81">
        <v>80.72</v>
      </c>
      <c r="AC81" s="126">
        <f t="shared" si="63"/>
        <v>-42.59</v>
      </c>
      <c r="AF81" s="128">
        <v>40071</v>
      </c>
      <c r="AG81" s="144">
        <v>-1280.905</v>
      </c>
      <c r="AH81" s="142">
        <f>SUM($AG$1:AG81)/1000</f>
        <v>-106.42301600000002</v>
      </c>
      <c r="AI81" s="142">
        <f t="shared" si="51"/>
        <v>-39.763904999999994</v>
      </c>
      <c r="AJ81" s="147">
        <f t="shared" si="64"/>
        <v>-36928.126470002841</v>
      </c>
      <c r="AK81" s="143">
        <v>-36.928126470002837</v>
      </c>
      <c r="AL81" s="142">
        <f t="shared" si="52"/>
        <v>-12.272335870244795</v>
      </c>
      <c r="AM81" s="144">
        <v>-3791.9</v>
      </c>
      <c r="AN81" s="142">
        <f>SUM($AM$1:AM81)/1000</f>
        <v>-133.62729999999999</v>
      </c>
      <c r="AO81" s="142">
        <f t="shared" si="53"/>
        <v>-45.433199999999999</v>
      </c>
      <c r="AP81" s="144">
        <v>-1480</v>
      </c>
      <c r="AQ81" s="145">
        <f>SUM($AP$1:AP81)/1000</f>
        <v>-145.51270000000002</v>
      </c>
      <c r="AR81" s="142">
        <f t="shared" si="54"/>
        <v>-62.17710000000001</v>
      </c>
      <c r="AS81" s="144">
        <v>-4252.9800000000005</v>
      </c>
      <c r="AT81" s="142">
        <f>SUM($AS$1:AS81)/1000</f>
        <v>-474.16738999999973</v>
      </c>
      <c r="AU81" s="142">
        <f t="shared" si="55"/>
        <v>-141.01893999999982</v>
      </c>
      <c r="AV81" s="144">
        <v>12414</v>
      </c>
      <c r="AW81" s="142">
        <f>SUM($AV$1:AV81)/1000</f>
        <v>823.92200000000003</v>
      </c>
      <c r="AX81" s="142">
        <f t="shared" si="56"/>
        <v>253.40750000000003</v>
      </c>
      <c r="AZ81" s="126">
        <f t="shared" si="65"/>
        <v>-72.654900000000012</v>
      </c>
      <c r="BA81" s="126">
        <f t="shared" si="39"/>
        <v>-253.40750000000003</v>
      </c>
      <c r="BB81" s="126">
        <f t="shared" si="40"/>
        <v>180.75260000000003</v>
      </c>
      <c r="BD81" s="126">
        <f t="shared" si="66"/>
        <v>19.29</v>
      </c>
      <c r="BE81" s="126">
        <f t="shared" si="67"/>
        <v>39.763904999999994</v>
      </c>
      <c r="BF81" s="126">
        <f t="shared" si="41"/>
        <v>20.473904999999995</v>
      </c>
      <c r="BH81" s="126">
        <f t="shared" si="68"/>
        <v>106.164</v>
      </c>
      <c r="BI81" s="126">
        <f t="shared" si="69"/>
        <v>12.272335870244795</v>
      </c>
      <c r="BJ81" s="126">
        <f t="shared" si="70"/>
        <v>-93.891664129755213</v>
      </c>
      <c r="BL81" s="126">
        <f t="shared" si="42"/>
        <v>-80.939999999999984</v>
      </c>
      <c r="BM81" s="126">
        <f t="shared" si="43"/>
        <v>45.433199999999999</v>
      </c>
      <c r="BN81" s="126">
        <f t="shared" si="44"/>
        <v>126.37319999999998</v>
      </c>
      <c r="BP81" s="126">
        <f t="shared" si="45"/>
        <v>40.42</v>
      </c>
      <c r="BQ81" s="126">
        <f t="shared" si="46"/>
        <v>62.17710000000001</v>
      </c>
      <c r="BR81" s="126">
        <f t="shared" si="47"/>
        <v>21.757100000000008</v>
      </c>
      <c r="BT81" s="126">
        <f t="shared" si="48"/>
        <v>42.59</v>
      </c>
      <c r="BU81" s="126">
        <f t="shared" si="49"/>
        <v>141.01893999999982</v>
      </c>
      <c r="BV81" s="126">
        <f t="shared" si="50"/>
        <v>98.428939999999812</v>
      </c>
      <c r="CC81">
        <f t="shared" si="71"/>
        <v>-208.464</v>
      </c>
    </row>
    <row r="82" spans="1:81" x14ac:dyDescent="0.2">
      <c r="A82">
        <v>73.89</v>
      </c>
      <c r="B82">
        <v>199.60000000000002</v>
      </c>
      <c r="C82">
        <v>346.1</v>
      </c>
      <c r="D82" s="126">
        <f t="shared" si="57"/>
        <v>74.036500000000004</v>
      </c>
      <c r="E82">
        <v>4456</v>
      </c>
      <c r="F82">
        <v>13225</v>
      </c>
      <c r="G82">
        <v>9491</v>
      </c>
      <c r="H82" s="126">
        <f t="shared" si="58"/>
        <v>0.72199999999999998</v>
      </c>
      <c r="J82">
        <v>-3.48</v>
      </c>
      <c r="K82">
        <v>18.32</v>
      </c>
      <c r="L82">
        <v>0.59</v>
      </c>
      <c r="M82" s="126">
        <f t="shared" si="59"/>
        <v>-21.21</v>
      </c>
      <c r="N82">
        <v>-53645</v>
      </c>
      <c r="O82">
        <v>11962</v>
      </c>
      <c r="P82">
        <v>25141</v>
      </c>
      <c r="Q82" s="126">
        <f t="shared" si="60"/>
        <v>-40.466000000000001</v>
      </c>
      <c r="R82">
        <v>73.89</v>
      </c>
      <c r="S82">
        <v>130.83000000000001</v>
      </c>
      <c r="T82">
        <v>138.22999999999999</v>
      </c>
      <c r="U82" s="126">
        <f t="shared" si="61"/>
        <v>81.289999999999978</v>
      </c>
      <c r="V82">
        <v>-41.31</v>
      </c>
      <c r="W82">
        <v>20.73</v>
      </c>
      <c r="X82">
        <v>19.12</v>
      </c>
      <c r="Y82" s="126">
        <f t="shared" si="62"/>
        <v>-42.92</v>
      </c>
      <c r="Z82">
        <v>-28.98</v>
      </c>
      <c r="AA82">
        <v>87.91</v>
      </c>
      <c r="AB82">
        <v>80.47</v>
      </c>
      <c r="AC82" s="126">
        <f t="shared" si="63"/>
        <v>-36.42</v>
      </c>
      <c r="AF82" s="128">
        <v>40101</v>
      </c>
      <c r="AG82" s="144">
        <v>-1444.614</v>
      </c>
      <c r="AH82" s="142">
        <f>SUM($AG$1:AG82)/1000</f>
        <v>-107.86763000000002</v>
      </c>
      <c r="AI82" s="142">
        <f t="shared" si="51"/>
        <v>-41.208518999999995</v>
      </c>
      <c r="AJ82" s="147">
        <f t="shared" si="64"/>
        <v>-36859.96372920875</v>
      </c>
      <c r="AK82" s="143">
        <v>-36.859963729208751</v>
      </c>
      <c r="AL82" s="142">
        <f t="shared" si="52"/>
        <v>-12.204173129450709</v>
      </c>
      <c r="AM82" s="144">
        <v>-1045.9000000000001</v>
      </c>
      <c r="AN82" s="142">
        <f>SUM($AM$1:AM82)/1000</f>
        <v>-134.67319999999998</v>
      </c>
      <c r="AO82" s="142">
        <f t="shared" si="53"/>
        <v>-46.479099999999988</v>
      </c>
      <c r="AP82" s="144">
        <v>-2390.7000000000003</v>
      </c>
      <c r="AQ82" s="145">
        <f>SUM($AP$1:AP82)/1000</f>
        <v>-147.90340000000003</v>
      </c>
      <c r="AR82" s="142">
        <f t="shared" si="54"/>
        <v>-64.56780000000002</v>
      </c>
      <c r="AS82" s="144">
        <v>-4608.72</v>
      </c>
      <c r="AT82" s="142">
        <f>SUM($AS$1:AS82)/1000</f>
        <v>-478.77610999999968</v>
      </c>
      <c r="AU82" s="142">
        <f t="shared" si="55"/>
        <v>-145.62765999999976</v>
      </c>
      <c r="AV82" s="144">
        <v>11412</v>
      </c>
      <c r="AW82" s="142">
        <f>SUM($AV$1:AV82)/1000</f>
        <v>835.33399999999995</v>
      </c>
      <c r="AX82" s="142">
        <f t="shared" si="56"/>
        <v>264.81949999999995</v>
      </c>
      <c r="AZ82" s="126">
        <f t="shared" si="65"/>
        <v>-74.036500000000004</v>
      </c>
      <c r="BA82" s="126">
        <f t="shared" si="39"/>
        <v>-264.81949999999995</v>
      </c>
      <c r="BB82" s="126">
        <f t="shared" si="40"/>
        <v>190.78299999999996</v>
      </c>
      <c r="BD82" s="126">
        <f t="shared" si="66"/>
        <v>21.21</v>
      </c>
      <c r="BE82" s="126">
        <f t="shared" si="67"/>
        <v>41.208518999999995</v>
      </c>
      <c r="BF82" s="126">
        <f t="shared" si="41"/>
        <v>19.998518999999995</v>
      </c>
      <c r="BH82" s="126">
        <f t="shared" si="68"/>
        <v>40.466000000000001</v>
      </c>
      <c r="BI82" s="126">
        <f t="shared" si="69"/>
        <v>12.204173129450709</v>
      </c>
      <c r="BJ82" s="126">
        <f t="shared" si="70"/>
        <v>-28.261826870549292</v>
      </c>
      <c r="BL82" s="126">
        <f t="shared" si="42"/>
        <v>-81.289999999999978</v>
      </c>
      <c r="BM82" s="126">
        <f t="shared" si="43"/>
        <v>46.479099999999988</v>
      </c>
      <c r="BN82" s="126">
        <f t="shared" si="44"/>
        <v>127.76909999999997</v>
      </c>
      <c r="BP82" s="126">
        <f t="shared" si="45"/>
        <v>42.92</v>
      </c>
      <c r="BQ82" s="126">
        <f t="shared" si="46"/>
        <v>64.56780000000002</v>
      </c>
      <c r="BR82" s="126">
        <f t="shared" si="47"/>
        <v>21.647800000000018</v>
      </c>
      <c r="BT82" s="126">
        <f t="shared" si="48"/>
        <v>36.42</v>
      </c>
      <c r="BU82" s="126">
        <f t="shared" si="49"/>
        <v>145.62765999999976</v>
      </c>
      <c r="BV82" s="126">
        <f t="shared" si="50"/>
        <v>109.20765999999976</v>
      </c>
      <c r="CC82">
        <f t="shared" si="71"/>
        <v>-141.01600000000002</v>
      </c>
    </row>
    <row r="83" spans="1:81" x14ac:dyDescent="0.2">
      <c r="A83">
        <v>52.11</v>
      </c>
      <c r="B83">
        <v>200.70000000000002</v>
      </c>
      <c r="C83">
        <v>347.5</v>
      </c>
      <c r="D83" s="126">
        <f t="shared" si="57"/>
        <v>52.256799999999998</v>
      </c>
      <c r="E83">
        <v>4439</v>
      </c>
      <c r="F83">
        <v>13304</v>
      </c>
      <c r="G83">
        <v>9587</v>
      </c>
      <c r="H83" s="126">
        <f t="shared" si="58"/>
        <v>0.72199999999999998</v>
      </c>
      <c r="J83">
        <v>-4.71</v>
      </c>
      <c r="K83">
        <v>18.43</v>
      </c>
      <c r="L83">
        <v>0.62</v>
      </c>
      <c r="M83" s="126">
        <f t="shared" si="59"/>
        <v>-22.52</v>
      </c>
      <c r="N83">
        <v>-49149</v>
      </c>
      <c r="O83">
        <v>12033</v>
      </c>
      <c r="P83">
        <v>25255</v>
      </c>
      <c r="Q83" s="126">
        <f t="shared" si="60"/>
        <v>-35.927</v>
      </c>
      <c r="R83">
        <v>52.11</v>
      </c>
      <c r="S83">
        <v>131.59</v>
      </c>
      <c r="T83">
        <v>139.13</v>
      </c>
      <c r="U83" s="126">
        <f t="shared" si="61"/>
        <v>59.649999999999991</v>
      </c>
      <c r="V83">
        <v>-38.36</v>
      </c>
      <c r="W83">
        <v>20.85</v>
      </c>
      <c r="X83">
        <v>19.22</v>
      </c>
      <c r="Y83" s="126">
        <f t="shared" si="62"/>
        <v>-39.99</v>
      </c>
      <c r="Z83">
        <v>-16.96</v>
      </c>
      <c r="AA83">
        <v>88.41</v>
      </c>
      <c r="AB83">
        <v>80.600000000000009</v>
      </c>
      <c r="AC83" s="126">
        <f t="shared" si="63"/>
        <v>-24.769999999999989</v>
      </c>
      <c r="AF83" s="128">
        <v>40132</v>
      </c>
      <c r="AG83" s="144">
        <v>-1713.558</v>
      </c>
      <c r="AH83" s="142">
        <f>SUM($AG$1:AG83)/1000</f>
        <v>-109.58118800000003</v>
      </c>
      <c r="AI83" s="142">
        <f t="shared" si="51"/>
        <v>-42.922077000000002</v>
      </c>
      <c r="AJ83" s="147">
        <f t="shared" si="64"/>
        <v>-36919</v>
      </c>
      <c r="AK83" s="143">
        <v>-36.918999999999997</v>
      </c>
      <c r="AL83" s="142">
        <f t="shared" si="52"/>
        <v>-12.263209400241955</v>
      </c>
      <c r="AM83" s="144">
        <v>-2401.5</v>
      </c>
      <c r="AN83" s="142">
        <f>SUM($AM$1:AM83)/1000</f>
        <v>-137.07469999999998</v>
      </c>
      <c r="AO83" s="142">
        <f t="shared" si="53"/>
        <v>-48.880599999999987</v>
      </c>
      <c r="AP83" s="144">
        <v>-2724.4</v>
      </c>
      <c r="AQ83" s="145">
        <f>SUM($AP$1:AP83)/1000</f>
        <v>-150.62780000000001</v>
      </c>
      <c r="AR83" s="142">
        <f t="shared" si="54"/>
        <v>-67.292199999999994</v>
      </c>
      <c r="AS83" s="144">
        <v>-4899.6900000000005</v>
      </c>
      <c r="AT83" s="142">
        <f>SUM($AS$1:AS83)/1000</f>
        <v>-483.6757999999997</v>
      </c>
      <c r="AU83" s="142">
        <f t="shared" si="55"/>
        <v>-150.52734999999979</v>
      </c>
      <c r="AV83" s="144">
        <v>16739</v>
      </c>
      <c r="AW83" s="142">
        <f>SUM($AV$1:AV83)/1000</f>
        <v>852.07299999999998</v>
      </c>
      <c r="AX83" s="142">
        <f t="shared" si="56"/>
        <v>281.55849999999998</v>
      </c>
      <c r="AZ83" s="126">
        <f t="shared" si="65"/>
        <v>-52.256799999999998</v>
      </c>
      <c r="BA83" s="126">
        <f t="shared" si="39"/>
        <v>-281.55849999999998</v>
      </c>
      <c r="BB83" s="126">
        <f t="shared" si="40"/>
        <v>229.30169999999998</v>
      </c>
      <c r="BD83" s="126">
        <f t="shared" si="66"/>
        <v>22.52</v>
      </c>
      <c r="BE83" s="126">
        <f t="shared" si="67"/>
        <v>42.922077000000002</v>
      </c>
      <c r="BF83" s="126">
        <f t="shared" si="41"/>
        <v>20.402077000000002</v>
      </c>
      <c r="BH83" s="126">
        <f t="shared" si="68"/>
        <v>35.927</v>
      </c>
      <c r="BI83" s="126">
        <f t="shared" si="69"/>
        <v>12.263209400241955</v>
      </c>
      <c r="BJ83" s="126">
        <f t="shared" si="70"/>
        <v>-23.663790599758045</v>
      </c>
      <c r="BL83" s="126">
        <f t="shared" si="42"/>
        <v>-59.649999999999991</v>
      </c>
      <c r="BM83" s="126">
        <f t="shared" si="43"/>
        <v>48.880599999999987</v>
      </c>
      <c r="BN83" s="126">
        <f t="shared" si="44"/>
        <v>108.53059999999998</v>
      </c>
      <c r="BP83" s="126">
        <f t="shared" si="45"/>
        <v>39.99</v>
      </c>
      <c r="BQ83" s="126">
        <f t="shared" si="46"/>
        <v>67.292199999999994</v>
      </c>
      <c r="BR83" s="126">
        <f t="shared" si="47"/>
        <v>27.302199999999992</v>
      </c>
      <c r="BT83" s="126">
        <f t="shared" si="48"/>
        <v>24.769999999999989</v>
      </c>
      <c r="BU83" s="126">
        <f t="shared" si="49"/>
        <v>150.52734999999979</v>
      </c>
      <c r="BV83" s="126">
        <f t="shared" si="50"/>
        <v>125.7573499999998</v>
      </c>
      <c r="CC83">
        <f t="shared" si="71"/>
        <v>-123.20699999999999</v>
      </c>
    </row>
    <row r="84" spans="1:81" x14ac:dyDescent="0.2">
      <c r="A84">
        <v>41.76</v>
      </c>
      <c r="B84">
        <v>208.4</v>
      </c>
      <c r="C84">
        <v>355.20000000000005</v>
      </c>
      <c r="D84" s="126">
        <f t="shared" si="57"/>
        <v>41.906799999999997</v>
      </c>
      <c r="E84">
        <v>4632</v>
      </c>
      <c r="F84">
        <v>13817</v>
      </c>
      <c r="G84">
        <v>9907</v>
      </c>
      <c r="H84" s="126">
        <f t="shared" si="58"/>
        <v>0.72199999999999998</v>
      </c>
      <c r="J84">
        <v>-4.4800000000000004</v>
      </c>
      <c r="K84">
        <v>19.13</v>
      </c>
      <c r="L84">
        <v>1.19</v>
      </c>
      <c r="M84" s="126">
        <f t="shared" si="59"/>
        <v>-22.419999999999998</v>
      </c>
      <c r="N84">
        <v>-66484</v>
      </c>
      <c r="O84">
        <v>12480</v>
      </c>
      <c r="P84">
        <v>26085</v>
      </c>
      <c r="Q84" s="126">
        <f t="shared" si="60"/>
        <v>-52.878999999999998</v>
      </c>
      <c r="R84">
        <v>41.76</v>
      </c>
      <c r="S84">
        <v>136.61000000000001</v>
      </c>
      <c r="T84">
        <v>146.96</v>
      </c>
      <c r="U84" s="126">
        <f t="shared" si="61"/>
        <v>52.109999999999992</v>
      </c>
      <c r="V84">
        <v>-47.99</v>
      </c>
      <c r="W84">
        <v>21.63</v>
      </c>
      <c r="X84">
        <v>21.72</v>
      </c>
      <c r="Y84" s="126">
        <f t="shared" si="62"/>
        <v>-47.900000000000006</v>
      </c>
      <c r="Z84">
        <v>-28.68</v>
      </c>
      <c r="AA84">
        <v>91.74</v>
      </c>
      <c r="AB84">
        <v>84.070000000000007</v>
      </c>
      <c r="AC84" s="126">
        <f t="shared" si="63"/>
        <v>-36.349999999999987</v>
      </c>
      <c r="AF84" s="128">
        <v>40162</v>
      </c>
      <c r="AG84" s="144">
        <v>-2436.1579999999999</v>
      </c>
      <c r="AH84" s="142">
        <f>SUM($AG$1:AG84)/1000</f>
        <v>-112.01734600000002</v>
      </c>
      <c r="AI84" s="142">
        <f t="shared" si="51"/>
        <v>-45.358234999999993</v>
      </c>
      <c r="AJ84" s="147">
        <f t="shared" si="64"/>
        <v>-37185.161093436298</v>
      </c>
      <c r="AK84" s="143">
        <v>-37.185161093436299</v>
      </c>
      <c r="AL84" s="142">
        <f t="shared" si="52"/>
        <v>-12.529370493678258</v>
      </c>
      <c r="AM84" s="144">
        <v>311.8</v>
      </c>
      <c r="AN84" s="142">
        <f>SUM($AM$1:AM84)/1000</f>
        <v>-136.7629</v>
      </c>
      <c r="AO84" s="142">
        <f t="shared" si="53"/>
        <v>-48.56880000000001</v>
      </c>
      <c r="AP84" s="144">
        <v>-3074.2000000000003</v>
      </c>
      <c r="AQ84" s="145">
        <f>SUM($AP$1:AP84)/1000</f>
        <v>-153.70200000000003</v>
      </c>
      <c r="AR84" s="142">
        <f t="shared" si="54"/>
        <v>-70.366400000000013</v>
      </c>
      <c r="AS84" s="144">
        <v>-3617.77</v>
      </c>
      <c r="AT84" s="142">
        <f>SUM($AS$1:AS84)/1000</f>
        <v>-487.2935699999997</v>
      </c>
      <c r="AU84" s="142">
        <f t="shared" si="55"/>
        <v>-154.14511999999979</v>
      </c>
      <c r="AV84" s="144">
        <v>24244</v>
      </c>
      <c r="AW84" s="142">
        <f>SUM($AV$1:AV84)/1000</f>
        <v>876.31700000000001</v>
      </c>
      <c r="AX84" s="142">
        <f t="shared" si="56"/>
        <v>305.80250000000001</v>
      </c>
      <c r="AZ84" s="126">
        <f t="shared" si="65"/>
        <v>-41.906799999999997</v>
      </c>
      <c r="BA84" s="126">
        <f t="shared" si="39"/>
        <v>-305.80250000000001</v>
      </c>
      <c r="BB84" s="126">
        <f t="shared" si="40"/>
        <v>263.89570000000003</v>
      </c>
      <c r="BD84" s="126">
        <f t="shared" si="66"/>
        <v>22.419999999999998</v>
      </c>
      <c r="BE84" s="126">
        <f t="shared" si="67"/>
        <v>45.358234999999993</v>
      </c>
      <c r="BF84" s="126">
        <f t="shared" si="41"/>
        <v>22.938234999999995</v>
      </c>
      <c r="BH84" s="126">
        <f t="shared" si="68"/>
        <v>52.878999999999998</v>
      </c>
      <c r="BI84" s="126">
        <f t="shared" si="69"/>
        <v>12.529370493678258</v>
      </c>
      <c r="BJ84" s="126">
        <f t="shared" si="70"/>
        <v>-40.34962950632174</v>
      </c>
      <c r="BL84" s="126">
        <f t="shared" si="42"/>
        <v>-52.109999999999992</v>
      </c>
      <c r="BM84" s="126">
        <f t="shared" si="43"/>
        <v>48.56880000000001</v>
      </c>
      <c r="BN84" s="126">
        <f t="shared" si="44"/>
        <v>100.6788</v>
      </c>
      <c r="BP84" s="126">
        <f t="shared" si="45"/>
        <v>47.900000000000006</v>
      </c>
      <c r="BQ84" s="126">
        <f t="shared" si="46"/>
        <v>70.366400000000013</v>
      </c>
      <c r="BR84" s="126">
        <f t="shared" si="47"/>
        <v>22.466400000000007</v>
      </c>
      <c r="BT84" s="126">
        <f t="shared" si="48"/>
        <v>36.349999999999987</v>
      </c>
      <c r="BU84" s="126">
        <f t="shared" si="49"/>
        <v>154.14511999999979</v>
      </c>
      <c r="BV84" s="126">
        <f t="shared" si="50"/>
        <v>117.7951199999998</v>
      </c>
      <c r="CC84">
        <f t="shared" si="71"/>
        <v>-159.54900000000001</v>
      </c>
    </row>
    <row r="85" spans="1:81" x14ac:dyDescent="0.2">
      <c r="A85">
        <v>68.570000000000007</v>
      </c>
      <c r="B85">
        <v>202.60000000000002</v>
      </c>
      <c r="C85">
        <v>350.1</v>
      </c>
      <c r="D85" s="126">
        <f t="shared" si="57"/>
        <v>68.717500000000001</v>
      </c>
      <c r="E85">
        <v>4388</v>
      </c>
      <c r="F85">
        <v>13432</v>
      </c>
      <c r="G85">
        <v>9766</v>
      </c>
      <c r="H85" s="126">
        <f t="shared" si="58"/>
        <v>0.72199999999999998</v>
      </c>
      <c r="J85">
        <v>-3.15</v>
      </c>
      <c r="K85">
        <v>18.600000000000001</v>
      </c>
      <c r="L85">
        <v>0.57999999999999996</v>
      </c>
      <c r="M85" s="126">
        <f t="shared" si="59"/>
        <v>-21.17</v>
      </c>
      <c r="N85">
        <v>-64212</v>
      </c>
      <c r="O85">
        <v>12145</v>
      </c>
      <c r="P85">
        <v>25422</v>
      </c>
      <c r="Q85" s="126">
        <f t="shared" si="60"/>
        <v>-50.935000000000002</v>
      </c>
      <c r="R85">
        <v>68.570000000000007</v>
      </c>
      <c r="S85">
        <v>132.84</v>
      </c>
      <c r="T85">
        <v>140.95000000000002</v>
      </c>
      <c r="U85" s="126">
        <f t="shared" si="61"/>
        <v>76.680000000000021</v>
      </c>
      <c r="V85">
        <v>-47.52</v>
      </c>
      <c r="W85">
        <v>21.04</v>
      </c>
      <c r="X85">
        <v>20.61</v>
      </c>
      <c r="Y85" s="126">
        <f t="shared" si="62"/>
        <v>-47.95</v>
      </c>
      <c r="Z85">
        <v>-23.94</v>
      </c>
      <c r="AA85">
        <v>89.25</v>
      </c>
      <c r="AB85">
        <v>80.56</v>
      </c>
      <c r="AC85" s="126">
        <f t="shared" si="63"/>
        <v>-32.629999999999995</v>
      </c>
      <c r="AF85" s="128">
        <v>40193</v>
      </c>
      <c r="AG85" s="144">
        <v>-1528.989</v>
      </c>
      <c r="AH85" s="142">
        <f>SUM($AG$1:AG85)/1000</f>
        <v>-113.54633500000003</v>
      </c>
      <c r="AI85" s="142">
        <f t="shared" si="51"/>
        <v>-46.887224000000003</v>
      </c>
      <c r="AJ85" s="147">
        <f t="shared" si="64"/>
        <v>-37564.123175287263</v>
      </c>
      <c r="AK85" s="143">
        <v>-37.564123175287264</v>
      </c>
      <c r="AL85" s="142">
        <f t="shared" si="52"/>
        <v>-12.908332575529222</v>
      </c>
      <c r="AM85" s="144">
        <v>-6763.5</v>
      </c>
      <c r="AN85" s="142">
        <f>SUM($AM$1:AM85)/1000</f>
        <v>-143.5264</v>
      </c>
      <c r="AO85" s="142">
        <f t="shared" si="53"/>
        <v>-55.332300000000004</v>
      </c>
      <c r="AP85" s="144">
        <v>-3464</v>
      </c>
      <c r="AQ85" s="145">
        <f>SUM($AP$1:AP85)/1000</f>
        <v>-157.16600000000003</v>
      </c>
      <c r="AR85" s="142">
        <f t="shared" si="54"/>
        <v>-73.830400000000012</v>
      </c>
      <c r="AS85" s="144">
        <v>-5432.4800000000005</v>
      </c>
      <c r="AT85" s="142">
        <f>SUM($AS$1:AS85)/1000</f>
        <v>-492.7260499999997</v>
      </c>
      <c r="AU85" s="142">
        <f t="shared" si="55"/>
        <v>-159.57759999999979</v>
      </c>
      <c r="AV85" s="144">
        <v>7132</v>
      </c>
      <c r="AW85" s="142">
        <f>SUM($AV$1:AV85)/1000</f>
        <v>883.44899999999996</v>
      </c>
      <c r="AX85" s="142">
        <f t="shared" si="56"/>
        <v>312.93449999999996</v>
      </c>
      <c r="AZ85" s="126">
        <f t="shared" si="65"/>
        <v>-68.717500000000001</v>
      </c>
      <c r="BA85" s="126">
        <f t="shared" si="39"/>
        <v>-312.93449999999996</v>
      </c>
      <c r="BB85" s="126">
        <f t="shared" si="40"/>
        <v>244.21699999999996</v>
      </c>
      <c r="BD85" s="126">
        <f t="shared" si="66"/>
        <v>21.17</v>
      </c>
      <c r="BE85" s="126">
        <f t="shared" si="67"/>
        <v>46.887224000000003</v>
      </c>
      <c r="BF85" s="126">
        <f t="shared" si="41"/>
        <v>25.717224000000002</v>
      </c>
      <c r="BH85" s="126">
        <f t="shared" si="68"/>
        <v>50.935000000000002</v>
      </c>
      <c r="BI85" s="126">
        <f t="shared" si="69"/>
        <v>12.908332575529222</v>
      </c>
      <c r="BJ85" s="126">
        <f t="shared" si="70"/>
        <v>-38.02666742447078</v>
      </c>
      <c r="BL85" s="126">
        <f t="shared" si="42"/>
        <v>-76.680000000000021</v>
      </c>
      <c r="BM85" s="126">
        <f t="shared" si="43"/>
        <v>55.332300000000004</v>
      </c>
      <c r="BN85" s="126">
        <f t="shared" si="44"/>
        <v>132.01230000000004</v>
      </c>
      <c r="BP85" s="126">
        <f t="shared" si="45"/>
        <v>47.95</v>
      </c>
      <c r="BQ85" s="126">
        <f t="shared" si="46"/>
        <v>73.830400000000012</v>
      </c>
      <c r="BR85" s="126">
        <f t="shared" si="47"/>
        <v>25.880400000000009</v>
      </c>
      <c r="BT85" s="126">
        <f t="shared" si="48"/>
        <v>32.629999999999995</v>
      </c>
      <c r="BU85" s="126">
        <f t="shared" si="49"/>
        <v>159.57759999999979</v>
      </c>
      <c r="BV85" s="126">
        <f t="shared" si="50"/>
        <v>126.9475999999998</v>
      </c>
      <c r="CC85">
        <f t="shared" si="71"/>
        <v>-152.685</v>
      </c>
    </row>
    <row r="86" spans="1:81" x14ac:dyDescent="0.2">
      <c r="A86">
        <v>55.5</v>
      </c>
      <c r="B86">
        <v>202.8</v>
      </c>
      <c r="C86">
        <v>352.40000000000003</v>
      </c>
      <c r="D86" s="126">
        <f t="shared" si="57"/>
        <v>55.6496</v>
      </c>
      <c r="E86">
        <v>4342</v>
      </c>
      <c r="F86">
        <v>13443</v>
      </c>
      <c r="G86">
        <v>9823</v>
      </c>
      <c r="H86" s="126">
        <f t="shared" si="58"/>
        <v>0.72199999999999998</v>
      </c>
      <c r="J86">
        <v>-9.51</v>
      </c>
      <c r="K86">
        <v>18.62</v>
      </c>
      <c r="L86">
        <v>0.5</v>
      </c>
      <c r="M86" s="126">
        <f t="shared" si="59"/>
        <v>-27.630000000000003</v>
      </c>
      <c r="N86">
        <v>-59714</v>
      </c>
      <c r="O86">
        <v>12156</v>
      </c>
      <c r="P86">
        <v>25470</v>
      </c>
      <c r="Q86" s="126">
        <f t="shared" si="60"/>
        <v>-46.4</v>
      </c>
      <c r="R86">
        <v>55.5</v>
      </c>
      <c r="S86">
        <v>133</v>
      </c>
      <c r="T86">
        <v>139.9</v>
      </c>
      <c r="U86" s="126">
        <f t="shared" si="61"/>
        <v>62.400000000000006</v>
      </c>
      <c r="V86">
        <v>-52.370000000000005</v>
      </c>
      <c r="W86">
        <v>21.06</v>
      </c>
      <c r="X86">
        <v>21.01</v>
      </c>
      <c r="Y86" s="126">
        <f t="shared" si="62"/>
        <v>-52.42</v>
      </c>
      <c r="Z86">
        <v>-27.55</v>
      </c>
      <c r="AA86">
        <v>89.33</v>
      </c>
      <c r="AB86">
        <v>79.95</v>
      </c>
      <c r="AC86" s="126">
        <f t="shared" si="63"/>
        <v>-36.929999999999993</v>
      </c>
      <c r="AF86" s="128">
        <v>40224</v>
      </c>
      <c r="AG86" s="144">
        <v>-1368.6759999999999</v>
      </c>
      <c r="AH86" s="142">
        <f>SUM($AG$1:AG86)/1000</f>
        <v>-114.91501100000002</v>
      </c>
      <c r="AI86" s="142">
        <f t="shared" si="51"/>
        <v>-48.255899999999997</v>
      </c>
      <c r="AJ86" s="147">
        <f t="shared" si="64"/>
        <v>-37918</v>
      </c>
      <c r="AK86" s="143">
        <v>-37.917999999999999</v>
      </c>
      <c r="AL86" s="142">
        <f t="shared" si="52"/>
        <v>-13.262209400241957</v>
      </c>
      <c r="AM86" s="144">
        <v>-5389</v>
      </c>
      <c r="AN86" s="142">
        <f>SUM($AM$1:AM86)/1000</f>
        <v>-148.91540000000001</v>
      </c>
      <c r="AO86" s="142">
        <f t="shared" si="53"/>
        <v>-60.721300000000014</v>
      </c>
      <c r="AP86" s="144">
        <v>-3029.3</v>
      </c>
      <c r="AQ86" s="145">
        <f>SUM($AP$1:AP86)/1000</f>
        <v>-160.19530000000003</v>
      </c>
      <c r="AR86" s="142">
        <f t="shared" si="54"/>
        <v>-76.859700000000018</v>
      </c>
      <c r="AS86" s="144">
        <v>-5633.47</v>
      </c>
      <c r="AT86" s="142">
        <f>SUM($AS$1:AS86)/1000</f>
        <v>-498.35951999999969</v>
      </c>
      <c r="AU86" s="142">
        <f t="shared" si="55"/>
        <v>-165.21106999999978</v>
      </c>
      <c r="AV86" s="144">
        <v>11535</v>
      </c>
      <c r="AW86" s="142">
        <f>SUM($AV$1:AV86)/1000</f>
        <v>894.98400000000004</v>
      </c>
      <c r="AX86" s="142">
        <f t="shared" si="56"/>
        <v>324.46950000000004</v>
      </c>
      <c r="AZ86" s="126">
        <f t="shared" si="65"/>
        <v>-55.6496</v>
      </c>
      <c r="BA86" s="126">
        <f t="shared" si="39"/>
        <v>-324.46950000000004</v>
      </c>
      <c r="BB86" s="126">
        <f t="shared" si="40"/>
        <v>268.81990000000002</v>
      </c>
      <c r="BD86" s="126">
        <f t="shared" si="66"/>
        <v>27.630000000000003</v>
      </c>
      <c r="BE86" s="126">
        <f t="shared" si="67"/>
        <v>48.255899999999997</v>
      </c>
      <c r="BF86" s="126">
        <f t="shared" si="41"/>
        <v>20.625899999999994</v>
      </c>
      <c r="BH86" s="126">
        <f t="shared" si="68"/>
        <v>46.4</v>
      </c>
      <c r="BI86" s="126">
        <f t="shared" si="69"/>
        <v>13.262209400241957</v>
      </c>
      <c r="BJ86" s="126">
        <f t="shared" si="70"/>
        <v>-33.137790599758041</v>
      </c>
      <c r="BL86" s="126">
        <f t="shared" si="42"/>
        <v>-62.400000000000006</v>
      </c>
      <c r="BM86" s="126">
        <f t="shared" si="43"/>
        <v>60.721300000000014</v>
      </c>
      <c r="BN86" s="126">
        <f t="shared" si="44"/>
        <v>123.12130000000002</v>
      </c>
      <c r="BP86" s="126">
        <f t="shared" si="45"/>
        <v>52.42</v>
      </c>
      <c r="BQ86" s="126">
        <f t="shared" si="46"/>
        <v>76.859700000000018</v>
      </c>
      <c r="BR86" s="126">
        <f t="shared" si="47"/>
        <v>24.439700000000016</v>
      </c>
      <c r="BT86" s="126">
        <f t="shared" si="48"/>
        <v>36.929999999999993</v>
      </c>
      <c r="BU86" s="126">
        <f t="shared" si="49"/>
        <v>165.21106999999978</v>
      </c>
      <c r="BV86" s="126">
        <f t="shared" si="50"/>
        <v>128.28106999999977</v>
      </c>
      <c r="CC86">
        <f t="shared" si="71"/>
        <v>-163.38</v>
      </c>
    </row>
    <row r="87" spans="1:81" x14ac:dyDescent="0.2">
      <c r="A87">
        <v>44.01</v>
      </c>
      <c r="B87">
        <v>206.10000000000002</v>
      </c>
      <c r="C87">
        <v>356.20000000000005</v>
      </c>
      <c r="D87" s="126">
        <f t="shared" si="57"/>
        <v>44.1601</v>
      </c>
      <c r="E87">
        <v>4374</v>
      </c>
      <c r="F87">
        <v>13658</v>
      </c>
      <c r="G87">
        <v>10006</v>
      </c>
      <c r="H87" s="126">
        <f t="shared" si="58"/>
        <v>0.72199999999999998</v>
      </c>
      <c r="J87">
        <v>-8.43</v>
      </c>
      <c r="K87">
        <v>18.91</v>
      </c>
      <c r="L87">
        <v>0.64</v>
      </c>
      <c r="M87" s="126">
        <f t="shared" si="59"/>
        <v>-26.7</v>
      </c>
      <c r="N87">
        <v>-50908</v>
      </c>
      <c r="O87">
        <v>12334</v>
      </c>
      <c r="P87">
        <v>25819</v>
      </c>
      <c r="Q87" s="126">
        <f t="shared" si="60"/>
        <v>-37.423000000000002</v>
      </c>
      <c r="R87">
        <v>44.01</v>
      </c>
      <c r="S87">
        <v>135.13</v>
      </c>
      <c r="T87">
        <v>141.08000000000001</v>
      </c>
      <c r="U87" s="126">
        <f t="shared" si="61"/>
        <v>49.960000000000015</v>
      </c>
      <c r="V87">
        <v>-62.53</v>
      </c>
      <c r="W87">
        <v>21.400000000000002</v>
      </c>
      <c r="X87">
        <v>24.14</v>
      </c>
      <c r="Y87" s="126">
        <f t="shared" si="62"/>
        <v>-59.790000000000006</v>
      </c>
      <c r="Z87">
        <v>-30.04</v>
      </c>
      <c r="AA87">
        <v>90.72</v>
      </c>
      <c r="AB87">
        <v>82.24</v>
      </c>
      <c r="AC87" s="126">
        <f t="shared" si="63"/>
        <v>-38.520000000000003</v>
      </c>
      <c r="AF87" s="128">
        <v>40252</v>
      </c>
      <c r="AG87" s="144">
        <v>-1458.2540000000001</v>
      </c>
      <c r="AH87" s="142">
        <f>SUM($AG$1:AG87)/1000</f>
        <v>-116.37326500000003</v>
      </c>
      <c r="AI87" s="142">
        <f t="shared" si="51"/>
        <v>-49.714154000000008</v>
      </c>
      <c r="AJ87" s="147">
        <f t="shared" si="64"/>
        <v>-38131.229156251953</v>
      </c>
      <c r="AK87" s="143">
        <v>-38.131229156251955</v>
      </c>
      <c r="AL87" s="142">
        <f t="shared" si="52"/>
        <v>-13.475438556493913</v>
      </c>
      <c r="AM87" s="144">
        <v>-6137.5</v>
      </c>
      <c r="AN87" s="142">
        <f>SUM($AM$1:AM87)/1000</f>
        <v>-155.05289999999999</v>
      </c>
      <c r="AO87" s="142">
        <f t="shared" si="53"/>
        <v>-66.858800000000002</v>
      </c>
      <c r="AP87" s="144">
        <v>-2821.8</v>
      </c>
      <c r="AQ87" s="145">
        <f>SUM($AP$1:AP87)/1000</f>
        <v>-163.0171</v>
      </c>
      <c r="AR87" s="142">
        <f t="shared" si="54"/>
        <v>-79.681499999999986</v>
      </c>
      <c r="AS87" s="144">
        <v>-4360.1400000000003</v>
      </c>
      <c r="AT87" s="142">
        <f>SUM($AS$1:AS87)/1000</f>
        <v>-502.71965999999969</v>
      </c>
      <c r="AU87" s="142">
        <f t="shared" si="55"/>
        <v>-169.57120999999978</v>
      </c>
      <c r="AV87" s="144">
        <v>18801</v>
      </c>
      <c r="AW87" s="142">
        <f>SUM($AV$1:AV87)/1000</f>
        <v>913.78499999999997</v>
      </c>
      <c r="AX87" s="142">
        <f t="shared" si="56"/>
        <v>343.27049999999997</v>
      </c>
      <c r="AZ87" s="126">
        <f t="shared" si="65"/>
        <v>-44.1601</v>
      </c>
      <c r="BA87" s="126">
        <f t="shared" si="39"/>
        <v>-343.27049999999997</v>
      </c>
      <c r="BB87" s="126">
        <f t="shared" si="40"/>
        <v>299.11039999999997</v>
      </c>
      <c r="BD87" s="126">
        <f t="shared" si="66"/>
        <v>26.7</v>
      </c>
      <c r="BE87" s="126">
        <f t="shared" si="67"/>
        <v>49.714154000000008</v>
      </c>
      <c r="BF87" s="126">
        <f t="shared" si="41"/>
        <v>23.014154000000008</v>
      </c>
      <c r="BH87" s="126">
        <f t="shared" si="68"/>
        <v>37.423000000000002</v>
      </c>
      <c r="BI87" s="126">
        <f t="shared" si="69"/>
        <v>13.475438556493913</v>
      </c>
      <c r="BJ87" s="126">
        <f t="shared" si="70"/>
        <v>-23.947561443506089</v>
      </c>
      <c r="BL87" s="126">
        <f t="shared" si="42"/>
        <v>-49.960000000000015</v>
      </c>
      <c r="BM87" s="126">
        <f t="shared" si="43"/>
        <v>66.858800000000002</v>
      </c>
      <c r="BN87" s="126">
        <f t="shared" si="44"/>
        <v>116.81880000000001</v>
      </c>
      <c r="BP87" s="126">
        <f t="shared" si="45"/>
        <v>59.790000000000006</v>
      </c>
      <c r="BQ87" s="126">
        <f t="shared" si="46"/>
        <v>79.681499999999986</v>
      </c>
      <c r="BR87" s="126">
        <f t="shared" si="47"/>
        <v>19.891499999999979</v>
      </c>
      <c r="BT87" s="126">
        <f t="shared" si="48"/>
        <v>38.520000000000003</v>
      </c>
      <c r="BU87" s="126">
        <f t="shared" si="49"/>
        <v>169.57120999999978</v>
      </c>
      <c r="BV87" s="126">
        <f t="shared" si="50"/>
        <v>131.05120999999977</v>
      </c>
      <c r="CC87">
        <f t="shared" si="71"/>
        <v>-162.43299999999999</v>
      </c>
    </row>
    <row r="88" spans="1:81" x14ac:dyDescent="0.2">
      <c r="A88">
        <v>39.6</v>
      </c>
      <c r="B88">
        <v>206.4</v>
      </c>
      <c r="C88">
        <v>357.40000000000003</v>
      </c>
      <c r="D88" s="126">
        <f t="shared" si="57"/>
        <v>39.751000000000005</v>
      </c>
      <c r="E88">
        <v>4325</v>
      </c>
      <c r="F88">
        <v>13679</v>
      </c>
      <c r="G88">
        <v>10076</v>
      </c>
      <c r="H88" s="126">
        <f t="shared" si="58"/>
        <v>0.72199999999999998</v>
      </c>
      <c r="J88">
        <v>-14.21</v>
      </c>
      <c r="K88">
        <v>18.940000000000001</v>
      </c>
      <c r="L88">
        <v>0.37</v>
      </c>
      <c r="M88" s="126">
        <f t="shared" si="59"/>
        <v>-32.78</v>
      </c>
      <c r="N88">
        <v>-54694</v>
      </c>
      <c r="O88">
        <v>12351</v>
      </c>
      <c r="P88">
        <v>25869</v>
      </c>
      <c r="Q88" s="126">
        <f t="shared" si="60"/>
        <v>-41.176000000000002</v>
      </c>
      <c r="R88">
        <v>39.6</v>
      </c>
      <c r="S88">
        <v>135.32</v>
      </c>
      <c r="T88">
        <v>141.08000000000001</v>
      </c>
      <c r="U88" s="126">
        <f t="shared" si="61"/>
        <v>45.360000000000021</v>
      </c>
      <c r="V88">
        <v>-85.45</v>
      </c>
      <c r="W88">
        <v>21.43</v>
      </c>
      <c r="X88">
        <v>25.400000000000002</v>
      </c>
      <c r="Y88" s="126">
        <f t="shared" si="62"/>
        <v>-81.48</v>
      </c>
      <c r="Z88">
        <v>-19.990000000000002</v>
      </c>
      <c r="AA88">
        <v>90.83</v>
      </c>
      <c r="AB88">
        <v>79.87</v>
      </c>
      <c r="AC88" s="126">
        <f t="shared" si="63"/>
        <v>-30.949999999999996</v>
      </c>
      <c r="AF88" s="128">
        <v>40283</v>
      </c>
      <c r="AG88" s="144">
        <v>-1208.4750000000001</v>
      </c>
      <c r="AH88" s="142">
        <f>SUM($AG$1:AG88)/1000</f>
        <v>-117.58174000000004</v>
      </c>
      <c r="AI88" s="142">
        <f t="shared" si="51"/>
        <v>-50.922629000000015</v>
      </c>
      <c r="AJ88" s="147">
        <f t="shared" si="64"/>
        <v>-38177.543569642148</v>
      </c>
      <c r="AK88" s="143">
        <v>-38.177543569642147</v>
      </c>
      <c r="AL88" s="142">
        <f t="shared" si="52"/>
        <v>-13.521752969884105</v>
      </c>
      <c r="AM88" s="144">
        <v>-2777.7000000000003</v>
      </c>
      <c r="AN88" s="142">
        <f>SUM($AM$1:AM88)/1000</f>
        <v>-157.8306</v>
      </c>
      <c r="AO88" s="142">
        <f t="shared" si="53"/>
        <v>-69.636500000000012</v>
      </c>
      <c r="AP88" s="144">
        <v>-2768.5</v>
      </c>
      <c r="AQ88" s="145">
        <f>SUM($AP$1:AP88)/1000</f>
        <v>-165.78560000000002</v>
      </c>
      <c r="AR88" s="142">
        <f t="shared" si="54"/>
        <v>-82.45</v>
      </c>
      <c r="AS88" s="144">
        <v>-4455.3</v>
      </c>
      <c r="AT88" s="142">
        <f>SUM($AS$1:AS88)/1000</f>
        <v>-507.17495999999966</v>
      </c>
      <c r="AU88" s="142">
        <f t="shared" si="55"/>
        <v>-174.02650999999975</v>
      </c>
      <c r="AV88" s="144">
        <v>12627</v>
      </c>
      <c r="AW88" s="142">
        <f>SUM($AV$1:AV88)/1000</f>
        <v>926.41200000000003</v>
      </c>
      <c r="AX88" s="142">
        <f t="shared" si="56"/>
        <v>355.89750000000004</v>
      </c>
      <c r="AZ88" s="126">
        <f t="shared" si="65"/>
        <v>-39.751000000000005</v>
      </c>
      <c r="BA88" s="126">
        <f t="shared" si="39"/>
        <v>-355.89750000000004</v>
      </c>
      <c r="BB88" s="126">
        <f t="shared" si="40"/>
        <v>316.14650000000006</v>
      </c>
      <c r="BD88" s="126">
        <f t="shared" si="66"/>
        <v>32.78</v>
      </c>
      <c r="BE88" s="126">
        <f t="shared" si="67"/>
        <v>50.922629000000015</v>
      </c>
      <c r="BF88" s="126">
        <f t="shared" si="41"/>
        <v>18.142629000000014</v>
      </c>
      <c r="BH88" s="126">
        <f t="shared" si="68"/>
        <v>41.176000000000002</v>
      </c>
      <c r="BI88" s="126">
        <f t="shared" si="69"/>
        <v>13.521752969884105</v>
      </c>
      <c r="BJ88" s="126">
        <f t="shared" si="70"/>
        <v>-27.654247030115897</v>
      </c>
      <c r="BL88" s="126">
        <f t="shared" si="42"/>
        <v>-45.360000000000021</v>
      </c>
      <c r="BM88" s="126">
        <f t="shared" si="43"/>
        <v>69.636500000000012</v>
      </c>
      <c r="BN88" s="126">
        <f t="shared" si="44"/>
        <v>114.99650000000003</v>
      </c>
      <c r="BP88" s="126">
        <f t="shared" si="45"/>
        <v>81.48</v>
      </c>
      <c r="BQ88" s="126">
        <f t="shared" si="46"/>
        <v>82.45</v>
      </c>
      <c r="BR88" s="126">
        <f t="shared" si="47"/>
        <v>0.96999999999999886</v>
      </c>
      <c r="BT88" s="126">
        <f t="shared" si="48"/>
        <v>30.949999999999996</v>
      </c>
      <c r="BU88" s="126">
        <f t="shared" si="49"/>
        <v>174.02650999999975</v>
      </c>
      <c r="BV88" s="126">
        <f t="shared" si="50"/>
        <v>143.07650999999976</v>
      </c>
      <c r="CC88">
        <f t="shared" si="71"/>
        <v>-186.38600000000002</v>
      </c>
    </row>
    <row r="89" spans="1:81" x14ac:dyDescent="0.2">
      <c r="A89">
        <v>31.17</v>
      </c>
      <c r="B89">
        <v>208.20000000000002</v>
      </c>
      <c r="C89">
        <v>359.90000000000003</v>
      </c>
      <c r="D89" s="126">
        <f t="shared" si="57"/>
        <v>31.321700000000003</v>
      </c>
      <c r="E89">
        <v>4325</v>
      </c>
      <c r="F89">
        <v>13799</v>
      </c>
      <c r="G89">
        <v>10196</v>
      </c>
      <c r="H89" s="126">
        <f t="shared" si="58"/>
        <v>0.72199999999999998</v>
      </c>
      <c r="J89">
        <v>-33.08</v>
      </c>
      <c r="K89">
        <v>19.100000000000001</v>
      </c>
      <c r="L89">
        <v>0.38</v>
      </c>
      <c r="M89" s="126">
        <f t="shared" si="59"/>
        <v>-51.8</v>
      </c>
      <c r="N89">
        <v>-71398</v>
      </c>
      <c r="O89">
        <v>12458</v>
      </c>
      <c r="P89">
        <v>26024</v>
      </c>
      <c r="Q89" s="126">
        <f t="shared" si="60"/>
        <v>-57.832000000000001</v>
      </c>
      <c r="R89">
        <v>31.17</v>
      </c>
      <c r="S89">
        <v>136.52000000000001</v>
      </c>
      <c r="T89">
        <v>142.07</v>
      </c>
      <c r="U89" s="126">
        <f t="shared" si="61"/>
        <v>36.719999999999985</v>
      </c>
      <c r="V89">
        <v>-83.13</v>
      </c>
      <c r="W89">
        <v>21.61</v>
      </c>
      <c r="X89">
        <v>26.37</v>
      </c>
      <c r="Y89" s="126">
        <f t="shared" si="62"/>
        <v>-78.36999999999999</v>
      </c>
      <c r="Z89">
        <v>-61.980000000000004</v>
      </c>
      <c r="AA89">
        <v>91.64</v>
      </c>
      <c r="AB89">
        <v>80.260000000000005</v>
      </c>
      <c r="AC89" s="126">
        <f t="shared" si="63"/>
        <v>-73.36</v>
      </c>
      <c r="AF89" s="128">
        <v>40313</v>
      </c>
      <c r="AG89" s="144">
        <v>-2289.232</v>
      </c>
      <c r="AH89" s="142">
        <f>SUM($AG$1:AG89)/1000</f>
        <v>-119.87097200000004</v>
      </c>
      <c r="AI89" s="142">
        <f t="shared" si="51"/>
        <v>-53.211861000000013</v>
      </c>
      <c r="AJ89" s="147">
        <f t="shared" si="64"/>
        <v>-38053</v>
      </c>
      <c r="AK89" s="143">
        <v>-38.052999999999997</v>
      </c>
      <c r="AL89" s="142">
        <f t="shared" si="52"/>
        <v>-13.397209400241955</v>
      </c>
      <c r="AM89" s="144">
        <v>-5656.4000000000005</v>
      </c>
      <c r="AN89" s="142">
        <f>SUM($AM$1:AM89)/1000</f>
        <v>-163.48699999999999</v>
      </c>
      <c r="AO89" s="142">
        <f t="shared" si="53"/>
        <v>-75.292900000000003</v>
      </c>
      <c r="AP89" s="144">
        <v>437.2</v>
      </c>
      <c r="AQ89" s="145">
        <f>SUM($AP$1:AP89)/1000</f>
        <v>-165.3484</v>
      </c>
      <c r="AR89" s="142">
        <f t="shared" si="54"/>
        <v>-82.012799999999984</v>
      </c>
      <c r="AS89" s="144">
        <v>-4977.6500000000005</v>
      </c>
      <c r="AT89" s="142">
        <f>SUM($AS$1:AS89)/1000</f>
        <v>-512.15260999999964</v>
      </c>
      <c r="AU89" s="142">
        <f t="shared" si="55"/>
        <v>-179.00415999999973</v>
      </c>
      <c r="AV89" s="144">
        <v>5360</v>
      </c>
      <c r="AW89" s="142">
        <f>SUM($AV$1:AV89)/1000</f>
        <v>931.77200000000005</v>
      </c>
      <c r="AX89" s="142">
        <f t="shared" si="56"/>
        <v>361.25750000000005</v>
      </c>
      <c r="AZ89" s="126">
        <f t="shared" si="65"/>
        <v>-31.321700000000003</v>
      </c>
      <c r="BA89" s="126">
        <f t="shared" si="39"/>
        <v>-361.25750000000005</v>
      </c>
      <c r="BB89" s="126">
        <f t="shared" si="40"/>
        <v>329.93580000000003</v>
      </c>
      <c r="BD89" s="126">
        <f t="shared" si="66"/>
        <v>51.8</v>
      </c>
      <c r="BE89" s="126">
        <f t="shared" si="67"/>
        <v>53.211861000000013</v>
      </c>
      <c r="BF89" s="126">
        <f t="shared" si="41"/>
        <v>1.411861000000016</v>
      </c>
      <c r="BH89" s="126">
        <f t="shared" si="68"/>
        <v>57.832000000000001</v>
      </c>
      <c r="BI89" s="126">
        <f t="shared" si="69"/>
        <v>13.397209400241955</v>
      </c>
      <c r="BJ89" s="126">
        <f t="shared" si="70"/>
        <v>-44.434790599758045</v>
      </c>
      <c r="BL89" s="126">
        <f t="shared" si="42"/>
        <v>-36.719999999999985</v>
      </c>
      <c r="BM89" s="126">
        <f t="shared" si="43"/>
        <v>75.292900000000003</v>
      </c>
      <c r="BN89" s="126">
        <f t="shared" si="44"/>
        <v>112.01289999999999</v>
      </c>
      <c r="BP89" s="126">
        <f t="shared" si="45"/>
        <v>78.36999999999999</v>
      </c>
      <c r="BQ89" s="126">
        <f t="shared" si="46"/>
        <v>82.012799999999984</v>
      </c>
      <c r="BR89" s="126">
        <f t="shared" si="47"/>
        <v>3.642799999999994</v>
      </c>
      <c r="BT89" s="126">
        <f t="shared" si="48"/>
        <v>73.36</v>
      </c>
      <c r="BU89" s="126">
        <f t="shared" si="49"/>
        <v>179.00415999999973</v>
      </c>
      <c r="BV89" s="126">
        <f t="shared" si="50"/>
        <v>105.64415999999973</v>
      </c>
      <c r="CC89">
        <f t="shared" si="71"/>
        <v>-261.36199999999997</v>
      </c>
    </row>
    <row r="90" spans="1:81" x14ac:dyDescent="0.2">
      <c r="A90">
        <v>19.21</v>
      </c>
      <c r="B90">
        <v>210</v>
      </c>
      <c r="C90">
        <v>360.8</v>
      </c>
      <c r="D90" s="126">
        <f t="shared" si="57"/>
        <v>19.360800000000001</v>
      </c>
      <c r="E90">
        <v>33815</v>
      </c>
      <c r="F90">
        <v>13916</v>
      </c>
      <c r="G90">
        <v>10357</v>
      </c>
      <c r="H90" s="126">
        <f t="shared" si="58"/>
        <v>30.256</v>
      </c>
      <c r="J90">
        <v>-38.25</v>
      </c>
      <c r="K90">
        <v>19.260000000000002</v>
      </c>
      <c r="L90">
        <v>0.44</v>
      </c>
      <c r="M90" s="126">
        <f t="shared" si="59"/>
        <v>-57.07</v>
      </c>
      <c r="N90">
        <v>-78690</v>
      </c>
      <c r="O90">
        <v>12557</v>
      </c>
      <c r="P90">
        <v>26221</v>
      </c>
      <c r="Q90" s="126">
        <f t="shared" si="60"/>
        <v>-65.025999999999996</v>
      </c>
      <c r="R90">
        <v>19.21</v>
      </c>
      <c r="S90">
        <v>137.64000000000001</v>
      </c>
      <c r="T90">
        <v>142.56</v>
      </c>
      <c r="U90" s="126">
        <f t="shared" si="61"/>
        <v>24.129999999999988</v>
      </c>
      <c r="V90">
        <v>-90.37</v>
      </c>
      <c r="W90">
        <v>21.79</v>
      </c>
      <c r="X90">
        <v>28.580000000000002</v>
      </c>
      <c r="Y90" s="126">
        <f t="shared" si="62"/>
        <v>-83.58</v>
      </c>
      <c r="Z90">
        <v>-89.86</v>
      </c>
      <c r="AA90">
        <v>92.4</v>
      </c>
      <c r="AB90">
        <v>81.430000000000007</v>
      </c>
      <c r="AC90" s="126">
        <f t="shared" si="63"/>
        <v>-100.83</v>
      </c>
      <c r="AF90" s="128">
        <v>40344</v>
      </c>
      <c r="AG90" s="144">
        <v>-2617.5250000000001</v>
      </c>
      <c r="AH90" s="142">
        <f>SUM($AG$1:AG90)/1000</f>
        <v>-122.48849700000004</v>
      </c>
      <c r="AI90" s="142">
        <f t="shared" si="51"/>
        <v>-55.829386000000014</v>
      </c>
      <c r="AJ90" s="147">
        <f t="shared" si="64"/>
        <v>-37754.885244518846</v>
      </c>
      <c r="AK90" s="143">
        <v>-37.754885244518846</v>
      </c>
      <c r="AL90" s="142">
        <f t="shared" si="52"/>
        <v>-13.099094644760804</v>
      </c>
      <c r="AM90" s="144">
        <v>-4507.9000000000005</v>
      </c>
      <c r="AN90" s="142">
        <f>SUM($AM$1:AM90)/1000</f>
        <v>-167.9949</v>
      </c>
      <c r="AO90" s="142">
        <f t="shared" si="53"/>
        <v>-79.80080000000001</v>
      </c>
      <c r="AP90" s="144">
        <v>-1711.6000000000001</v>
      </c>
      <c r="AQ90" s="145">
        <f>SUM($AP$1:AP90)/1000</f>
        <v>-167.06</v>
      </c>
      <c r="AR90" s="142">
        <f t="shared" si="54"/>
        <v>-83.724399999999989</v>
      </c>
      <c r="AS90" s="144">
        <v>-2794.37</v>
      </c>
      <c r="AT90" s="142">
        <f>SUM($AS$1:AS90)/1000</f>
        <v>-514.94697999999971</v>
      </c>
      <c r="AU90" s="142">
        <f t="shared" si="55"/>
        <v>-181.7985299999998</v>
      </c>
      <c r="AV90" s="144">
        <v>13948</v>
      </c>
      <c r="AW90" s="142">
        <f>SUM($AV$1:AV90)/1000</f>
        <v>945.72</v>
      </c>
      <c r="AX90" s="142">
        <f t="shared" si="56"/>
        <v>375.20550000000003</v>
      </c>
      <c r="AZ90" s="126">
        <f t="shared" si="65"/>
        <v>-19.360800000000001</v>
      </c>
      <c r="BA90" s="126">
        <f t="shared" si="39"/>
        <v>-375.20550000000003</v>
      </c>
      <c r="BB90" s="126">
        <f t="shared" si="40"/>
        <v>355.84470000000005</v>
      </c>
      <c r="BD90" s="126">
        <f t="shared" si="66"/>
        <v>57.07</v>
      </c>
      <c r="BE90" s="126">
        <f t="shared" si="67"/>
        <v>55.829386000000014</v>
      </c>
      <c r="BF90" s="126">
        <f t="shared" si="41"/>
        <v>-1.2406139999999866</v>
      </c>
      <c r="BH90" s="126">
        <f t="shared" si="68"/>
        <v>65.025999999999996</v>
      </c>
      <c r="BI90" s="126">
        <f t="shared" si="69"/>
        <v>13.099094644760804</v>
      </c>
      <c r="BJ90" s="126">
        <f t="shared" si="70"/>
        <v>-51.926905355239192</v>
      </c>
      <c r="BL90" s="126">
        <f t="shared" si="42"/>
        <v>-24.129999999999988</v>
      </c>
      <c r="BM90" s="126">
        <f t="shared" si="43"/>
        <v>79.80080000000001</v>
      </c>
      <c r="BN90" s="126">
        <f t="shared" si="44"/>
        <v>103.9308</v>
      </c>
      <c r="BP90" s="126">
        <f t="shared" si="45"/>
        <v>83.58</v>
      </c>
      <c r="BQ90" s="126">
        <f t="shared" si="46"/>
        <v>83.724399999999989</v>
      </c>
      <c r="BR90" s="126">
        <f t="shared" si="47"/>
        <v>0.14439999999999031</v>
      </c>
      <c r="BT90" s="126">
        <f t="shared" si="48"/>
        <v>100.83</v>
      </c>
      <c r="BU90" s="126">
        <f t="shared" si="49"/>
        <v>181.7985299999998</v>
      </c>
      <c r="BV90" s="126">
        <f t="shared" si="50"/>
        <v>80.968529999999802</v>
      </c>
      <c r="CC90">
        <f t="shared" si="71"/>
        <v>-306.50599999999997</v>
      </c>
    </row>
    <row r="91" spans="1:81" x14ac:dyDescent="0.2">
      <c r="A91">
        <v>28.76</v>
      </c>
      <c r="B91">
        <v>212.20000000000002</v>
      </c>
      <c r="C91">
        <v>363.3</v>
      </c>
      <c r="D91" s="126">
        <f t="shared" si="57"/>
        <v>28.911100000000001</v>
      </c>
      <c r="E91">
        <v>20226</v>
      </c>
      <c r="F91">
        <v>14063</v>
      </c>
      <c r="G91">
        <v>10491</v>
      </c>
      <c r="H91" s="126">
        <f t="shared" si="58"/>
        <v>16.654</v>
      </c>
      <c r="J91">
        <v>-48.59</v>
      </c>
      <c r="K91">
        <v>19.46</v>
      </c>
      <c r="L91">
        <v>0.9</v>
      </c>
      <c r="M91" s="126">
        <f t="shared" si="59"/>
        <v>-67.150000000000006</v>
      </c>
      <c r="N91">
        <v>-66756</v>
      </c>
      <c r="O91">
        <v>12680</v>
      </c>
      <c r="P91">
        <v>26440</v>
      </c>
      <c r="Q91" s="126">
        <f t="shared" si="60"/>
        <v>-52.996000000000002</v>
      </c>
      <c r="R91">
        <v>28.76</v>
      </c>
      <c r="S91">
        <v>139.08000000000001</v>
      </c>
      <c r="T91">
        <v>145.1</v>
      </c>
      <c r="U91" s="126">
        <f t="shared" si="61"/>
        <v>34.779999999999987</v>
      </c>
      <c r="V91">
        <v>-96.27</v>
      </c>
      <c r="W91">
        <v>22.01</v>
      </c>
      <c r="X91">
        <v>28.63</v>
      </c>
      <c r="Y91" s="126">
        <f t="shared" si="62"/>
        <v>-89.65</v>
      </c>
      <c r="Z91">
        <v>-85.8</v>
      </c>
      <c r="AA91">
        <v>93.37</v>
      </c>
      <c r="AB91">
        <v>81.88</v>
      </c>
      <c r="AC91" s="126">
        <f t="shared" si="63"/>
        <v>-97.29</v>
      </c>
      <c r="AF91" s="128">
        <v>40374</v>
      </c>
      <c r="AG91" s="144">
        <v>-824.346</v>
      </c>
      <c r="AH91" s="142">
        <f>SUM($AG$1:AG91)/1000</f>
        <v>-123.31284300000004</v>
      </c>
      <c r="AI91" s="142">
        <f t="shared" si="51"/>
        <v>-56.653732000000019</v>
      </c>
      <c r="AJ91" s="147">
        <f t="shared" si="64"/>
        <v>-37285.406249847823</v>
      </c>
      <c r="AK91" s="143">
        <v>-37.285406249847824</v>
      </c>
      <c r="AL91" s="142">
        <f t="shared" si="52"/>
        <v>-12.629615650089782</v>
      </c>
      <c r="AM91" s="144">
        <v>428.8</v>
      </c>
      <c r="AN91" s="142">
        <f>SUM($AM$1:AM91)/1000</f>
        <v>-167.56610000000001</v>
      </c>
      <c r="AO91" s="142">
        <f t="shared" si="53"/>
        <v>-79.372000000000014</v>
      </c>
      <c r="AP91" s="144">
        <v>-1340.4</v>
      </c>
      <c r="AQ91" s="145">
        <f>SUM($AP$1:AP91)/1000</f>
        <v>-168.40039999999999</v>
      </c>
      <c r="AR91" s="142">
        <f t="shared" si="54"/>
        <v>-85.064799999999977</v>
      </c>
      <c r="AS91" s="144">
        <v>-2248.41</v>
      </c>
      <c r="AT91" s="142">
        <f>SUM($AS$1:AS91)/1000</f>
        <v>-517.19538999999963</v>
      </c>
      <c r="AU91" s="142">
        <f t="shared" si="55"/>
        <v>-184.04693999999972</v>
      </c>
      <c r="AV91" s="144">
        <v>10968</v>
      </c>
      <c r="AW91" s="142">
        <f>SUM($AV$1:AV91)/1000</f>
        <v>956.68799999999999</v>
      </c>
      <c r="AX91" s="142">
        <f t="shared" si="56"/>
        <v>386.17349999999999</v>
      </c>
      <c r="AZ91" s="126">
        <f t="shared" si="65"/>
        <v>-28.911100000000001</v>
      </c>
      <c r="BA91" s="126">
        <f t="shared" si="39"/>
        <v>-386.17349999999999</v>
      </c>
      <c r="BB91" s="126">
        <f t="shared" si="40"/>
        <v>357.26240000000001</v>
      </c>
      <c r="BD91" s="126">
        <f t="shared" si="66"/>
        <v>67.150000000000006</v>
      </c>
      <c r="BE91" s="126">
        <f t="shared" si="67"/>
        <v>56.653732000000019</v>
      </c>
      <c r="BF91" s="126">
        <f t="shared" si="41"/>
        <v>-10.496267999999986</v>
      </c>
      <c r="BH91" s="126">
        <f t="shared" si="68"/>
        <v>52.996000000000002</v>
      </c>
      <c r="BI91" s="126">
        <f t="shared" si="69"/>
        <v>12.629615650089782</v>
      </c>
      <c r="BJ91" s="126">
        <f t="shared" si="70"/>
        <v>-40.36638434991022</v>
      </c>
      <c r="BL91" s="126">
        <f t="shared" si="42"/>
        <v>-34.779999999999987</v>
      </c>
      <c r="BM91" s="126">
        <f t="shared" si="43"/>
        <v>79.372000000000014</v>
      </c>
      <c r="BN91" s="126">
        <f t="shared" si="44"/>
        <v>114.152</v>
      </c>
      <c r="BP91" s="126">
        <f t="shared" si="45"/>
        <v>89.65</v>
      </c>
      <c r="BQ91" s="126">
        <f t="shared" si="46"/>
        <v>85.064799999999977</v>
      </c>
      <c r="BR91" s="126">
        <f t="shared" si="47"/>
        <v>-4.5852000000000288</v>
      </c>
      <c r="BT91" s="126">
        <f t="shared" si="48"/>
        <v>97.29</v>
      </c>
      <c r="BU91" s="126">
        <f t="shared" si="49"/>
        <v>184.04693999999972</v>
      </c>
      <c r="BV91" s="126">
        <f t="shared" si="50"/>
        <v>86.756939999999716</v>
      </c>
      <c r="CC91">
        <f t="shared" si="71"/>
        <v>-307.08600000000001</v>
      </c>
    </row>
    <row r="92" spans="1:81" x14ac:dyDescent="0.2">
      <c r="A92">
        <v>23.91</v>
      </c>
      <c r="B92">
        <v>210.5</v>
      </c>
      <c r="C92">
        <v>363.70000000000005</v>
      </c>
      <c r="D92" s="126">
        <f t="shared" si="57"/>
        <v>24.063200000000002</v>
      </c>
      <c r="E92">
        <v>7555</v>
      </c>
      <c r="F92">
        <v>13954</v>
      </c>
      <c r="G92">
        <v>10460</v>
      </c>
      <c r="H92" s="126">
        <f t="shared" si="58"/>
        <v>4.0609999999999999</v>
      </c>
      <c r="J92">
        <v>-49.02</v>
      </c>
      <c r="K92">
        <v>19.309999999999999</v>
      </c>
      <c r="L92">
        <v>0.48</v>
      </c>
      <c r="M92" s="126">
        <f t="shared" si="59"/>
        <v>-67.849999999999994</v>
      </c>
      <c r="N92">
        <v>-78477</v>
      </c>
      <c r="O92">
        <v>12581</v>
      </c>
      <c r="P92">
        <v>26539</v>
      </c>
      <c r="Q92" s="126">
        <f t="shared" si="60"/>
        <v>-64.519000000000005</v>
      </c>
      <c r="R92">
        <v>23.91</v>
      </c>
      <c r="S92">
        <v>138</v>
      </c>
      <c r="T92">
        <v>143.71</v>
      </c>
      <c r="U92" s="126">
        <f t="shared" si="61"/>
        <v>29.620000000000008</v>
      </c>
      <c r="V92">
        <v>-98.600000000000009</v>
      </c>
      <c r="W92">
        <v>21.84</v>
      </c>
      <c r="X92">
        <v>27.53</v>
      </c>
      <c r="Y92" s="126">
        <f t="shared" si="62"/>
        <v>-92.910000000000011</v>
      </c>
      <c r="Z92">
        <v>-66.27</v>
      </c>
      <c r="AA92">
        <v>92.65</v>
      </c>
      <c r="AB92">
        <v>79.61</v>
      </c>
      <c r="AC92" s="126">
        <f t="shared" si="63"/>
        <v>-79.31</v>
      </c>
      <c r="AF92" s="128">
        <v>40405</v>
      </c>
      <c r="AG92" s="144">
        <v>-1034.8510000000001</v>
      </c>
      <c r="AH92" s="142">
        <f>SUM($AG$1:AG92)/1000</f>
        <v>-124.34769400000003</v>
      </c>
      <c r="AI92" s="142">
        <f t="shared" si="51"/>
        <v>-57.688583000000008</v>
      </c>
      <c r="AJ92" s="147">
        <f t="shared" si="64"/>
        <v>-36648</v>
      </c>
      <c r="AK92" s="143">
        <v>-36.648000000000003</v>
      </c>
      <c r="AL92" s="142">
        <f t="shared" si="52"/>
        <v>-11.992209400241961</v>
      </c>
      <c r="AM92" s="144">
        <v>-5554.1</v>
      </c>
      <c r="AN92" s="142">
        <f>SUM($AM$1:AM92)/1000</f>
        <v>-173.12020000000001</v>
      </c>
      <c r="AO92" s="142">
        <f t="shared" si="53"/>
        <v>-84.926100000000019</v>
      </c>
      <c r="AP92" s="144">
        <v>-159.4</v>
      </c>
      <c r="AQ92" s="145">
        <f>SUM($AP$1:AP92)/1000</f>
        <v>-168.5598</v>
      </c>
      <c r="AR92" s="142">
        <f t="shared" si="54"/>
        <v>-85.224199999999982</v>
      </c>
      <c r="AS92" s="144">
        <v>-2834.31</v>
      </c>
      <c r="AT92" s="142">
        <f>SUM($AS$1:AS92)/1000</f>
        <v>-520.02969999999971</v>
      </c>
      <c r="AU92" s="142">
        <f t="shared" si="55"/>
        <v>-186.8812499999998</v>
      </c>
      <c r="AV92" s="144">
        <v>6938</v>
      </c>
      <c r="AW92" s="142">
        <f>SUM($AV$1:AV92)/1000</f>
        <v>963.62599999999998</v>
      </c>
      <c r="AX92" s="142">
        <f t="shared" si="56"/>
        <v>393.11149999999998</v>
      </c>
      <c r="AZ92" s="126">
        <f t="shared" si="65"/>
        <v>-24.063200000000002</v>
      </c>
      <c r="BA92" s="126">
        <f t="shared" si="39"/>
        <v>-393.11149999999998</v>
      </c>
      <c r="BB92" s="126">
        <f t="shared" si="40"/>
        <v>369.04829999999998</v>
      </c>
      <c r="BD92" s="126">
        <f t="shared" si="66"/>
        <v>67.849999999999994</v>
      </c>
      <c r="BE92" s="126">
        <f t="shared" si="67"/>
        <v>57.688583000000008</v>
      </c>
      <c r="BF92" s="126">
        <f t="shared" si="41"/>
        <v>-10.161416999999986</v>
      </c>
      <c r="BH92" s="126">
        <f t="shared" si="68"/>
        <v>64.519000000000005</v>
      </c>
      <c r="BI92" s="126">
        <f t="shared" si="69"/>
        <v>11.992209400241961</v>
      </c>
      <c r="BJ92" s="126">
        <f t="shared" si="70"/>
        <v>-52.526790599758044</v>
      </c>
      <c r="BL92" s="126">
        <f t="shared" si="42"/>
        <v>-29.620000000000008</v>
      </c>
      <c r="BM92" s="126">
        <f t="shared" si="43"/>
        <v>84.926100000000019</v>
      </c>
      <c r="BN92" s="126">
        <f t="shared" si="44"/>
        <v>114.54610000000002</v>
      </c>
      <c r="BP92" s="126">
        <f t="shared" si="45"/>
        <v>92.910000000000011</v>
      </c>
      <c r="BQ92" s="126">
        <f t="shared" si="46"/>
        <v>85.224199999999982</v>
      </c>
      <c r="BR92" s="126">
        <f t="shared" si="47"/>
        <v>-7.6858000000000288</v>
      </c>
      <c r="BT92" s="126">
        <f t="shared" si="48"/>
        <v>79.31</v>
      </c>
      <c r="BU92" s="126">
        <f t="shared" si="49"/>
        <v>186.8812499999998</v>
      </c>
      <c r="BV92" s="126">
        <f t="shared" si="50"/>
        <v>107.57124999999979</v>
      </c>
      <c r="CC92">
        <f t="shared" si="71"/>
        <v>-304.58900000000006</v>
      </c>
    </row>
    <row r="93" spans="1:81" x14ac:dyDescent="0.2">
      <c r="A93">
        <v>12.81</v>
      </c>
      <c r="B93">
        <v>210.4</v>
      </c>
      <c r="C93">
        <v>366.20000000000005</v>
      </c>
      <c r="D93" s="126">
        <f t="shared" si="57"/>
        <v>12.9658</v>
      </c>
      <c r="E93">
        <v>10343</v>
      </c>
      <c r="F93">
        <v>13942</v>
      </c>
      <c r="G93">
        <v>10585</v>
      </c>
      <c r="H93" s="126">
        <f t="shared" si="58"/>
        <v>6.9859999999999998</v>
      </c>
      <c r="J93">
        <v>-41.13</v>
      </c>
      <c r="K93">
        <v>19.3</v>
      </c>
      <c r="L93">
        <v>0.15</v>
      </c>
      <c r="M93" s="126">
        <f t="shared" si="59"/>
        <v>-60.28</v>
      </c>
      <c r="N93">
        <v>-117151</v>
      </c>
      <c r="O93">
        <v>12571</v>
      </c>
      <c r="P93">
        <v>26664</v>
      </c>
      <c r="Q93" s="126">
        <f t="shared" si="60"/>
        <v>-103.05800000000001</v>
      </c>
      <c r="R93">
        <v>12.81</v>
      </c>
      <c r="S93">
        <v>137.93</v>
      </c>
      <c r="T93">
        <v>142.85</v>
      </c>
      <c r="U93" s="126">
        <f t="shared" si="61"/>
        <v>17.72999999999999</v>
      </c>
      <c r="V93">
        <v>-91.87</v>
      </c>
      <c r="W93">
        <v>21.830000000000002</v>
      </c>
      <c r="X93">
        <v>26.96</v>
      </c>
      <c r="Y93" s="126">
        <f t="shared" si="62"/>
        <v>-86.740000000000009</v>
      </c>
      <c r="Z93">
        <v>-40.46</v>
      </c>
      <c r="AA93">
        <v>92.600000000000009</v>
      </c>
      <c r="AB93">
        <v>78.72</v>
      </c>
      <c r="AC93" s="126">
        <f t="shared" si="63"/>
        <v>-54.340000000000011</v>
      </c>
      <c r="AF93" s="128">
        <v>40436</v>
      </c>
      <c r="AG93" s="144">
        <v>-1205.22</v>
      </c>
      <c r="AH93" s="142">
        <f>SUM($AG$1:AG93)/1000</f>
        <v>-125.55291400000003</v>
      </c>
      <c r="AI93" s="142">
        <f t="shared" si="51"/>
        <v>-58.893803000000005</v>
      </c>
      <c r="AJ93" s="147">
        <f t="shared" si="64"/>
        <v>-35897.007643450415</v>
      </c>
      <c r="AK93" s="143">
        <v>-35.897007643450415</v>
      </c>
      <c r="AL93" s="142">
        <f t="shared" si="52"/>
        <v>-11.241217043692373</v>
      </c>
      <c r="AM93" s="144">
        <v>-6077.1</v>
      </c>
      <c r="AN93" s="142">
        <f>SUM($AM$1:AM93)/1000</f>
        <v>-179.19730000000001</v>
      </c>
      <c r="AO93" s="142">
        <f t="shared" si="53"/>
        <v>-91.003200000000021</v>
      </c>
      <c r="AP93" s="144">
        <v>-1211.8</v>
      </c>
      <c r="AQ93" s="145">
        <f>SUM($AP$1:AP93)/1000</f>
        <v>-169.77159999999998</v>
      </c>
      <c r="AR93" s="142">
        <f t="shared" si="54"/>
        <v>-86.435999999999964</v>
      </c>
      <c r="AS93" s="144">
        <v>-4131.07</v>
      </c>
      <c r="AT93" s="142">
        <f>SUM($AS$1:AS93)/1000</f>
        <v>-524.16076999999962</v>
      </c>
      <c r="AU93" s="142">
        <f t="shared" si="55"/>
        <v>-191.0123199999997</v>
      </c>
      <c r="AV93" s="144">
        <v>16705</v>
      </c>
      <c r="AW93" s="142">
        <f>SUM($AV$1:AV93)/1000</f>
        <v>980.33100000000002</v>
      </c>
      <c r="AX93" s="142">
        <f t="shared" si="56"/>
        <v>409.81650000000002</v>
      </c>
      <c r="AZ93" s="126">
        <f t="shared" si="65"/>
        <v>-12.9658</v>
      </c>
      <c r="BA93" s="126">
        <f t="shared" si="39"/>
        <v>-409.81650000000002</v>
      </c>
      <c r="BB93" s="126">
        <f t="shared" si="40"/>
        <v>396.85070000000002</v>
      </c>
      <c r="BD93" s="126">
        <f t="shared" si="66"/>
        <v>60.28</v>
      </c>
      <c r="BE93" s="126">
        <f t="shared" si="67"/>
        <v>58.893803000000005</v>
      </c>
      <c r="BF93" s="126">
        <f t="shared" si="41"/>
        <v>-1.3861969999999957</v>
      </c>
      <c r="BH93" s="126">
        <f t="shared" si="68"/>
        <v>103.05800000000001</v>
      </c>
      <c r="BI93" s="126">
        <f t="shared" si="69"/>
        <v>11.241217043692373</v>
      </c>
      <c r="BJ93" s="126">
        <f t="shared" si="70"/>
        <v>-91.816782956307634</v>
      </c>
      <c r="BL93" s="126">
        <f t="shared" si="42"/>
        <v>-17.72999999999999</v>
      </c>
      <c r="BM93" s="126">
        <f t="shared" si="43"/>
        <v>91.003200000000021</v>
      </c>
      <c r="BN93" s="126">
        <f t="shared" si="44"/>
        <v>108.73320000000001</v>
      </c>
      <c r="BP93" s="126">
        <f t="shared" si="45"/>
        <v>86.740000000000009</v>
      </c>
      <c r="BQ93" s="126">
        <f t="shared" si="46"/>
        <v>86.435999999999964</v>
      </c>
      <c r="BR93" s="126">
        <f t="shared" si="47"/>
        <v>-0.30400000000004468</v>
      </c>
      <c r="BT93" s="126">
        <f t="shared" si="48"/>
        <v>54.340000000000011</v>
      </c>
      <c r="BU93" s="126">
        <f t="shared" si="49"/>
        <v>191.0123199999997</v>
      </c>
      <c r="BV93" s="126">
        <f t="shared" si="50"/>
        <v>136.6723199999997</v>
      </c>
      <c r="CC93">
        <f t="shared" si="71"/>
        <v>-304.41800000000001</v>
      </c>
    </row>
    <row r="94" spans="1:81" x14ac:dyDescent="0.2">
      <c r="A94">
        <v>27.96</v>
      </c>
      <c r="B94">
        <v>210.9</v>
      </c>
      <c r="C94">
        <v>367.5</v>
      </c>
      <c r="D94" s="126">
        <f t="shared" si="57"/>
        <v>28.116600000000002</v>
      </c>
      <c r="E94">
        <v>8445</v>
      </c>
      <c r="F94">
        <v>13971</v>
      </c>
      <c r="G94">
        <v>10663</v>
      </c>
      <c r="H94" s="126">
        <f t="shared" si="58"/>
        <v>5.1369999999999996</v>
      </c>
      <c r="J94">
        <v>-40.450000000000003</v>
      </c>
      <c r="K94">
        <v>19.34</v>
      </c>
      <c r="L94">
        <v>0.28999999999999998</v>
      </c>
      <c r="M94" s="126">
        <f t="shared" si="59"/>
        <v>-59.5</v>
      </c>
      <c r="N94">
        <v>-130197</v>
      </c>
      <c r="O94">
        <v>12594</v>
      </c>
      <c r="P94">
        <v>26782</v>
      </c>
      <c r="Q94" s="126">
        <f t="shared" si="60"/>
        <v>-116.009</v>
      </c>
      <c r="R94">
        <v>27.96</v>
      </c>
      <c r="S94">
        <v>138.21</v>
      </c>
      <c r="T94">
        <v>142.80000000000001</v>
      </c>
      <c r="U94" s="126">
        <f t="shared" si="61"/>
        <v>32.550000000000004</v>
      </c>
      <c r="V94">
        <v>-95.47</v>
      </c>
      <c r="W94">
        <v>21.87</v>
      </c>
      <c r="X94">
        <v>26.900000000000002</v>
      </c>
      <c r="Y94" s="126">
        <f t="shared" si="62"/>
        <v>-90.44</v>
      </c>
      <c r="Z94">
        <v>-23.11</v>
      </c>
      <c r="AA94">
        <v>92.79</v>
      </c>
      <c r="AB94">
        <v>77.650000000000006</v>
      </c>
      <c r="AC94" s="126">
        <f t="shared" si="63"/>
        <v>-38.25</v>
      </c>
      <c r="AF94" s="128">
        <v>40466</v>
      </c>
      <c r="AG94" s="144">
        <v>-1337.4349999999999</v>
      </c>
      <c r="AH94" s="142">
        <f>SUM($AG$1:AG94)/1000</f>
        <v>-126.89034900000003</v>
      </c>
      <c r="AI94" s="142">
        <f t="shared" si="51"/>
        <v>-60.231238000000005</v>
      </c>
      <c r="AJ94" s="147">
        <f t="shared" si="64"/>
        <v>-35290.386986522084</v>
      </c>
      <c r="AK94" s="143">
        <v>-35.290386986522087</v>
      </c>
      <c r="AL94" s="142">
        <f t="shared" si="52"/>
        <v>-10.634596386764045</v>
      </c>
      <c r="AM94" s="144">
        <v>-2596.1000000000004</v>
      </c>
      <c r="AN94" s="142">
        <f>SUM($AM$1:AM94)/1000</f>
        <v>-181.79340000000002</v>
      </c>
      <c r="AO94" s="142">
        <f t="shared" si="53"/>
        <v>-93.599300000000028</v>
      </c>
      <c r="AP94" s="144">
        <v>-2213</v>
      </c>
      <c r="AQ94" s="145">
        <f>SUM($AP$1:AP94)/1000</f>
        <v>-171.98459999999997</v>
      </c>
      <c r="AR94" s="142">
        <f t="shared" si="54"/>
        <v>-88.648999999999958</v>
      </c>
      <c r="AS94" s="144">
        <v>-2770.16</v>
      </c>
      <c r="AT94" s="142">
        <f>SUM($AS$1:AS94)/1000</f>
        <v>-526.93092999999965</v>
      </c>
      <c r="AU94" s="142">
        <f t="shared" si="55"/>
        <v>-193.78247999999974</v>
      </c>
      <c r="AV94" s="144">
        <v>14951</v>
      </c>
      <c r="AW94" s="142">
        <f>SUM($AV$1:AV94)/1000</f>
        <v>995.28200000000004</v>
      </c>
      <c r="AX94" s="142">
        <f t="shared" si="56"/>
        <v>424.76750000000004</v>
      </c>
      <c r="AZ94" s="126">
        <f t="shared" si="65"/>
        <v>-28.116600000000002</v>
      </c>
      <c r="BA94" s="126">
        <f t="shared" si="39"/>
        <v>-424.76750000000004</v>
      </c>
      <c r="BB94" s="126">
        <f t="shared" si="40"/>
        <v>396.65090000000004</v>
      </c>
      <c r="BD94" s="126">
        <f t="shared" si="66"/>
        <v>59.5</v>
      </c>
      <c r="BE94" s="126">
        <f t="shared" si="67"/>
        <v>60.231238000000005</v>
      </c>
      <c r="BF94" s="126">
        <f t="shared" si="41"/>
        <v>0.73123800000000472</v>
      </c>
      <c r="BH94" s="126">
        <f t="shared" si="68"/>
        <v>116.009</v>
      </c>
      <c r="BI94" s="126">
        <f t="shared" si="69"/>
        <v>10.634596386764045</v>
      </c>
      <c r="BJ94" s="126">
        <f t="shared" si="70"/>
        <v>-105.37440361323596</v>
      </c>
      <c r="BL94" s="126">
        <f t="shared" si="42"/>
        <v>-32.550000000000004</v>
      </c>
      <c r="BM94" s="126">
        <f t="shared" si="43"/>
        <v>93.599300000000028</v>
      </c>
      <c r="BN94" s="126">
        <f t="shared" si="44"/>
        <v>126.14930000000004</v>
      </c>
      <c r="BP94" s="126">
        <f t="shared" si="45"/>
        <v>90.44</v>
      </c>
      <c r="BQ94" s="126">
        <f t="shared" si="46"/>
        <v>88.648999999999958</v>
      </c>
      <c r="BR94" s="126">
        <f t="shared" si="47"/>
        <v>-1.7910000000000394</v>
      </c>
      <c r="BT94" s="126">
        <f t="shared" si="48"/>
        <v>38.25</v>
      </c>
      <c r="BU94" s="126">
        <f t="shared" si="49"/>
        <v>193.78247999999974</v>
      </c>
      <c r="BV94" s="126">
        <f t="shared" si="50"/>
        <v>155.53247999999974</v>
      </c>
      <c r="CC94">
        <f t="shared" si="71"/>
        <v>-304.19900000000001</v>
      </c>
    </row>
    <row r="95" spans="1:81" x14ac:dyDescent="0.2">
      <c r="A95">
        <v>28.87</v>
      </c>
      <c r="B95">
        <v>211.3</v>
      </c>
      <c r="C95">
        <v>367.90000000000003</v>
      </c>
      <c r="D95" s="126">
        <f t="shared" si="57"/>
        <v>29.026600000000002</v>
      </c>
      <c r="E95">
        <v>10769</v>
      </c>
      <c r="F95">
        <v>14007</v>
      </c>
      <c r="G95">
        <v>10805</v>
      </c>
      <c r="H95" s="126">
        <f t="shared" si="58"/>
        <v>7.5670000000000002</v>
      </c>
      <c r="J95">
        <v>-38.58</v>
      </c>
      <c r="K95">
        <v>19.38</v>
      </c>
      <c r="L95">
        <v>0.35000000000000003</v>
      </c>
      <c r="M95" s="126">
        <f t="shared" si="59"/>
        <v>-57.61</v>
      </c>
      <c r="N95">
        <v>-152465</v>
      </c>
      <c r="O95">
        <v>12626</v>
      </c>
      <c r="P95">
        <v>27224</v>
      </c>
      <c r="Q95" s="126">
        <f t="shared" si="60"/>
        <v>-137.86699999999999</v>
      </c>
      <c r="R95">
        <v>28.87</v>
      </c>
      <c r="S95">
        <v>138.52000000000001</v>
      </c>
      <c r="T95">
        <v>142.95000000000002</v>
      </c>
      <c r="U95" s="126">
        <f t="shared" si="61"/>
        <v>33.300000000000011</v>
      </c>
      <c r="V95">
        <v>-98.460000000000008</v>
      </c>
      <c r="W95">
        <v>21.92</v>
      </c>
      <c r="X95">
        <v>27.98</v>
      </c>
      <c r="Y95" s="126">
        <f t="shared" si="62"/>
        <v>-92.4</v>
      </c>
      <c r="Z95">
        <v>-22.57</v>
      </c>
      <c r="AA95">
        <v>92.97</v>
      </c>
      <c r="AB95">
        <v>77.37</v>
      </c>
      <c r="AC95" s="126">
        <f t="shared" si="63"/>
        <v>-38.169999999999995</v>
      </c>
      <c r="AF95" s="128">
        <v>40497</v>
      </c>
      <c r="AG95" s="144">
        <v>-1384.135</v>
      </c>
      <c r="AH95" s="142">
        <f>SUM($AG$1:AG95)/1000</f>
        <v>-128.27448400000003</v>
      </c>
      <c r="AI95" s="142">
        <f t="shared" si="51"/>
        <v>-61.615373000000005</v>
      </c>
      <c r="AJ95" s="147">
        <f t="shared" si="64"/>
        <v>-35137</v>
      </c>
      <c r="AK95" s="143">
        <v>-35.137</v>
      </c>
      <c r="AL95" s="142">
        <f t="shared" si="52"/>
        <v>-10.481209400241958</v>
      </c>
      <c r="AM95" s="144">
        <v>-4796.7</v>
      </c>
      <c r="AN95" s="142">
        <f>SUM($AM$1:AM95)/1000</f>
        <v>-186.59010000000004</v>
      </c>
      <c r="AO95" s="142">
        <f t="shared" si="53"/>
        <v>-98.396000000000043</v>
      </c>
      <c r="AP95" s="144">
        <v>-2443.94</v>
      </c>
      <c r="AQ95" s="145">
        <f>SUM($AP$1:AP95)/1000</f>
        <v>-174.42853999999997</v>
      </c>
      <c r="AR95" s="142">
        <f t="shared" si="54"/>
        <v>-91.092939999999956</v>
      </c>
      <c r="AS95" s="144">
        <v>-4316.8599999999997</v>
      </c>
      <c r="AT95" s="142">
        <f>SUM($AS$1:AS95)/1000</f>
        <v>-531.24778999999967</v>
      </c>
      <c r="AU95" s="142">
        <f t="shared" si="55"/>
        <v>-198.09933999999976</v>
      </c>
      <c r="AV95" s="144">
        <v>15685</v>
      </c>
      <c r="AW95" s="142">
        <f>SUM($AV$1:AV95)/1000</f>
        <v>1010.967</v>
      </c>
      <c r="AX95" s="142">
        <f t="shared" si="56"/>
        <v>440.45249999999999</v>
      </c>
      <c r="AZ95" s="126">
        <f t="shared" si="65"/>
        <v>-29.026600000000002</v>
      </c>
      <c r="BA95" s="126">
        <f t="shared" si="39"/>
        <v>-440.45249999999999</v>
      </c>
      <c r="BB95" s="126">
        <f t="shared" si="40"/>
        <v>411.42589999999996</v>
      </c>
      <c r="BD95" s="126">
        <f t="shared" si="66"/>
        <v>57.61</v>
      </c>
      <c r="BE95" s="126">
        <f t="shared" si="67"/>
        <v>61.615373000000005</v>
      </c>
      <c r="BF95" s="126">
        <f t="shared" si="41"/>
        <v>4.0053730000000058</v>
      </c>
      <c r="BH95" s="126">
        <f t="shared" si="68"/>
        <v>137.86699999999999</v>
      </c>
      <c r="BI95" s="126">
        <f t="shared" si="69"/>
        <v>10.481209400241958</v>
      </c>
      <c r="BJ95" s="126">
        <f t="shared" si="70"/>
        <v>-127.38579059975802</v>
      </c>
      <c r="BL95" s="126">
        <f t="shared" si="42"/>
        <v>-33.300000000000011</v>
      </c>
      <c r="BM95" s="126">
        <f t="shared" si="43"/>
        <v>98.396000000000043</v>
      </c>
      <c r="BN95" s="126">
        <f t="shared" si="44"/>
        <v>131.69600000000005</v>
      </c>
      <c r="BP95" s="126">
        <f t="shared" si="45"/>
        <v>92.4</v>
      </c>
      <c r="BQ95" s="126">
        <f t="shared" si="46"/>
        <v>91.092939999999956</v>
      </c>
      <c r="BR95" s="126">
        <f t="shared" si="47"/>
        <v>-1.3070600000000496</v>
      </c>
      <c r="BT95" s="126">
        <f t="shared" si="48"/>
        <v>38.169999999999995</v>
      </c>
      <c r="BU95" s="126">
        <f t="shared" si="49"/>
        <v>198.09933999999976</v>
      </c>
      <c r="BV95" s="126">
        <f t="shared" si="50"/>
        <v>159.92933999999977</v>
      </c>
      <c r="CC95">
        <f t="shared" si="71"/>
        <v>-326.04700000000003</v>
      </c>
    </row>
    <row r="96" spans="1:81" x14ac:dyDescent="0.2">
      <c r="A96">
        <v>-3.29</v>
      </c>
      <c r="B96">
        <v>217.20000000000002</v>
      </c>
      <c r="C96">
        <v>374.3</v>
      </c>
      <c r="D96" s="126">
        <f t="shared" si="57"/>
        <v>-3.1329000000000002</v>
      </c>
      <c r="E96">
        <v>23822</v>
      </c>
      <c r="F96">
        <v>14392</v>
      </c>
      <c r="G96">
        <v>10978</v>
      </c>
      <c r="H96" s="126">
        <f t="shared" si="58"/>
        <v>20.408000000000001</v>
      </c>
      <c r="J96">
        <v>-39.86</v>
      </c>
      <c r="K96">
        <v>19.91</v>
      </c>
      <c r="L96">
        <v>0.87</v>
      </c>
      <c r="M96" s="126">
        <f t="shared" si="59"/>
        <v>-58.9</v>
      </c>
      <c r="N96">
        <v>-159502</v>
      </c>
      <c r="O96">
        <v>12966</v>
      </c>
      <c r="P96">
        <v>27923</v>
      </c>
      <c r="Q96" s="126">
        <f t="shared" si="60"/>
        <v>-144.54499999999999</v>
      </c>
      <c r="R96">
        <v>-3.29</v>
      </c>
      <c r="S96">
        <v>142.32</v>
      </c>
      <c r="T96">
        <v>149.41</v>
      </c>
      <c r="U96" s="126">
        <f t="shared" si="61"/>
        <v>3.8000000000000034</v>
      </c>
      <c r="V96">
        <v>-93.88</v>
      </c>
      <c r="W96">
        <v>22.52</v>
      </c>
      <c r="X96">
        <v>30.44</v>
      </c>
      <c r="Y96" s="126">
        <f t="shared" si="62"/>
        <v>-85.96</v>
      </c>
      <c r="Z96">
        <v>-30.78</v>
      </c>
      <c r="AA96">
        <v>95.5</v>
      </c>
      <c r="AB96">
        <v>80.14</v>
      </c>
      <c r="AC96" s="126">
        <f t="shared" si="63"/>
        <v>-46.14</v>
      </c>
      <c r="AF96" s="128">
        <v>40527</v>
      </c>
      <c r="AG96" s="144">
        <v>-2012.1190000000001</v>
      </c>
      <c r="AH96" s="142">
        <f>SUM($AG$1:AG96)/1000</f>
        <v>-130.28660300000004</v>
      </c>
      <c r="AI96" s="142">
        <f t="shared" si="51"/>
        <v>-63.627492000000018</v>
      </c>
      <c r="AJ96" s="147">
        <f t="shared" si="64"/>
        <v>-35618.676774272084</v>
      </c>
      <c r="AK96" s="143">
        <v>-35.618676774272082</v>
      </c>
      <c r="AL96" s="142">
        <f t="shared" si="52"/>
        <v>-10.96288617451404</v>
      </c>
      <c r="AM96" s="144">
        <v>-5244.2000000000007</v>
      </c>
      <c r="AN96" s="142">
        <f>SUM($AM$1:AM96)/1000</f>
        <v>-191.83430000000004</v>
      </c>
      <c r="AO96" s="142">
        <f t="shared" si="53"/>
        <v>-103.64020000000005</v>
      </c>
      <c r="AP96" s="144">
        <v>-1779.5</v>
      </c>
      <c r="AQ96" s="145">
        <f>SUM($AP$1:AP96)/1000</f>
        <v>-176.20803999999998</v>
      </c>
      <c r="AR96" s="142">
        <f t="shared" si="54"/>
        <v>-92.872439999999969</v>
      </c>
      <c r="AS96" s="144">
        <v>-3473.12</v>
      </c>
      <c r="AT96" s="142">
        <f>SUM($AS$1:AS96)/1000</f>
        <v>-534.72090999999966</v>
      </c>
      <c r="AU96" s="142">
        <f t="shared" si="55"/>
        <v>-201.57245999999975</v>
      </c>
      <c r="AV96" s="144">
        <v>21344</v>
      </c>
      <c r="AW96" s="142">
        <f>SUM($AV$1:AV96)/1000</f>
        <v>1032.3109999999999</v>
      </c>
      <c r="AX96" s="142">
        <f t="shared" si="56"/>
        <v>461.79649999999992</v>
      </c>
      <c r="AZ96" s="126">
        <f t="shared" si="65"/>
        <v>3.1329000000000002</v>
      </c>
      <c r="BA96" s="126">
        <f t="shared" si="39"/>
        <v>-461.79649999999992</v>
      </c>
      <c r="BB96" s="126">
        <f t="shared" si="40"/>
        <v>464.92939999999993</v>
      </c>
      <c r="BD96" s="126">
        <f t="shared" si="66"/>
        <v>58.9</v>
      </c>
      <c r="BE96" s="126">
        <f t="shared" si="67"/>
        <v>63.627492000000018</v>
      </c>
      <c r="BF96" s="126">
        <f t="shared" si="41"/>
        <v>4.7274920000000193</v>
      </c>
      <c r="BH96" s="126">
        <f t="shared" si="68"/>
        <v>144.54499999999999</v>
      </c>
      <c r="BI96" s="126">
        <f t="shared" si="69"/>
        <v>10.96288617451404</v>
      </c>
      <c r="BJ96" s="126">
        <f t="shared" si="70"/>
        <v>-133.58211382548595</v>
      </c>
      <c r="BL96" s="126">
        <f t="shared" si="42"/>
        <v>-3.8000000000000034</v>
      </c>
      <c r="BM96" s="126">
        <f t="shared" si="43"/>
        <v>103.64020000000005</v>
      </c>
      <c r="BN96" s="126">
        <f t="shared" si="44"/>
        <v>107.44020000000005</v>
      </c>
      <c r="BP96" s="126">
        <f t="shared" si="45"/>
        <v>85.96</v>
      </c>
      <c r="BQ96" s="126">
        <f t="shared" si="46"/>
        <v>92.872439999999969</v>
      </c>
      <c r="BR96" s="126">
        <f t="shared" si="47"/>
        <v>6.9124399999999753</v>
      </c>
      <c r="BT96" s="126">
        <f t="shared" si="48"/>
        <v>46.14</v>
      </c>
      <c r="BU96" s="126">
        <f t="shared" si="49"/>
        <v>201.57245999999975</v>
      </c>
      <c r="BV96" s="126">
        <f t="shared" si="50"/>
        <v>155.43245999999976</v>
      </c>
      <c r="CC96">
        <f t="shared" si="71"/>
        <v>-335.54499999999996</v>
      </c>
    </row>
    <row r="97" spans="1:81" x14ac:dyDescent="0.2">
      <c r="A97">
        <v>23.39</v>
      </c>
      <c r="B97">
        <v>212</v>
      </c>
      <c r="C97">
        <v>369.8</v>
      </c>
      <c r="D97" s="126">
        <f t="shared" si="57"/>
        <v>23.547800000000002</v>
      </c>
      <c r="E97">
        <v>9147</v>
      </c>
      <c r="F97">
        <v>14048</v>
      </c>
      <c r="G97">
        <v>10842</v>
      </c>
      <c r="H97" s="126">
        <f t="shared" si="58"/>
        <v>5.9409999999999998</v>
      </c>
      <c r="J97">
        <v>-42.14</v>
      </c>
      <c r="K97">
        <v>19.440000000000001</v>
      </c>
      <c r="L97">
        <v>0.4</v>
      </c>
      <c r="M97" s="126">
        <f t="shared" si="59"/>
        <v>-61.180000000000007</v>
      </c>
      <c r="N97">
        <v>-148104</v>
      </c>
      <c r="O97">
        <v>12672</v>
      </c>
      <c r="P97">
        <v>27266</v>
      </c>
      <c r="Q97" s="126">
        <f t="shared" si="60"/>
        <v>-133.51</v>
      </c>
      <c r="R97">
        <v>23.39</v>
      </c>
      <c r="S97">
        <v>138.95000000000002</v>
      </c>
      <c r="T97">
        <v>144.71</v>
      </c>
      <c r="U97" s="126">
        <f t="shared" si="61"/>
        <v>29.149999999999991</v>
      </c>
      <c r="V97">
        <v>-94.05</v>
      </c>
      <c r="W97">
        <v>21.990000000000002</v>
      </c>
      <c r="X97">
        <v>29.87</v>
      </c>
      <c r="Y97" s="126">
        <f t="shared" si="62"/>
        <v>-86.17</v>
      </c>
      <c r="Z97">
        <v>-27.22</v>
      </c>
      <c r="AA97">
        <v>93.28</v>
      </c>
      <c r="AB97">
        <v>77.2</v>
      </c>
      <c r="AC97" s="126">
        <f t="shared" si="63"/>
        <v>-43.3</v>
      </c>
      <c r="AF97" s="128">
        <v>40558</v>
      </c>
      <c r="AG97" s="144">
        <v>-1262.7950000000001</v>
      </c>
      <c r="AH97" s="142">
        <f>SUM($AG$1:AG97)/1000</f>
        <v>-131.54939800000005</v>
      </c>
      <c r="AI97" s="142">
        <f t="shared" ref="AI97:AI128" si="72">AH97-$AH$130</f>
        <v>-64.890287000000029</v>
      </c>
      <c r="AJ97" s="147">
        <f t="shared" si="64"/>
        <v>-36409.119878137913</v>
      </c>
      <c r="AK97" s="143">
        <v>-36.409119878137915</v>
      </c>
      <c r="AL97" s="142">
        <f t="shared" ref="AL97:AL128" si="73">AK97-$AK$130</f>
        <v>-11.753329278379873</v>
      </c>
      <c r="AM97" s="144">
        <v>-8812.6</v>
      </c>
      <c r="AN97" s="142">
        <f>SUM($AM$1:AM97)/1000</f>
        <v>-200.64690000000004</v>
      </c>
      <c r="AO97" s="142">
        <f t="shared" ref="AO97:AO128" si="74">AN97-$AN$130</f>
        <v>-112.45280000000005</v>
      </c>
      <c r="AP97" s="144">
        <v>-2717.89</v>
      </c>
      <c r="AQ97" s="145">
        <f>SUM($AP$1:AP97)/1000</f>
        <v>-178.92592999999999</v>
      </c>
      <c r="AR97" s="142">
        <f t="shared" ref="AR97:AR128" si="75">AQ97-$AQ$130</f>
        <v>-95.59032999999998</v>
      </c>
      <c r="AS97" s="144">
        <v>-6170.57</v>
      </c>
      <c r="AT97" s="142">
        <f>SUM($AS$1:AS97)/1000</f>
        <v>-540.89147999999966</v>
      </c>
      <c r="AU97" s="142">
        <f t="shared" ref="AU97:AU128" si="76">AT97-$AT$130</f>
        <v>-207.74302999999975</v>
      </c>
      <c r="AV97" s="144">
        <v>9711</v>
      </c>
      <c r="AW97" s="142">
        <f>SUM($AV$1:AV97)/1000</f>
        <v>1042.0219999999999</v>
      </c>
      <c r="AX97" s="142">
        <f t="shared" ref="AX97:AX128" si="77">AW97-$AW$130</f>
        <v>471.50749999999994</v>
      </c>
      <c r="AZ97" s="126">
        <f t="shared" si="65"/>
        <v>-23.547800000000002</v>
      </c>
      <c r="BA97" s="126">
        <f t="shared" si="39"/>
        <v>-471.50749999999994</v>
      </c>
      <c r="BB97" s="126">
        <f t="shared" si="40"/>
        <v>447.95969999999994</v>
      </c>
      <c r="BD97" s="126">
        <f t="shared" si="66"/>
        <v>61.180000000000007</v>
      </c>
      <c r="BE97" s="126">
        <f t="shared" si="67"/>
        <v>64.890287000000029</v>
      </c>
      <c r="BF97" s="126">
        <f t="shared" si="41"/>
        <v>3.7102870000000223</v>
      </c>
      <c r="BH97" s="126">
        <f t="shared" si="68"/>
        <v>133.51</v>
      </c>
      <c r="BI97" s="126">
        <f t="shared" si="69"/>
        <v>11.753329278379873</v>
      </c>
      <c r="BJ97" s="126">
        <f t="shared" si="70"/>
        <v>-121.75667072162011</v>
      </c>
      <c r="BL97" s="126">
        <f t="shared" si="42"/>
        <v>-29.149999999999991</v>
      </c>
      <c r="BM97" s="126">
        <f t="shared" si="43"/>
        <v>112.45280000000005</v>
      </c>
      <c r="BN97" s="126">
        <f t="shared" si="44"/>
        <v>141.60280000000006</v>
      </c>
      <c r="BP97" s="126">
        <f t="shared" si="45"/>
        <v>86.17</v>
      </c>
      <c r="BQ97" s="126">
        <f t="shared" si="46"/>
        <v>95.59032999999998</v>
      </c>
      <c r="BR97" s="126">
        <f t="shared" si="47"/>
        <v>9.4203299999999786</v>
      </c>
      <c r="BT97" s="126">
        <f t="shared" si="48"/>
        <v>43.3</v>
      </c>
      <c r="BU97" s="126">
        <f t="shared" si="49"/>
        <v>207.74302999999975</v>
      </c>
      <c r="BV97" s="126">
        <f t="shared" si="50"/>
        <v>164.44302999999974</v>
      </c>
      <c r="CC97">
        <f t="shared" si="71"/>
        <v>-324.15999999999997</v>
      </c>
    </row>
    <row r="98" spans="1:81" x14ac:dyDescent="0.2">
      <c r="A98">
        <v>16.670000000000002</v>
      </c>
      <c r="B98">
        <v>211.8</v>
      </c>
      <c r="C98">
        <v>370.6</v>
      </c>
      <c r="D98" s="126">
        <f t="shared" si="57"/>
        <v>16.828800000000001</v>
      </c>
      <c r="E98">
        <v>7946</v>
      </c>
      <c r="F98">
        <v>14028</v>
      </c>
      <c r="G98">
        <v>10878</v>
      </c>
      <c r="H98" s="126">
        <f t="shared" si="58"/>
        <v>4.7960000000000003</v>
      </c>
      <c r="J98">
        <v>-42.01</v>
      </c>
      <c r="K98">
        <v>19.420000000000002</v>
      </c>
      <c r="L98">
        <v>0.22</v>
      </c>
      <c r="M98" s="126">
        <f t="shared" si="59"/>
        <v>-61.21</v>
      </c>
      <c r="N98">
        <v>-155035</v>
      </c>
      <c r="O98">
        <v>12657</v>
      </c>
      <c r="P98">
        <v>27339</v>
      </c>
      <c r="Q98" s="126">
        <f t="shared" si="60"/>
        <v>-140.35300000000001</v>
      </c>
      <c r="R98">
        <v>16.66</v>
      </c>
      <c r="S98">
        <v>138.82</v>
      </c>
      <c r="T98">
        <v>143.9</v>
      </c>
      <c r="U98" s="126">
        <f t="shared" si="61"/>
        <v>21.740000000000013</v>
      </c>
      <c r="V98">
        <v>-92.52</v>
      </c>
      <c r="W98">
        <v>21.96</v>
      </c>
      <c r="X98">
        <v>29.75</v>
      </c>
      <c r="Y98" s="126">
        <f t="shared" si="62"/>
        <v>-84.72999999999999</v>
      </c>
      <c r="Z98">
        <v>-21.580000000000002</v>
      </c>
      <c r="AA98">
        <v>93.16</v>
      </c>
      <c r="AB98">
        <v>76.56</v>
      </c>
      <c r="AC98" s="126">
        <f t="shared" si="63"/>
        <v>-38.179999999999993</v>
      </c>
      <c r="AF98" s="128">
        <v>40589</v>
      </c>
      <c r="AG98" s="144">
        <v>-883.23800000000006</v>
      </c>
      <c r="AH98" s="142">
        <f>SUM($AG$1:AG98)/1000</f>
        <v>-132.43263600000006</v>
      </c>
      <c r="AI98" s="142">
        <f t="shared" si="72"/>
        <v>-65.773525000000035</v>
      </c>
      <c r="AJ98" s="147">
        <f t="shared" si="64"/>
        <v>-37055</v>
      </c>
      <c r="AK98" s="143">
        <v>-37.055</v>
      </c>
      <c r="AL98" s="142">
        <f t="shared" si="73"/>
        <v>-12.399209400241958</v>
      </c>
      <c r="AM98" s="144">
        <v>-6400.1</v>
      </c>
      <c r="AN98" s="142">
        <f>SUM($AM$1:AM98)/1000</f>
        <v>-207.04700000000005</v>
      </c>
      <c r="AO98" s="142">
        <f t="shared" si="74"/>
        <v>-118.85290000000006</v>
      </c>
      <c r="AP98" s="144">
        <v>-1841.0900000000001</v>
      </c>
      <c r="AQ98" s="145">
        <f>SUM($AP$1:AP98)/1000</f>
        <v>-180.76702</v>
      </c>
      <c r="AR98" s="142">
        <f t="shared" si="75"/>
        <v>-97.431419999999989</v>
      </c>
      <c r="AS98" s="144">
        <v>-5297</v>
      </c>
      <c r="AT98" s="142">
        <f>SUM($AS$1:AS98)/1000</f>
        <v>-546.18847999999969</v>
      </c>
      <c r="AU98" s="142">
        <f t="shared" si="76"/>
        <v>-213.04002999999977</v>
      </c>
      <c r="AV98" s="144">
        <v>12655</v>
      </c>
      <c r="AW98" s="142">
        <f>SUM($AV$1:AV98)/1000</f>
        <v>1054.6769999999999</v>
      </c>
      <c r="AX98" s="142">
        <f t="shared" si="77"/>
        <v>484.16249999999991</v>
      </c>
      <c r="AZ98" s="126">
        <f t="shared" si="65"/>
        <v>-16.828800000000001</v>
      </c>
      <c r="BA98" s="126">
        <f t="shared" si="39"/>
        <v>-484.16249999999991</v>
      </c>
      <c r="BB98" s="126">
        <f t="shared" si="40"/>
        <v>467.33369999999991</v>
      </c>
      <c r="BD98" s="126">
        <f t="shared" si="66"/>
        <v>61.21</v>
      </c>
      <c r="BE98" s="126">
        <f t="shared" si="67"/>
        <v>65.773525000000035</v>
      </c>
      <c r="BF98" s="126">
        <f t="shared" si="41"/>
        <v>4.563525000000034</v>
      </c>
      <c r="BH98" s="126">
        <f t="shared" si="68"/>
        <v>140.35300000000001</v>
      </c>
      <c r="BI98" s="126">
        <f t="shared" si="69"/>
        <v>12.399209400241958</v>
      </c>
      <c r="BJ98" s="126">
        <f t="shared" si="70"/>
        <v>-127.95379059975805</v>
      </c>
      <c r="BL98" s="126">
        <f t="shared" si="42"/>
        <v>-21.740000000000013</v>
      </c>
      <c r="BM98" s="126">
        <f t="shared" si="43"/>
        <v>118.85290000000006</v>
      </c>
      <c r="BN98" s="126">
        <f t="shared" si="44"/>
        <v>140.59290000000007</v>
      </c>
      <c r="BP98" s="126">
        <f t="shared" si="45"/>
        <v>84.72999999999999</v>
      </c>
      <c r="BQ98" s="126">
        <f t="shared" si="46"/>
        <v>97.431419999999989</v>
      </c>
      <c r="BR98" s="126">
        <f t="shared" si="47"/>
        <v>12.701419999999999</v>
      </c>
      <c r="BT98" s="126">
        <f t="shared" si="48"/>
        <v>38.179999999999993</v>
      </c>
      <c r="BU98" s="126">
        <f t="shared" si="49"/>
        <v>213.04002999999977</v>
      </c>
      <c r="BV98" s="126">
        <f t="shared" si="50"/>
        <v>174.86002999999977</v>
      </c>
      <c r="CC98">
        <f t="shared" si="71"/>
        <v>-324.47299999999996</v>
      </c>
    </row>
    <row r="99" spans="1:81" x14ac:dyDescent="0.2">
      <c r="A99">
        <v>-1.1100000000000001</v>
      </c>
      <c r="B99">
        <v>212.8</v>
      </c>
      <c r="C99">
        <v>372.3</v>
      </c>
      <c r="D99" s="126">
        <f t="shared" si="57"/>
        <v>-0.95050000000000012</v>
      </c>
      <c r="E99">
        <v>12688</v>
      </c>
      <c r="F99">
        <v>14094</v>
      </c>
      <c r="G99">
        <v>10951</v>
      </c>
      <c r="H99" s="126">
        <f t="shared" si="58"/>
        <v>9.5449999999999999</v>
      </c>
      <c r="J99">
        <v>-39.97</v>
      </c>
      <c r="K99">
        <v>19.510000000000002</v>
      </c>
      <c r="L99">
        <v>0.17</v>
      </c>
      <c r="M99" s="126">
        <f t="shared" si="59"/>
        <v>-59.31</v>
      </c>
      <c r="N99">
        <v>-153790</v>
      </c>
      <c r="O99">
        <v>12715</v>
      </c>
      <c r="P99">
        <v>27521</v>
      </c>
      <c r="Q99" s="126">
        <f t="shared" si="60"/>
        <v>-138.98400000000001</v>
      </c>
      <c r="R99">
        <v>-1.1100000000000001</v>
      </c>
      <c r="S99">
        <v>139.47999999999999</v>
      </c>
      <c r="T99">
        <v>144.05000000000001</v>
      </c>
      <c r="U99" s="126">
        <f t="shared" si="61"/>
        <v>3.4600000000000213</v>
      </c>
      <c r="V99">
        <v>-84.76</v>
      </c>
      <c r="W99">
        <v>22.06</v>
      </c>
      <c r="X99">
        <v>31.5</v>
      </c>
      <c r="Y99" s="126">
        <f t="shared" si="62"/>
        <v>-75.320000000000007</v>
      </c>
      <c r="Z99">
        <v>-17.990000000000002</v>
      </c>
      <c r="AA99">
        <v>93.59</v>
      </c>
      <c r="AB99">
        <v>76.33</v>
      </c>
      <c r="AC99" s="126">
        <f t="shared" si="63"/>
        <v>-35.250000000000007</v>
      </c>
      <c r="AF99" s="128">
        <v>40617</v>
      </c>
      <c r="AG99" s="144">
        <v>-1218.7049999999999</v>
      </c>
      <c r="AH99" s="142">
        <f>SUM($AG$1:AG99)/1000</f>
        <v>-133.65134100000003</v>
      </c>
      <c r="AI99" s="142">
        <f t="shared" si="72"/>
        <v>-66.992230000000006</v>
      </c>
      <c r="AJ99" s="147">
        <f t="shared" si="64"/>
        <v>-37213.914889090884</v>
      </c>
      <c r="AK99" s="143">
        <v>-37.213914889090887</v>
      </c>
      <c r="AL99" s="142">
        <f t="shared" si="73"/>
        <v>-12.558124289332845</v>
      </c>
      <c r="AM99" s="144">
        <v>-7453.9000000000005</v>
      </c>
      <c r="AN99" s="142">
        <f>SUM($AM$1:AM99)/1000</f>
        <v>-214.50090000000006</v>
      </c>
      <c r="AO99" s="142">
        <f t="shared" si="74"/>
        <v>-126.30680000000007</v>
      </c>
      <c r="AP99" s="144">
        <v>-2540.02</v>
      </c>
      <c r="AQ99" s="145">
        <f>SUM($AP$1:AP99)/1000</f>
        <v>-183.30703999999997</v>
      </c>
      <c r="AR99" s="142">
        <f t="shared" si="75"/>
        <v>-99.971439999999959</v>
      </c>
      <c r="AS99" s="144">
        <v>-5387.86</v>
      </c>
      <c r="AT99" s="142">
        <f>SUM($AS$1:AS99)/1000</f>
        <v>-551.57633999999962</v>
      </c>
      <c r="AU99" s="142">
        <f t="shared" si="76"/>
        <v>-218.42788999999971</v>
      </c>
      <c r="AV99" s="144">
        <v>23019</v>
      </c>
      <c r="AW99" s="142">
        <f>SUM($AV$1:AV99)/1000</f>
        <v>1077.6959999999999</v>
      </c>
      <c r="AX99" s="142">
        <f t="shared" si="77"/>
        <v>507.18149999999991</v>
      </c>
      <c r="AZ99" s="126">
        <f t="shared" si="65"/>
        <v>0.95050000000000012</v>
      </c>
      <c r="BA99" s="126">
        <f t="shared" si="39"/>
        <v>-507.18149999999991</v>
      </c>
      <c r="BB99" s="126">
        <f t="shared" si="40"/>
        <v>508.13199999999989</v>
      </c>
      <c r="BD99" s="126">
        <f t="shared" si="66"/>
        <v>59.31</v>
      </c>
      <c r="BE99" s="126">
        <f t="shared" si="67"/>
        <v>66.992230000000006</v>
      </c>
      <c r="BF99" s="126">
        <f t="shared" si="41"/>
        <v>7.6822300000000041</v>
      </c>
      <c r="BH99" s="126">
        <f t="shared" si="68"/>
        <v>138.98400000000001</v>
      </c>
      <c r="BI99" s="126">
        <f t="shared" si="69"/>
        <v>12.558124289332845</v>
      </c>
      <c r="BJ99" s="126">
        <f t="shared" si="70"/>
        <v>-126.42587571066716</v>
      </c>
      <c r="BL99" s="126">
        <f t="shared" si="42"/>
        <v>-3.4600000000000213</v>
      </c>
      <c r="BM99" s="126">
        <f t="shared" si="43"/>
        <v>126.30680000000007</v>
      </c>
      <c r="BN99" s="126">
        <f t="shared" si="44"/>
        <v>129.76680000000007</v>
      </c>
      <c r="BP99" s="126">
        <f t="shared" si="45"/>
        <v>75.320000000000007</v>
      </c>
      <c r="BQ99" s="126">
        <f t="shared" si="46"/>
        <v>99.971439999999959</v>
      </c>
      <c r="BR99" s="126">
        <f t="shared" si="47"/>
        <v>24.651439999999951</v>
      </c>
      <c r="BT99" s="126">
        <f t="shared" si="48"/>
        <v>35.250000000000007</v>
      </c>
      <c r="BU99" s="126">
        <f t="shared" si="49"/>
        <v>218.42788999999971</v>
      </c>
      <c r="BV99" s="126">
        <f t="shared" si="50"/>
        <v>183.17788999999971</v>
      </c>
      <c r="CC99">
        <f t="shared" si="71"/>
        <v>-308.86400000000003</v>
      </c>
    </row>
    <row r="100" spans="1:81" x14ac:dyDescent="0.2">
      <c r="A100">
        <v>10.36</v>
      </c>
      <c r="B100">
        <v>215.4</v>
      </c>
      <c r="C100">
        <v>375.6</v>
      </c>
      <c r="D100" s="126">
        <f t="shared" si="57"/>
        <v>10.520199999999999</v>
      </c>
      <c r="E100">
        <v>8725</v>
      </c>
      <c r="F100">
        <v>14268</v>
      </c>
      <c r="G100">
        <v>11078</v>
      </c>
      <c r="H100" s="126">
        <f t="shared" si="58"/>
        <v>5.5350000000000001</v>
      </c>
      <c r="J100">
        <v>-48.68</v>
      </c>
      <c r="K100">
        <v>19.740000000000002</v>
      </c>
      <c r="L100">
        <v>0.59</v>
      </c>
      <c r="M100" s="126">
        <f t="shared" si="59"/>
        <v>-67.83</v>
      </c>
      <c r="N100">
        <v>-147011</v>
      </c>
      <c r="O100">
        <v>12866</v>
      </c>
      <c r="P100">
        <v>27843</v>
      </c>
      <c r="Q100" s="126">
        <f t="shared" si="60"/>
        <v>-132.03399999999999</v>
      </c>
      <c r="R100">
        <v>10.36</v>
      </c>
      <c r="S100">
        <v>141.16</v>
      </c>
      <c r="T100">
        <v>145.59</v>
      </c>
      <c r="U100" s="126">
        <f t="shared" si="61"/>
        <v>14.790000000000006</v>
      </c>
      <c r="V100">
        <v>-92.710000000000008</v>
      </c>
      <c r="W100">
        <v>22.32</v>
      </c>
      <c r="X100">
        <v>33.130000000000003</v>
      </c>
      <c r="Y100" s="126">
        <f t="shared" si="62"/>
        <v>-81.900000000000006</v>
      </c>
      <c r="Z100">
        <v>-14.33</v>
      </c>
      <c r="AA100">
        <v>94.710000000000008</v>
      </c>
      <c r="AB100">
        <v>76.290000000000006</v>
      </c>
      <c r="AC100" s="126">
        <f t="shared" si="63"/>
        <v>-32.75</v>
      </c>
      <c r="AF100" s="128">
        <v>40648</v>
      </c>
      <c r="AG100" s="144">
        <v>-1103.8800000000001</v>
      </c>
      <c r="AH100" s="142">
        <f>SUM($AG$1:AG100)/1000</f>
        <v>-134.75522100000006</v>
      </c>
      <c r="AI100" s="142">
        <f t="shared" si="72"/>
        <v>-68.096110000000039</v>
      </c>
      <c r="AJ100" s="147">
        <f t="shared" si="64"/>
        <v>-36987.170537963299</v>
      </c>
      <c r="AK100" s="143">
        <v>-36.987170537963301</v>
      </c>
      <c r="AL100" s="142">
        <f t="shared" si="73"/>
        <v>-12.331379938205259</v>
      </c>
      <c r="AM100" s="144">
        <v>-4701.7</v>
      </c>
      <c r="AN100" s="142">
        <f>SUM($AM$1:AM100)/1000</f>
        <v>-219.20260000000007</v>
      </c>
      <c r="AO100" s="142">
        <f t="shared" si="74"/>
        <v>-131.00850000000008</v>
      </c>
      <c r="AP100" s="144">
        <v>-2185.64</v>
      </c>
      <c r="AQ100" s="145">
        <f>SUM($AP$1:AP100)/1000</f>
        <v>-185.49268000000001</v>
      </c>
      <c r="AR100" s="142">
        <f t="shared" si="75"/>
        <v>-102.15707999999999</v>
      </c>
      <c r="AS100" s="144">
        <v>-2975.35</v>
      </c>
      <c r="AT100" s="142">
        <f>SUM($AS$1:AS100)/1000</f>
        <v>-554.55168999999955</v>
      </c>
      <c r="AU100" s="142">
        <f t="shared" si="76"/>
        <v>-221.40323999999964</v>
      </c>
      <c r="AV100" s="144">
        <v>10343</v>
      </c>
      <c r="AW100" s="142">
        <f>SUM($AV$1:AV100)/1000</f>
        <v>1088.039</v>
      </c>
      <c r="AX100" s="142">
        <f t="shared" si="77"/>
        <v>517.52449999999999</v>
      </c>
      <c r="AZ100" s="126">
        <f t="shared" si="65"/>
        <v>-10.520199999999999</v>
      </c>
      <c r="BA100" s="126">
        <f t="shared" si="39"/>
        <v>-517.52449999999999</v>
      </c>
      <c r="BB100" s="126">
        <f t="shared" si="40"/>
        <v>507.0043</v>
      </c>
      <c r="BD100" s="126">
        <f t="shared" si="66"/>
        <v>67.83</v>
      </c>
      <c r="BE100" s="126">
        <f t="shared" si="67"/>
        <v>68.096110000000039</v>
      </c>
      <c r="BF100" s="126">
        <f t="shared" si="41"/>
        <v>0.26611000000004026</v>
      </c>
      <c r="BH100" s="126">
        <f t="shared" si="68"/>
        <v>132.03399999999999</v>
      </c>
      <c r="BI100" s="126">
        <f t="shared" si="69"/>
        <v>12.331379938205259</v>
      </c>
      <c r="BJ100" s="126">
        <f t="shared" si="70"/>
        <v>-119.70262006179473</v>
      </c>
      <c r="BL100" s="126">
        <f t="shared" si="42"/>
        <v>-14.790000000000006</v>
      </c>
      <c r="BM100" s="126">
        <f t="shared" si="43"/>
        <v>131.00850000000008</v>
      </c>
      <c r="BN100" s="126">
        <f t="shared" si="44"/>
        <v>145.7985000000001</v>
      </c>
      <c r="BP100" s="126">
        <f t="shared" si="45"/>
        <v>81.900000000000006</v>
      </c>
      <c r="BQ100" s="126">
        <f t="shared" si="46"/>
        <v>102.15707999999999</v>
      </c>
      <c r="BR100" s="126">
        <f t="shared" si="47"/>
        <v>20.257079999999988</v>
      </c>
      <c r="BT100" s="126">
        <f t="shared" si="48"/>
        <v>32.75</v>
      </c>
      <c r="BU100" s="126">
        <f t="shared" si="49"/>
        <v>221.40323999999964</v>
      </c>
      <c r="BV100" s="126">
        <f t="shared" si="50"/>
        <v>188.65323999999964</v>
      </c>
      <c r="CC100">
        <f t="shared" si="71"/>
        <v>-314.51400000000001</v>
      </c>
    </row>
    <row r="101" spans="1:81" x14ac:dyDescent="0.2">
      <c r="A101">
        <v>15.07</v>
      </c>
      <c r="B101">
        <v>216.3</v>
      </c>
      <c r="C101">
        <v>377.90000000000003</v>
      </c>
      <c r="D101" s="126">
        <f t="shared" si="57"/>
        <v>15.2316</v>
      </c>
      <c r="E101">
        <v>10901</v>
      </c>
      <c r="F101">
        <v>14328</v>
      </c>
      <c r="G101">
        <v>11190</v>
      </c>
      <c r="H101" s="126">
        <f t="shared" si="58"/>
        <v>7.7629999999999999</v>
      </c>
      <c r="J101">
        <v>-46.02</v>
      </c>
      <c r="K101">
        <v>19.82</v>
      </c>
      <c r="L101">
        <v>0.31</v>
      </c>
      <c r="M101" s="126">
        <f t="shared" si="59"/>
        <v>-65.53</v>
      </c>
      <c r="N101">
        <v>-139938</v>
      </c>
      <c r="O101">
        <v>12919</v>
      </c>
      <c r="P101">
        <v>27817</v>
      </c>
      <c r="Q101" s="126">
        <f t="shared" si="60"/>
        <v>-125.04</v>
      </c>
      <c r="R101">
        <v>15.06</v>
      </c>
      <c r="S101">
        <v>141.76</v>
      </c>
      <c r="T101">
        <v>144.76</v>
      </c>
      <c r="U101" s="126">
        <f t="shared" si="61"/>
        <v>18.060000000000002</v>
      </c>
      <c r="V101">
        <v>-103.38</v>
      </c>
      <c r="W101">
        <v>22.42</v>
      </c>
      <c r="X101">
        <v>35.58</v>
      </c>
      <c r="Y101" s="126">
        <f t="shared" si="62"/>
        <v>-90.22</v>
      </c>
      <c r="Z101">
        <v>-28.18</v>
      </c>
      <c r="AA101">
        <v>95.12</v>
      </c>
      <c r="AB101">
        <v>75.02</v>
      </c>
      <c r="AC101" s="126">
        <f t="shared" si="63"/>
        <v>-48.280000000000008</v>
      </c>
      <c r="AF101" s="128">
        <v>40678</v>
      </c>
      <c r="AG101" s="144">
        <v>-1655.5309999999999</v>
      </c>
      <c r="AH101" s="142">
        <f>SUM($AG$1:AG101)/1000</f>
        <v>-136.41075200000003</v>
      </c>
      <c r="AI101" s="142">
        <f t="shared" si="72"/>
        <v>-69.751641000000006</v>
      </c>
      <c r="AJ101" s="147">
        <f t="shared" si="64"/>
        <v>-36587</v>
      </c>
      <c r="AK101" s="143">
        <v>-36.587000000000003</v>
      </c>
      <c r="AL101" s="142">
        <f t="shared" si="73"/>
        <v>-11.931209400241961</v>
      </c>
      <c r="AM101" s="144">
        <v>-5636.6</v>
      </c>
      <c r="AN101" s="142">
        <f>SUM($AM$1:AM101)/1000</f>
        <v>-224.83920000000006</v>
      </c>
      <c r="AO101" s="142">
        <f t="shared" si="74"/>
        <v>-136.64510000000007</v>
      </c>
      <c r="AP101" s="144">
        <v>-1882.88</v>
      </c>
      <c r="AQ101" s="145">
        <f>SUM($AP$1:AP101)/1000</f>
        <v>-187.37556000000001</v>
      </c>
      <c r="AR101" s="142">
        <f t="shared" si="75"/>
        <v>-104.03995999999999</v>
      </c>
      <c r="AS101" s="144">
        <v>-3418.23</v>
      </c>
      <c r="AT101" s="142">
        <f>SUM($AS$1:AS101)/1000</f>
        <v>-557.96991999999955</v>
      </c>
      <c r="AU101" s="142">
        <f t="shared" si="76"/>
        <v>-224.82146999999964</v>
      </c>
      <c r="AV101" s="144">
        <v>9344</v>
      </c>
      <c r="AW101" s="142">
        <f>SUM($AV$1:AV101)/1000</f>
        <v>1097.383</v>
      </c>
      <c r="AX101" s="142">
        <f t="shared" si="77"/>
        <v>526.86850000000004</v>
      </c>
      <c r="AZ101" s="126">
        <f t="shared" si="65"/>
        <v>-15.2316</v>
      </c>
      <c r="BA101" s="126">
        <f t="shared" si="39"/>
        <v>-526.86850000000004</v>
      </c>
      <c r="BB101" s="126">
        <f t="shared" si="40"/>
        <v>511.63690000000003</v>
      </c>
      <c r="BD101" s="126">
        <f t="shared" si="66"/>
        <v>65.53</v>
      </c>
      <c r="BE101" s="126">
        <f t="shared" si="67"/>
        <v>69.751641000000006</v>
      </c>
      <c r="BF101" s="126">
        <f t="shared" si="41"/>
        <v>4.2216410000000053</v>
      </c>
      <c r="BH101" s="126">
        <f t="shared" si="68"/>
        <v>125.04</v>
      </c>
      <c r="BI101" s="126">
        <f t="shared" si="69"/>
        <v>11.931209400241961</v>
      </c>
      <c r="BJ101" s="126">
        <f t="shared" si="70"/>
        <v>-113.10879059975804</v>
      </c>
      <c r="BL101" s="126">
        <f t="shared" si="42"/>
        <v>-18.060000000000002</v>
      </c>
      <c r="BM101" s="126">
        <f t="shared" si="43"/>
        <v>136.64510000000007</v>
      </c>
      <c r="BN101" s="126">
        <f t="shared" si="44"/>
        <v>154.70510000000007</v>
      </c>
      <c r="BP101" s="126">
        <f t="shared" si="45"/>
        <v>90.22</v>
      </c>
      <c r="BQ101" s="126">
        <f t="shared" si="46"/>
        <v>104.03995999999999</v>
      </c>
      <c r="BR101" s="126">
        <f t="shared" si="47"/>
        <v>13.819959999999995</v>
      </c>
      <c r="BT101" s="126">
        <f t="shared" si="48"/>
        <v>48.280000000000008</v>
      </c>
      <c r="BU101" s="126">
        <f t="shared" si="49"/>
        <v>224.82146999999964</v>
      </c>
      <c r="BV101" s="126">
        <f t="shared" si="50"/>
        <v>176.54146999999963</v>
      </c>
      <c r="CC101">
        <f t="shared" si="71"/>
        <v>-329.07</v>
      </c>
    </row>
    <row r="102" spans="1:81" x14ac:dyDescent="0.2">
      <c r="A102">
        <v>9.7200000000000006</v>
      </c>
      <c r="B102">
        <v>218.60000000000002</v>
      </c>
      <c r="C102">
        <v>381.70000000000005</v>
      </c>
      <c r="D102" s="126">
        <f t="shared" si="57"/>
        <v>9.8831000000000007</v>
      </c>
      <c r="E102">
        <v>18444</v>
      </c>
      <c r="F102">
        <v>14482</v>
      </c>
      <c r="G102">
        <v>11327</v>
      </c>
      <c r="H102" s="126">
        <f t="shared" si="58"/>
        <v>15.289</v>
      </c>
      <c r="J102">
        <v>-36.450000000000003</v>
      </c>
      <c r="K102">
        <v>20.03</v>
      </c>
      <c r="L102">
        <v>0.23</v>
      </c>
      <c r="M102" s="126">
        <f t="shared" si="59"/>
        <v>-56.25</v>
      </c>
      <c r="N102">
        <v>-142870</v>
      </c>
      <c r="O102">
        <v>13053</v>
      </c>
      <c r="P102">
        <v>27914</v>
      </c>
      <c r="Q102" s="126">
        <f t="shared" si="60"/>
        <v>-128.00899999999999</v>
      </c>
      <c r="R102">
        <v>9.7200000000000006</v>
      </c>
      <c r="S102">
        <v>143.24</v>
      </c>
      <c r="T102">
        <v>144.97999999999999</v>
      </c>
      <c r="U102" s="126">
        <f t="shared" si="61"/>
        <v>11.459999999999981</v>
      </c>
      <c r="V102">
        <v>-110.42</v>
      </c>
      <c r="W102">
        <v>22.650000000000002</v>
      </c>
      <c r="X102">
        <v>37.4</v>
      </c>
      <c r="Y102" s="126">
        <f t="shared" si="62"/>
        <v>-95.67</v>
      </c>
      <c r="Z102">
        <v>-20.21</v>
      </c>
      <c r="AA102">
        <v>96.12</v>
      </c>
      <c r="AB102">
        <v>75.75</v>
      </c>
      <c r="AC102" s="126">
        <f t="shared" si="63"/>
        <v>-40.580000000000005</v>
      </c>
      <c r="AF102" s="128">
        <v>40709</v>
      </c>
      <c r="AG102" s="144">
        <v>-2201.5810000000001</v>
      </c>
      <c r="AH102" s="142">
        <f>SUM($AG$1:AG102)/1000</f>
        <v>-138.61233300000004</v>
      </c>
      <c r="AI102" s="142">
        <f t="shared" si="72"/>
        <v>-71.953222000000011</v>
      </c>
      <c r="AJ102" s="147">
        <f t="shared" si="64"/>
        <v>-36174.811817512527</v>
      </c>
      <c r="AK102" s="143">
        <v>-36.174811817512527</v>
      </c>
      <c r="AL102" s="142">
        <f t="shared" si="73"/>
        <v>-11.519021217754485</v>
      </c>
      <c r="AM102" s="144">
        <v>-2545.3000000000002</v>
      </c>
      <c r="AN102" s="142">
        <f>SUM($AM$1:AM102)/1000</f>
        <v>-227.38450000000006</v>
      </c>
      <c r="AO102" s="142">
        <f t="shared" si="74"/>
        <v>-139.19040000000007</v>
      </c>
      <c r="AP102" s="144">
        <v>-1558.5</v>
      </c>
      <c r="AQ102" s="145">
        <f>SUM($AP$1:AP102)/1000</f>
        <v>-188.93405999999999</v>
      </c>
      <c r="AR102" s="142">
        <f t="shared" si="75"/>
        <v>-105.59845999999997</v>
      </c>
      <c r="AS102" s="144">
        <v>-1322.48</v>
      </c>
      <c r="AT102" s="142">
        <f>SUM($AS$1:AS102)/1000</f>
        <v>-559.29239999999959</v>
      </c>
      <c r="AU102" s="142">
        <f t="shared" si="76"/>
        <v>-226.14394999999968</v>
      </c>
      <c r="AV102" s="144">
        <v>12621</v>
      </c>
      <c r="AW102" s="142">
        <f>SUM($AV$1:AV102)/1000</f>
        <v>1110.0039999999999</v>
      </c>
      <c r="AX102" s="142">
        <f t="shared" si="77"/>
        <v>539.48949999999991</v>
      </c>
      <c r="AZ102" s="126">
        <f t="shared" si="65"/>
        <v>-9.8831000000000007</v>
      </c>
      <c r="BA102" s="126">
        <f t="shared" si="39"/>
        <v>-539.48949999999991</v>
      </c>
      <c r="BB102" s="126">
        <f t="shared" si="40"/>
        <v>529.60639999999989</v>
      </c>
      <c r="BD102" s="126">
        <f t="shared" si="66"/>
        <v>56.25</v>
      </c>
      <c r="BE102" s="126">
        <f t="shared" si="67"/>
        <v>71.953222000000011</v>
      </c>
      <c r="BF102" s="126">
        <f t="shared" si="41"/>
        <v>15.703222000000011</v>
      </c>
      <c r="BH102" s="126">
        <f t="shared" si="68"/>
        <v>128.00899999999999</v>
      </c>
      <c r="BI102" s="126">
        <f t="shared" si="69"/>
        <v>11.519021217754485</v>
      </c>
      <c r="BJ102" s="126">
        <f t="shared" si="70"/>
        <v>-116.4899787822455</v>
      </c>
      <c r="BL102" s="126">
        <f t="shared" si="42"/>
        <v>-11.459999999999981</v>
      </c>
      <c r="BM102" s="126">
        <f t="shared" si="43"/>
        <v>139.19040000000007</v>
      </c>
      <c r="BN102" s="126">
        <f t="shared" si="44"/>
        <v>150.65040000000005</v>
      </c>
      <c r="BP102" s="126">
        <f t="shared" si="45"/>
        <v>95.67</v>
      </c>
      <c r="BQ102" s="126">
        <f t="shared" si="46"/>
        <v>105.59845999999997</v>
      </c>
      <c r="BR102" s="126">
        <f t="shared" si="47"/>
        <v>9.9284599999999728</v>
      </c>
      <c r="BT102" s="126">
        <f t="shared" si="48"/>
        <v>40.580000000000005</v>
      </c>
      <c r="BU102" s="126">
        <f t="shared" si="49"/>
        <v>226.14394999999968</v>
      </c>
      <c r="BV102" s="126">
        <f t="shared" si="50"/>
        <v>185.56394999999966</v>
      </c>
      <c r="CC102">
        <f t="shared" si="71"/>
        <v>-320.50900000000001</v>
      </c>
    </row>
    <row r="103" spans="1:81" x14ac:dyDescent="0.2">
      <c r="A103">
        <v>-14.18</v>
      </c>
      <c r="B103">
        <v>220.8</v>
      </c>
      <c r="C103">
        <v>385.70000000000005</v>
      </c>
      <c r="D103" s="126">
        <f t="shared" si="57"/>
        <v>-14.0151</v>
      </c>
      <c r="E103">
        <v>9978</v>
      </c>
      <c r="F103">
        <v>14630</v>
      </c>
      <c r="G103">
        <v>11379</v>
      </c>
      <c r="H103" s="126">
        <f t="shared" si="58"/>
        <v>6.7270000000000003</v>
      </c>
      <c r="J103">
        <v>-41.13</v>
      </c>
      <c r="K103">
        <v>20.240000000000002</v>
      </c>
      <c r="L103">
        <v>0.43</v>
      </c>
      <c r="M103" s="126">
        <f t="shared" si="59"/>
        <v>-60.940000000000005</v>
      </c>
      <c r="N103">
        <v>-140866</v>
      </c>
      <c r="O103">
        <v>13181</v>
      </c>
      <c r="P103">
        <v>28101</v>
      </c>
      <c r="Q103" s="126">
        <f t="shared" si="60"/>
        <v>-125.946</v>
      </c>
      <c r="R103">
        <v>-14.18</v>
      </c>
      <c r="S103">
        <v>144.68</v>
      </c>
      <c r="T103">
        <v>147.21</v>
      </c>
      <c r="U103" s="126">
        <f t="shared" si="61"/>
        <v>-11.649999999999999</v>
      </c>
      <c r="V103">
        <v>-104.39</v>
      </c>
      <c r="W103">
        <v>22.88</v>
      </c>
      <c r="X103">
        <v>37.19</v>
      </c>
      <c r="Y103" s="126">
        <f t="shared" si="62"/>
        <v>-90.08</v>
      </c>
      <c r="Z103">
        <v>-30.26</v>
      </c>
      <c r="AA103">
        <v>97.100000000000009</v>
      </c>
      <c r="AB103">
        <v>75.47</v>
      </c>
      <c r="AC103" s="126">
        <f t="shared" si="63"/>
        <v>-51.890000000000015</v>
      </c>
      <c r="AF103" s="128">
        <v>40739</v>
      </c>
      <c r="AG103" s="144">
        <v>-574.90600000000006</v>
      </c>
      <c r="AH103" s="142">
        <f>SUM($AG$1:AG103)/1000</f>
        <v>-139.18723900000003</v>
      </c>
      <c r="AI103" s="142">
        <f t="shared" si="72"/>
        <v>-72.528128000000009</v>
      </c>
      <c r="AJ103" s="147">
        <f t="shared" si="64"/>
        <v>-35708.716488527425</v>
      </c>
      <c r="AK103" s="143">
        <v>-35.708716488527422</v>
      </c>
      <c r="AL103" s="142">
        <f t="shared" si="73"/>
        <v>-11.05292588876938</v>
      </c>
      <c r="AM103" s="144">
        <v>264.90000000000003</v>
      </c>
      <c r="AN103" s="142">
        <f>SUM($AM$1:AM103)/1000</f>
        <v>-227.11960000000008</v>
      </c>
      <c r="AO103" s="142">
        <f t="shared" si="74"/>
        <v>-138.92550000000008</v>
      </c>
      <c r="AP103" s="144">
        <v>-840.2</v>
      </c>
      <c r="AQ103" s="145">
        <f>SUM($AP$1:AP103)/1000</f>
        <v>-189.77426</v>
      </c>
      <c r="AR103" s="142">
        <f t="shared" si="75"/>
        <v>-106.43865999999998</v>
      </c>
      <c r="AS103" s="144">
        <v>-879.71</v>
      </c>
      <c r="AT103" s="142">
        <f>SUM($AS$1:AS103)/1000</f>
        <v>-560.17210999999952</v>
      </c>
      <c r="AU103" s="142">
        <f t="shared" si="76"/>
        <v>-227.02365999999961</v>
      </c>
      <c r="AV103" s="144">
        <v>9447</v>
      </c>
      <c r="AW103" s="142">
        <f>SUM($AV$1:AV103)/1000</f>
        <v>1119.451</v>
      </c>
      <c r="AX103" s="142">
        <f t="shared" si="77"/>
        <v>548.93650000000002</v>
      </c>
      <c r="AZ103" s="126">
        <f t="shared" si="65"/>
        <v>14.0151</v>
      </c>
      <c r="BA103" s="126">
        <f t="shared" si="39"/>
        <v>-548.93650000000002</v>
      </c>
      <c r="BB103" s="126">
        <f t="shared" si="40"/>
        <v>562.95159999999998</v>
      </c>
      <c r="BD103" s="126">
        <f t="shared" si="66"/>
        <v>60.940000000000005</v>
      </c>
      <c r="BE103" s="126">
        <f t="shared" si="67"/>
        <v>72.528128000000009</v>
      </c>
      <c r="BF103" s="126">
        <f t="shared" si="41"/>
        <v>11.588128000000005</v>
      </c>
      <c r="BH103" s="126">
        <f t="shared" si="68"/>
        <v>125.946</v>
      </c>
      <c r="BI103" s="126">
        <f t="shared" si="69"/>
        <v>11.05292588876938</v>
      </c>
      <c r="BJ103" s="126">
        <f t="shared" si="70"/>
        <v>-114.89307411123062</v>
      </c>
      <c r="BL103" s="126">
        <f t="shared" si="42"/>
        <v>11.649999999999999</v>
      </c>
      <c r="BM103" s="126">
        <f t="shared" si="43"/>
        <v>138.92550000000008</v>
      </c>
      <c r="BN103" s="126">
        <f t="shared" si="44"/>
        <v>127.27550000000008</v>
      </c>
      <c r="BP103" s="126">
        <f t="shared" si="45"/>
        <v>90.08</v>
      </c>
      <c r="BQ103" s="126">
        <f t="shared" si="46"/>
        <v>106.43865999999998</v>
      </c>
      <c r="BR103" s="126">
        <f t="shared" si="47"/>
        <v>16.358659999999986</v>
      </c>
      <c r="BT103" s="126">
        <f t="shared" si="48"/>
        <v>51.890000000000015</v>
      </c>
      <c r="BU103" s="126">
        <f t="shared" si="49"/>
        <v>227.02365999999961</v>
      </c>
      <c r="BV103" s="126">
        <f t="shared" si="50"/>
        <v>175.13365999999959</v>
      </c>
      <c r="CC103">
        <f t="shared" si="71"/>
        <v>-328.85599999999999</v>
      </c>
    </row>
    <row r="104" spans="1:81" x14ac:dyDescent="0.2">
      <c r="A104">
        <v>-54.800000000000004</v>
      </c>
      <c r="B104">
        <v>219.3</v>
      </c>
      <c r="C104">
        <v>386.8</v>
      </c>
      <c r="D104" s="126">
        <f t="shared" si="57"/>
        <v>-54.632500000000007</v>
      </c>
      <c r="E104">
        <v>22297</v>
      </c>
      <c r="F104">
        <v>14531</v>
      </c>
      <c r="G104">
        <v>11316</v>
      </c>
      <c r="H104" s="126">
        <f t="shared" si="58"/>
        <v>19.082000000000001</v>
      </c>
      <c r="J104">
        <v>-41.230000000000004</v>
      </c>
      <c r="K104">
        <v>20.11</v>
      </c>
      <c r="L104">
        <v>-0.19</v>
      </c>
      <c r="M104" s="126">
        <f t="shared" si="59"/>
        <v>-61.53</v>
      </c>
      <c r="N104">
        <v>-133587</v>
      </c>
      <c r="O104">
        <v>13095</v>
      </c>
      <c r="P104">
        <v>28118</v>
      </c>
      <c r="Q104" s="126">
        <f t="shared" si="60"/>
        <v>-118.56399999999999</v>
      </c>
      <c r="R104">
        <v>-54.800000000000004</v>
      </c>
      <c r="S104">
        <v>143.72999999999999</v>
      </c>
      <c r="T104">
        <v>145.99</v>
      </c>
      <c r="U104" s="126">
        <f t="shared" si="61"/>
        <v>-52.539999999999985</v>
      </c>
      <c r="V104">
        <v>-108.84</v>
      </c>
      <c r="W104">
        <v>22.72</v>
      </c>
      <c r="X104">
        <v>35.25</v>
      </c>
      <c r="Y104" s="126">
        <f t="shared" si="62"/>
        <v>-96.31</v>
      </c>
      <c r="Z104">
        <v>-50.31</v>
      </c>
      <c r="AA104">
        <v>96.47</v>
      </c>
      <c r="AB104">
        <v>73.34</v>
      </c>
      <c r="AC104" s="126">
        <f t="shared" si="63"/>
        <v>-73.44</v>
      </c>
      <c r="AF104" s="128">
        <v>40770</v>
      </c>
      <c r="AG104" s="144">
        <v>-32.523000000000003</v>
      </c>
      <c r="AH104" s="142">
        <f>SUM($AG$1:AG104)/1000</f>
        <v>-139.219762</v>
      </c>
      <c r="AI104" s="142">
        <f t="shared" si="72"/>
        <v>-72.560650999999979</v>
      </c>
      <c r="AJ104" s="147">
        <f t="shared" si="64"/>
        <v>-35096</v>
      </c>
      <c r="AK104" s="143">
        <v>-35.095999999999997</v>
      </c>
      <c r="AL104" s="142">
        <f t="shared" si="73"/>
        <v>-10.440209400241955</v>
      </c>
      <c r="AM104" s="144">
        <v>-5306.8</v>
      </c>
      <c r="AN104" s="142">
        <f>SUM($AM$1:AM104)/1000</f>
        <v>-232.42640000000006</v>
      </c>
      <c r="AO104" s="142">
        <f t="shared" si="74"/>
        <v>-144.23230000000007</v>
      </c>
      <c r="AP104" s="144">
        <v>-102.8</v>
      </c>
      <c r="AQ104" s="145">
        <f>SUM($AP$1:AP104)/1000</f>
        <v>-189.87706</v>
      </c>
      <c r="AR104" s="142">
        <f t="shared" si="75"/>
        <v>-106.54145999999999</v>
      </c>
      <c r="AS104" s="144">
        <v>-1118.78</v>
      </c>
      <c r="AT104" s="142">
        <f>SUM($AS$1:AS104)/1000</f>
        <v>-561.29088999999954</v>
      </c>
      <c r="AU104" s="142">
        <f t="shared" si="76"/>
        <v>-228.14243999999962</v>
      </c>
      <c r="AV104" s="144">
        <v>8404</v>
      </c>
      <c r="AW104" s="142">
        <f>SUM($AV$1:AV104)/1000</f>
        <v>1127.855</v>
      </c>
      <c r="AX104" s="142">
        <f t="shared" si="77"/>
        <v>557.34050000000002</v>
      </c>
      <c r="AZ104" s="126">
        <f t="shared" si="65"/>
        <v>54.632500000000007</v>
      </c>
      <c r="BA104" s="126">
        <f t="shared" si="39"/>
        <v>-557.34050000000002</v>
      </c>
      <c r="BB104" s="126">
        <f t="shared" si="40"/>
        <v>611.97300000000007</v>
      </c>
      <c r="BD104" s="126">
        <f t="shared" si="66"/>
        <v>61.53</v>
      </c>
      <c r="BE104" s="126">
        <f t="shared" si="67"/>
        <v>72.560650999999979</v>
      </c>
      <c r="BF104" s="126">
        <f t="shared" si="41"/>
        <v>11.030650999999978</v>
      </c>
      <c r="BH104" s="126">
        <f t="shared" si="68"/>
        <v>118.56399999999999</v>
      </c>
      <c r="BI104" s="126">
        <f t="shared" si="69"/>
        <v>10.440209400241955</v>
      </c>
      <c r="BJ104" s="126">
        <f t="shared" si="70"/>
        <v>-108.12379059975804</v>
      </c>
      <c r="BL104" s="126">
        <f t="shared" si="42"/>
        <v>52.539999999999985</v>
      </c>
      <c r="BM104" s="126">
        <f t="shared" si="43"/>
        <v>144.23230000000007</v>
      </c>
      <c r="BN104" s="126">
        <f t="shared" si="44"/>
        <v>91.692300000000074</v>
      </c>
      <c r="BP104" s="126">
        <f t="shared" si="45"/>
        <v>96.31</v>
      </c>
      <c r="BQ104" s="126">
        <f t="shared" si="46"/>
        <v>106.54145999999999</v>
      </c>
      <c r="BR104" s="126">
        <f t="shared" si="47"/>
        <v>10.231459999999984</v>
      </c>
      <c r="BT104" s="126">
        <f t="shared" si="48"/>
        <v>73.44</v>
      </c>
      <c r="BU104" s="126">
        <f t="shared" si="49"/>
        <v>228.14243999999962</v>
      </c>
      <c r="BV104" s="126">
        <f t="shared" si="50"/>
        <v>154.70243999999963</v>
      </c>
      <c r="CC104">
        <f t="shared" si="71"/>
        <v>-349.84399999999999</v>
      </c>
    </row>
    <row r="105" spans="1:81" x14ac:dyDescent="0.2">
      <c r="A105">
        <v>-99.51</v>
      </c>
      <c r="B105">
        <v>221.20000000000002</v>
      </c>
      <c r="C105">
        <v>391.90000000000003</v>
      </c>
      <c r="D105" s="126">
        <f t="shared" si="57"/>
        <v>-99.339300000000009</v>
      </c>
      <c r="E105">
        <v>47399</v>
      </c>
      <c r="F105">
        <v>14656</v>
      </c>
      <c r="G105">
        <v>11399</v>
      </c>
      <c r="H105" s="126">
        <f t="shared" si="58"/>
        <v>44.142000000000003</v>
      </c>
      <c r="J105">
        <v>-35.270000000000003</v>
      </c>
      <c r="K105">
        <v>20.28</v>
      </c>
      <c r="L105">
        <v>-0.67</v>
      </c>
      <c r="M105" s="126">
        <f t="shared" si="59"/>
        <v>-56.220000000000006</v>
      </c>
      <c r="N105">
        <v>-137600</v>
      </c>
      <c r="O105">
        <v>13206</v>
      </c>
      <c r="P105">
        <v>28125</v>
      </c>
      <c r="Q105" s="126">
        <f t="shared" si="60"/>
        <v>-122.681</v>
      </c>
      <c r="R105">
        <v>-99.51</v>
      </c>
      <c r="S105">
        <v>144.97</v>
      </c>
      <c r="T105">
        <v>146.57</v>
      </c>
      <c r="U105" s="126">
        <f t="shared" si="61"/>
        <v>-97.910000000000011</v>
      </c>
      <c r="V105">
        <v>-114.4</v>
      </c>
      <c r="W105">
        <v>22.92</v>
      </c>
      <c r="X105">
        <v>37.700000000000003</v>
      </c>
      <c r="Y105" s="126">
        <f t="shared" si="62"/>
        <v>-99.62</v>
      </c>
      <c r="Z105">
        <v>-59.03</v>
      </c>
      <c r="AA105">
        <v>97.3</v>
      </c>
      <c r="AB105">
        <v>72.489999999999995</v>
      </c>
      <c r="AC105" s="126">
        <f t="shared" si="63"/>
        <v>-83.84</v>
      </c>
      <c r="AF105" s="128">
        <v>40801</v>
      </c>
      <c r="AG105" s="144">
        <v>-885.03899999999999</v>
      </c>
      <c r="AH105" s="142">
        <f>SUM($AG$1:AG105)/1000</f>
        <v>-140.10480100000001</v>
      </c>
      <c r="AI105" s="142">
        <f t="shared" si="72"/>
        <v>-73.445689999999985</v>
      </c>
      <c r="AJ105" s="147">
        <f t="shared" si="64"/>
        <v>-34314.356359377525</v>
      </c>
      <c r="AK105" s="143">
        <v>-34.314356359377527</v>
      </c>
      <c r="AL105" s="142">
        <f t="shared" si="73"/>
        <v>-9.6585657596194849</v>
      </c>
      <c r="AM105" s="144">
        <v>-4260.4000000000005</v>
      </c>
      <c r="AN105" s="142">
        <f>SUM($AM$1:AM105)/1000</f>
        <v>-236.68680000000003</v>
      </c>
      <c r="AO105" s="142">
        <f t="shared" si="74"/>
        <v>-148.49270000000004</v>
      </c>
      <c r="AP105" s="144">
        <v>-1069.0999999999999</v>
      </c>
      <c r="AQ105" s="145">
        <f>SUM($AP$1:AP105)/1000</f>
        <v>-190.94615999999999</v>
      </c>
      <c r="AR105" s="142">
        <f t="shared" si="75"/>
        <v>-107.61055999999998</v>
      </c>
      <c r="AS105" s="144">
        <v>-3726.02</v>
      </c>
      <c r="AT105" s="142">
        <f>SUM($AS$1:AS105)/1000</f>
        <v>-565.0169099999996</v>
      </c>
      <c r="AU105" s="142">
        <f t="shared" si="76"/>
        <v>-231.86845999999969</v>
      </c>
      <c r="AV105" s="144">
        <v>17872</v>
      </c>
      <c r="AW105" s="142">
        <f>SUM($AV$1:AV105)/1000</f>
        <v>1145.7270000000001</v>
      </c>
      <c r="AX105" s="142">
        <f t="shared" si="77"/>
        <v>575.21250000000009</v>
      </c>
      <c r="AZ105" s="126">
        <f t="shared" si="65"/>
        <v>99.339300000000009</v>
      </c>
      <c r="BA105" s="126">
        <f t="shared" si="39"/>
        <v>-575.21250000000009</v>
      </c>
      <c r="BB105" s="126">
        <f t="shared" si="40"/>
        <v>674.55180000000007</v>
      </c>
      <c r="BD105" s="126">
        <f t="shared" si="66"/>
        <v>56.220000000000006</v>
      </c>
      <c r="BE105" s="126">
        <f t="shared" si="67"/>
        <v>73.445689999999985</v>
      </c>
      <c r="BF105" s="126">
        <f t="shared" si="41"/>
        <v>17.225689999999979</v>
      </c>
      <c r="BH105" s="126">
        <f t="shared" si="68"/>
        <v>122.681</v>
      </c>
      <c r="BI105" s="126">
        <f t="shared" si="69"/>
        <v>9.6585657596194849</v>
      </c>
      <c r="BJ105" s="126">
        <f t="shared" si="70"/>
        <v>-113.02243424038051</v>
      </c>
      <c r="BL105" s="126">
        <f t="shared" si="42"/>
        <v>97.910000000000011</v>
      </c>
      <c r="BM105" s="126">
        <f t="shared" si="43"/>
        <v>148.49270000000004</v>
      </c>
      <c r="BN105" s="126">
        <f t="shared" si="44"/>
        <v>50.582700000000031</v>
      </c>
      <c r="BP105" s="126">
        <f t="shared" si="45"/>
        <v>99.62</v>
      </c>
      <c r="BQ105" s="126">
        <f t="shared" si="46"/>
        <v>107.61055999999998</v>
      </c>
      <c r="BR105" s="126">
        <f t="shared" si="47"/>
        <v>7.9905599999999737</v>
      </c>
      <c r="BT105" s="126">
        <f t="shared" si="48"/>
        <v>83.84</v>
      </c>
      <c r="BU105" s="126">
        <f t="shared" si="49"/>
        <v>231.86845999999969</v>
      </c>
      <c r="BV105" s="126">
        <f t="shared" si="50"/>
        <v>148.02845999999968</v>
      </c>
      <c r="CC105">
        <f t="shared" si="71"/>
        <v>-362.36099999999999</v>
      </c>
    </row>
    <row r="106" spans="1:81" x14ac:dyDescent="0.2">
      <c r="A106">
        <v>-82.78</v>
      </c>
      <c r="B106">
        <v>223</v>
      </c>
      <c r="C106">
        <v>393.8</v>
      </c>
      <c r="D106" s="126">
        <f t="shared" si="57"/>
        <v>-82.609200000000001</v>
      </c>
      <c r="E106">
        <v>29799</v>
      </c>
      <c r="F106">
        <v>14782</v>
      </c>
      <c r="G106">
        <v>11465</v>
      </c>
      <c r="H106" s="126">
        <f t="shared" si="58"/>
        <v>26.481999999999999</v>
      </c>
      <c r="J106">
        <v>-36.35</v>
      </c>
      <c r="K106">
        <v>20.45</v>
      </c>
      <c r="L106">
        <v>-0.93</v>
      </c>
      <c r="M106" s="126">
        <f t="shared" si="59"/>
        <v>-57.730000000000004</v>
      </c>
      <c r="N106">
        <v>-131474</v>
      </c>
      <c r="O106">
        <v>13310</v>
      </c>
      <c r="P106">
        <v>28352</v>
      </c>
      <c r="Q106" s="126">
        <f t="shared" si="60"/>
        <v>-116.432</v>
      </c>
      <c r="R106">
        <v>-82.78</v>
      </c>
      <c r="S106">
        <v>146.14000000000001</v>
      </c>
      <c r="T106">
        <v>146.83000000000001</v>
      </c>
      <c r="U106" s="126">
        <f t="shared" si="61"/>
        <v>-82.09</v>
      </c>
      <c r="V106">
        <v>-122.56</v>
      </c>
      <c r="W106">
        <v>23.1</v>
      </c>
      <c r="X106">
        <v>41.11</v>
      </c>
      <c r="Y106" s="126">
        <f t="shared" si="62"/>
        <v>-104.55000000000001</v>
      </c>
      <c r="Z106">
        <v>-77.67</v>
      </c>
      <c r="AA106">
        <v>98.070000000000007</v>
      </c>
      <c r="AB106">
        <v>72.040000000000006</v>
      </c>
      <c r="AC106" s="126">
        <f t="shared" si="63"/>
        <v>-103.7</v>
      </c>
      <c r="AF106" s="128">
        <v>40831</v>
      </c>
      <c r="AG106" s="144">
        <v>-437.81900000000002</v>
      </c>
      <c r="AH106" s="142">
        <f>SUM($AG$1:AG106)/1000</f>
        <v>-140.54262</v>
      </c>
      <c r="AI106" s="142">
        <f t="shared" si="72"/>
        <v>-73.883508999999975</v>
      </c>
      <c r="AJ106" s="147">
        <f t="shared" si="64"/>
        <v>-33623.111656075162</v>
      </c>
      <c r="AK106" s="143">
        <v>-33.62311165607516</v>
      </c>
      <c r="AL106" s="142">
        <f t="shared" si="73"/>
        <v>-8.9673210563171182</v>
      </c>
      <c r="AM106" s="144">
        <v>-1545.2</v>
      </c>
      <c r="AN106" s="142">
        <f>SUM($AM$1:AM106)/1000</f>
        <v>-238.23200000000006</v>
      </c>
      <c r="AO106" s="142">
        <f t="shared" si="74"/>
        <v>-150.03790000000006</v>
      </c>
      <c r="AP106" s="144">
        <v>-1468.6000000000001</v>
      </c>
      <c r="AQ106" s="145">
        <f>SUM($AP$1:AP106)/1000</f>
        <v>-192.41476</v>
      </c>
      <c r="AR106" s="142">
        <f t="shared" si="75"/>
        <v>-109.07915999999999</v>
      </c>
      <c r="AS106" s="144">
        <v>-1363.27</v>
      </c>
      <c r="AT106" s="142">
        <f>SUM($AS$1:AS106)/1000</f>
        <v>-566.38017999999954</v>
      </c>
      <c r="AU106" s="142">
        <f t="shared" si="76"/>
        <v>-233.23172999999963</v>
      </c>
      <c r="AV106" s="144">
        <v>10828</v>
      </c>
      <c r="AW106" s="142">
        <f>SUM($AV$1:AV106)/1000</f>
        <v>1156.5550000000001</v>
      </c>
      <c r="AX106" s="142">
        <f t="shared" si="77"/>
        <v>586.04050000000007</v>
      </c>
      <c r="AZ106" s="126">
        <f t="shared" si="65"/>
        <v>82.609200000000001</v>
      </c>
      <c r="BA106" s="126">
        <f t="shared" si="39"/>
        <v>-586.04050000000007</v>
      </c>
      <c r="BB106" s="126">
        <f t="shared" si="40"/>
        <v>668.64970000000005</v>
      </c>
      <c r="BD106" s="126">
        <f t="shared" si="66"/>
        <v>57.730000000000004</v>
      </c>
      <c r="BE106" s="126">
        <f t="shared" si="67"/>
        <v>73.883508999999975</v>
      </c>
      <c r="BF106" s="126">
        <f t="shared" si="41"/>
        <v>16.153508999999971</v>
      </c>
      <c r="BH106" s="126">
        <f t="shared" si="68"/>
        <v>116.432</v>
      </c>
      <c r="BI106" s="126">
        <f t="shared" si="69"/>
        <v>8.9673210563171182</v>
      </c>
      <c r="BJ106" s="126">
        <f t="shared" si="70"/>
        <v>-107.46467894368288</v>
      </c>
      <c r="BL106" s="126">
        <f t="shared" si="42"/>
        <v>82.09</v>
      </c>
      <c r="BM106" s="126">
        <f t="shared" si="43"/>
        <v>150.03790000000006</v>
      </c>
      <c r="BN106" s="126">
        <f t="shared" si="44"/>
        <v>67.947900000000061</v>
      </c>
      <c r="BP106" s="126">
        <f t="shared" si="45"/>
        <v>104.55000000000001</v>
      </c>
      <c r="BQ106" s="126">
        <f t="shared" si="46"/>
        <v>109.07915999999999</v>
      </c>
      <c r="BR106" s="126">
        <f t="shared" si="47"/>
        <v>4.5291599999999761</v>
      </c>
      <c r="BT106" s="126">
        <f t="shared" si="48"/>
        <v>103.7</v>
      </c>
      <c r="BU106" s="126">
        <f t="shared" si="49"/>
        <v>233.23172999999963</v>
      </c>
      <c r="BV106" s="126">
        <f t="shared" si="50"/>
        <v>129.53172999999964</v>
      </c>
      <c r="CC106">
        <f t="shared" si="71"/>
        <v>-382.41200000000003</v>
      </c>
    </row>
    <row r="107" spans="1:81" x14ac:dyDescent="0.2">
      <c r="A107">
        <v>-144.42000000000002</v>
      </c>
      <c r="B107">
        <v>223.9</v>
      </c>
      <c r="C107">
        <v>394.8</v>
      </c>
      <c r="D107" s="126">
        <f t="shared" si="57"/>
        <v>-144.24910000000003</v>
      </c>
      <c r="E107">
        <v>45855</v>
      </c>
      <c r="F107">
        <v>14835</v>
      </c>
      <c r="G107">
        <v>11571</v>
      </c>
      <c r="H107" s="126">
        <f t="shared" si="58"/>
        <v>42.591000000000001</v>
      </c>
      <c r="J107">
        <v>-39.090000000000003</v>
      </c>
      <c r="K107">
        <v>20.52</v>
      </c>
      <c r="L107">
        <v>-1.07</v>
      </c>
      <c r="M107" s="126">
        <f t="shared" si="59"/>
        <v>-60.680000000000007</v>
      </c>
      <c r="N107">
        <v>-134726</v>
      </c>
      <c r="O107">
        <v>13362</v>
      </c>
      <c r="P107">
        <v>28406</v>
      </c>
      <c r="Q107" s="126">
        <f t="shared" si="60"/>
        <v>-119.682</v>
      </c>
      <c r="R107">
        <v>-144.42000000000002</v>
      </c>
      <c r="S107">
        <v>146.72</v>
      </c>
      <c r="T107">
        <v>148.77000000000001</v>
      </c>
      <c r="U107" s="126">
        <f t="shared" si="61"/>
        <v>-142.37</v>
      </c>
      <c r="V107">
        <v>-127.12</v>
      </c>
      <c r="W107">
        <v>23.19</v>
      </c>
      <c r="X107">
        <v>42.12</v>
      </c>
      <c r="Y107" s="126">
        <f t="shared" si="62"/>
        <v>-108.19000000000001</v>
      </c>
      <c r="Z107">
        <v>-105.92</v>
      </c>
      <c r="AA107">
        <v>98.44</v>
      </c>
      <c r="AB107">
        <v>71.960000000000008</v>
      </c>
      <c r="AC107" s="126">
        <f t="shared" si="63"/>
        <v>-132.39999999999998</v>
      </c>
      <c r="AF107" s="128">
        <v>40862</v>
      </c>
      <c r="AG107" s="144">
        <v>-841.59199999999998</v>
      </c>
      <c r="AH107" s="142">
        <f>SUM($AG$1:AG107)/1000</f>
        <v>-141.38421199999999</v>
      </c>
      <c r="AI107" s="142">
        <f t="shared" si="72"/>
        <v>-74.725100999999967</v>
      </c>
      <c r="AJ107" s="147">
        <f t="shared" si="64"/>
        <v>-33352</v>
      </c>
      <c r="AK107" s="143">
        <v>-33.351999999999997</v>
      </c>
      <c r="AL107" s="142">
        <f t="shared" si="73"/>
        <v>-8.6962094002419548</v>
      </c>
      <c r="AM107" s="144">
        <v>-2663.6000000000004</v>
      </c>
      <c r="AN107" s="142">
        <f>SUM($AM$1:AM107)/1000</f>
        <v>-240.89560000000006</v>
      </c>
      <c r="AO107" s="142">
        <f t="shared" si="74"/>
        <v>-152.70150000000007</v>
      </c>
      <c r="AP107" s="144">
        <v>-2284.11</v>
      </c>
      <c r="AQ107" s="145">
        <f>SUM($AP$1:AP107)/1000</f>
        <v>-194.69887</v>
      </c>
      <c r="AR107" s="142">
        <f t="shared" si="75"/>
        <v>-111.36326999999999</v>
      </c>
      <c r="AS107" s="144">
        <v>-1926.38</v>
      </c>
      <c r="AT107" s="142">
        <f>SUM($AS$1:AS107)/1000</f>
        <v>-568.30655999999954</v>
      </c>
      <c r="AU107" s="142">
        <f t="shared" si="76"/>
        <v>-235.15810999999962</v>
      </c>
      <c r="AV107" s="144">
        <v>16922</v>
      </c>
      <c r="AW107" s="142">
        <f>SUM($AV$1:AV107)/1000</f>
        <v>1173.4770000000001</v>
      </c>
      <c r="AX107" s="142">
        <f t="shared" si="77"/>
        <v>602.96250000000009</v>
      </c>
      <c r="AZ107" s="126">
        <f t="shared" si="65"/>
        <v>144.24910000000003</v>
      </c>
      <c r="BA107" s="126">
        <f t="shared" si="39"/>
        <v>-602.96250000000009</v>
      </c>
      <c r="BB107" s="126">
        <f t="shared" si="40"/>
        <v>747.21160000000009</v>
      </c>
      <c r="BD107" s="126">
        <f t="shared" si="66"/>
        <v>60.680000000000007</v>
      </c>
      <c r="BE107" s="126">
        <f t="shared" si="67"/>
        <v>74.725100999999967</v>
      </c>
      <c r="BF107" s="126">
        <f t="shared" si="41"/>
        <v>14.04510099999996</v>
      </c>
      <c r="BH107" s="126">
        <f t="shared" si="68"/>
        <v>119.682</v>
      </c>
      <c r="BI107" s="126">
        <f t="shared" si="69"/>
        <v>8.6962094002419548</v>
      </c>
      <c r="BJ107" s="126">
        <f t="shared" si="70"/>
        <v>-110.98579059975805</v>
      </c>
      <c r="BL107" s="126">
        <f t="shared" si="42"/>
        <v>142.37</v>
      </c>
      <c r="BM107" s="126">
        <f t="shared" si="43"/>
        <v>152.70150000000007</v>
      </c>
      <c r="BN107" s="126">
        <f t="shared" si="44"/>
        <v>10.331500000000062</v>
      </c>
      <c r="BP107" s="126">
        <f t="shared" si="45"/>
        <v>108.19000000000001</v>
      </c>
      <c r="BQ107" s="126">
        <f t="shared" si="46"/>
        <v>111.36326999999999</v>
      </c>
      <c r="BR107" s="126">
        <f t="shared" si="47"/>
        <v>3.1732699999999738</v>
      </c>
      <c r="BT107" s="126">
        <f t="shared" si="48"/>
        <v>132.39999999999998</v>
      </c>
      <c r="BU107" s="126">
        <f t="shared" si="49"/>
        <v>235.15810999999962</v>
      </c>
      <c r="BV107" s="126">
        <f t="shared" si="50"/>
        <v>102.75810999999965</v>
      </c>
      <c r="CC107">
        <f t="shared" si="71"/>
        <v>-420.952</v>
      </c>
    </row>
    <row r="108" spans="1:81" x14ac:dyDescent="0.2">
      <c r="A108">
        <v>-197.85</v>
      </c>
      <c r="B108">
        <v>229.20000000000002</v>
      </c>
      <c r="C108">
        <v>399.70000000000005</v>
      </c>
      <c r="D108" s="126">
        <f t="shared" si="57"/>
        <v>-197.67949999999999</v>
      </c>
      <c r="E108">
        <v>70226</v>
      </c>
      <c r="F108">
        <v>15184</v>
      </c>
      <c r="G108">
        <v>11688</v>
      </c>
      <c r="H108" s="126">
        <f t="shared" si="58"/>
        <v>66.73</v>
      </c>
      <c r="J108">
        <v>-38.090000000000003</v>
      </c>
      <c r="K108">
        <v>21</v>
      </c>
      <c r="L108">
        <v>-0.82000000000000006</v>
      </c>
      <c r="M108" s="126">
        <f t="shared" si="59"/>
        <v>-59.910000000000004</v>
      </c>
      <c r="N108">
        <v>-135183</v>
      </c>
      <c r="O108">
        <v>13673</v>
      </c>
      <c r="P108">
        <v>29062</v>
      </c>
      <c r="Q108" s="126">
        <f t="shared" si="60"/>
        <v>-119.794</v>
      </c>
      <c r="R108">
        <v>-197.85</v>
      </c>
      <c r="S108">
        <v>150.16</v>
      </c>
      <c r="T108">
        <v>157.71</v>
      </c>
      <c r="U108" s="126">
        <f t="shared" si="61"/>
        <v>-190.29999999999998</v>
      </c>
      <c r="V108">
        <v>-122.06</v>
      </c>
      <c r="W108">
        <v>23.73</v>
      </c>
      <c r="X108">
        <v>42.17</v>
      </c>
      <c r="Y108" s="126">
        <f t="shared" si="62"/>
        <v>-103.62</v>
      </c>
      <c r="Z108">
        <v>-143.74</v>
      </c>
      <c r="AA108">
        <v>100.71000000000001</v>
      </c>
      <c r="AB108">
        <v>74.260000000000005</v>
      </c>
      <c r="AC108" s="126">
        <f t="shared" si="63"/>
        <v>-170.19</v>
      </c>
      <c r="AF108" s="128">
        <v>40892</v>
      </c>
      <c r="AG108" s="144">
        <v>-885.07600000000002</v>
      </c>
      <c r="AH108" s="142">
        <f>SUM($AG$1:AG108)/1000</f>
        <v>-142.26928799999999</v>
      </c>
      <c r="AI108" s="142">
        <f t="shared" si="72"/>
        <v>-75.610176999999965</v>
      </c>
      <c r="AJ108" s="147">
        <f t="shared" si="64"/>
        <v>-33684.096078310671</v>
      </c>
      <c r="AK108" s="143">
        <v>-33.684096078310674</v>
      </c>
      <c r="AL108" s="142">
        <f t="shared" si="73"/>
        <v>-9.0283054785526318</v>
      </c>
      <c r="AM108" s="144">
        <v>1449.8000000000002</v>
      </c>
      <c r="AN108" s="142">
        <f>SUM($AM$1:AM108)/1000</f>
        <v>-239.44580000000008</v>
      </c>
      <c r="AO108" s="142">
        <f t="shared" si="74"/>
        <v>-151.25170000000008</v>
      </c>
      <c r="AP108" s="144">
        <v>-2142.8200000000002</v>
      </c>
      <c r="AQ108" s="145">
        <f>SUM($AP$1:AP108)/1000</f>
        <v>-196.84169</v>
      </c>
      <c r="AR108" s="142">
        <f t="shared" si="75"/>
        <v>-113.50608999999999</v>
      </c>
      <c r="AS108" s="144">
        <v>-3911.37</v>
      </c>
      <c r="AT108" s="142">
        <f>SUM($AS$1:AS108)/1000</f>
        <v>-572.21792999999957</v>
      </c>
      <c r="AU108" s="142">
        <f t="shared" si="76"/>
        <v>-239.06947999999966</v>
      </c>
      <c r="AV108" s="144">
        <v>20031</v>
      </c>
      <c r="AW108" s="142">
        <f>SUM($AV$1:AV108)/1000</f>
        <v>1193.508</v>
      </c>
      <c r="AX108" s="142">
        <f t="shared" si="77"/>
        <v>622.99350000000004</v>
      </c>
      <c r="AZ108" s="126">
        <f t="shared" si="65"/>
        <v>197.67949999999999</v>
      </c>
      <c r="BA108" s="126">
        <f t="shared" si="39"/>
        <v>-622.99350000000004</v>
      </c>
      <c r="BB108" s="126">
        <f t="shared" si="40"/>
        <v>820.673</v>
      </c>
      <c r="BD108" s="126">
        <f t="shared" si="66"/>
        <v>59.910000000000004</v>
      </c>
      <c r="BE108" s="126">
        <f t="shared" si="67"/>
        <v>75.610176999999965</v>
      </c>
      <c r="BF108" s="126">
        <f t="shared" si="41"/>
        <v>15.700176999999961</v>
      </c>
      <c r="BH108" s="126">
        <f t="shared" si="68"/>
        <v>119.794</v>
      </c>
      <c r="BI108" s="126">
        <f t="shared" si="69"/>
        <v>9.0283054785526318</v>
      </c>
      <c r="BJ108" s="126">
        <f t="shared" si="70"/>
        <v>-110.76569452144736</v>
      </c>
      <c r="BL108" s="126">
        <f t="shared" si="42"/>
        <v>190.29999999999998</v>
      </c>
      <c r="BM108" s="126">
        <f t="shared" si="43"/>
        <v>151.25170000000008</v>
      </c>
      <c r="BN108" s="126">
        <f t="shared" si="44"/>
        <v>-39.048299999999898</v>
      </c>
      <c r="BP108" s="126">
        <f t="shared" si="45"/>
        <v>103.62</v>
      </c>
      <c r="BQ108" s="126">
        <f t="shared" si="46"/>
        <v>113.50608999999999</v>
      </c>
      <c r="BR108" s="126">
        <f t="shared" si="47"/>
        <v>9.8860899999999816</v>
      </c>
      <c r="BT108" s="126">
        <f t="shared" si="48"/>
        <v>170.19</v>
      </c>
      <c r="BU108" s="126">
        <f t="shared" si="49"/>
        <v>239.06947999999966</v>
      </c>
      <c r="BV108" s="126">
        <f t="shared" si="50"/>
        <v>68.87947999999966</v>
      </c>
      <c r="CC108">
        <f t="shared" si="71"/>
        <v>-453.51400000000001</v>
      </c>
    </row>
    <row r="109" spans="1:81" x14ac:dyDescent="0.2">
      <c r="A109">
        <v>-184.92000000000002</v>
      </c>
      <c r="B109">
        <v>224.20000000000002</v>
      </c>
      <c r="C109">
        <v>395.20000000000005</v>
      </c>
      <c r="D109" s="126">
        <f t="shared" si="57"/>
        <v>-184.74900000000002</v>
      </c>
      <c r="E109">
        <v>55531</v>
      </c>
      <c r="F109">
        <v>14855</v>
      </c>
      <c r="G109">
        <v>11503</v>
      </c>
      <c r="H109" s="126">
        <f t="shared" si="58"/>
        <v>52.179000000000002</v>
      </c>
      <c r="J109">
        <v>-39.69</v>
      </c>
      <c r="K109">
        <v>20.55</v>
      </c>
      <c r="L109">
        <v>-1.4000000000000001</v>
      </c>
      <c r="M109" s="126">
        <f t="shared" si="59"/>
        <v>-61.64</v>
      </c>
      <c r="N109">
        <v>-120662</v>
      </c>
      <c r="O109">
        <v>13386</v>
      </c>
      <c r="P109">
        <v>28405</v>
      </c>
      <c r="Q109" s="126">
        <f t="shared" si="60"/>
        <v>-105.643</v>
      </c>
      <c r="R109">
        <v>-184.92000000000002</v>
      </c>
      <c r="S109">
        <v>146.9</v>
      </c>
      <c r="T109">
        <v>152.9</v>
      </c>
      <c r="U109" s="126">
        <f t="shared" si="61"/>
        <v>-178.92000000000002</v>
      </c>
      <c r="V109">
        <v>-124.42</v>
      </c>
      <c r="W109">
        <v>23.22</v>
      </c>
      <c r="X109">
        <v>41.34</v>
      </c>
      <c r="Y109" s="126">
        <f t="shared" si="62"/>
        <v>-106.3</v>
      </c>
      <c r="Z109">
        <v>-151.76</v>
      </c>
      <c r="AA109">
        <v>98.55</v>
      </c>
      <c r="AB109">
        <v>71.31</v>
      </c>
      <c r="AC109" s="126">
        <f t="shared" si="63"/>
        <v>-179</v>
      </c>
      <c r="AF109" s="128">
        <v>40923</v>
      </c>
      <c r="AG109" s="144">
        <v>-1089.6200000000001</v>
      </c>
      <c r="AH109" s="142">
        <f>SUM($AG$1:AG109)/1000</f>
        <v>-143.35890799999999</v>
      </c>
      <c r="AI109" s="142">
        <f t="shared" si="72"/>
        <v>-76.699796999999961</v>
      </c>
      <c r="AJ109" s="147">
        <f t="shared" si="64"/>
        <v>-34215.836887171914</v>
      </c>
      <c r="AK109" s="143">
        <v>-34.215836887171918</v>
      </c>
      <c r="AL109" s="142">
        <f t="shared" si="73"/>
        <v>-9.5600462874138756</v>
      </c>
      <c r="AM109" s="144">
        <v>-7352.5</v>
      </c>
      <c r="AN109" s="142">
        <f>SUM($AM$1:AM109)/1000</f>
        <v>-246.79830000000007</v>
      </c>
      <c r="AO109" s="142">
        <f t="shared" si="74"/>
        <v>-158.60420000000008</v>
      </c>
      <c r="AP109" s="144">
        <v>-1447.47</v>
      </c>
      <c r="AQ109" s="145">
        <f>SUM($AP$1:AP109)/1000</f>
        <v>-198.28916000000001</v>
      </c>
      <c r="AR109" s="142">
        <f t="shared" si="75"/>
        <v>-114.95356</v>
      </c>
      <c r="AS109" s="144">
        <v>-5676.6500000000005</v>
      </c>
      <c r="AT109" s="142">
        <f>SUM($AS$1:AS109)/1000</f>
        <v>-577.89457999999956</v>
      </c>
      <c r="AU109" s="142">
        <f t="shared" si="76"/>
        <v>-244.74612999999965</v>
      </c>
      <c r="AV109" s="144">
        <v>11022</v>
      </c>
      <c r="AW109" s="142">
        <f>SUM($AV$1:AV109)/1000</f>
        <v>1204.53</v>
      </c>
      <c r="AX109" s="142">
        <f t="shared" si="77"/>
        <v>634.01549999999997</v>
      </c>
      <c r="AZ109" s="126">
        <f t="shared" si="65"/>
        <v>184.74900000000002</v>
      </c>
      <c r="BA109" s="126">
        <f t="shared" si="39"/>
        <v>-634.01549999999997</v>
      </c>
      <c r="BB109" s="126">
        <f t="shared" si="40"/>
        <v>818.7645</v>
      </c>
      <c r="BD109" s="126">
        <f t="shared" si="66"/>
        <v>61.64</v>
      </c>
      <c r="BE109" s="126">
        <f t="shared" si="67"/>
        <v>76.699796999999961</v>
      </c>
      <c r="BF109" s="126">
        <f t="shared" si="41"/>
        <v>15.059796999999961</v>
      </c>
      <c r="BH109" s="126">
        <f t="shared" si="68"/>
        <v>105.643</v>
      </c>
      <c r="BI109" s="126">
        <f t="shared" si="69"/>
        <v>9.5600462874138756</v>
      </c>
      <c r="BJ109" s="126">
        <f t="shared" si="70"/>
        <v>-96.082953712586118</v>
      </c>
      <c r="BL109" s="126">
        <f t="shared" si="42"/>
        <v>178.92000000000002</v>
      </c>
      <c r="BM109" s="126">
        <f t="shared" si="43"/>
        <v>158.60420000000008</v>
      </c>
      <c r="BN109" s="126">
        <f t="shared" si="44"/>
        <v>-20.315799999999939</v>
      </c>
      <c r="BP109" s="126">
        <f t="shared" si="45"/>
        <v>106.3</v>
      </c>
      <c r="BQ109" s="126">
        <f t="shared" si="46"/>
        <v>114.95356</v>
      </c>
      <c r="BR109" s="126">
        <f t="shared" si="47"/>
        <v>8.6535599999999988</v>
      </c>
      <c r="BT109" s="126">
        <f t="shared" si="48"/>
        <v>179</v>
      </c>
      <c r="BU109" s="126">
        <f t="shared" si="49"/>
        <v>244.74612999999965</v>
      </c>
      <c r="BV109" s="126">
        <f t="shared" si="50"/>
        <v>65.746129999999653</v>
      </c>
      <c r="CC109">
        <f t="shared" si="71"/>
        <v>-452.58299999999997</v>
      </c>
    </row>
    <row r="110" spans="1:81" x14ac:dyDescent="0.2">
      <c r="A110">
        <v>-196.22</v>
      </c>
      <c r="B110">
        <v>223.9</v>
      </c>
      <c r="C110">
        <v>396.1</v>
      </c>
      <c r="D110" s="126">
        <f t="shared" si="57"/>
        <v>-196.0478</v>
      </c>
      <c r="E110">
        <v>48224</v>
      </c>
      <c r="F110">
        <v>14828</v>
      </c>
      <c r="G110">
        <v>11524</v>
      </c>
      <c r="H110" s="126">
        <f t="shared" si="58"/>
        <v>44.92</v>
      </c>
      <c r="J110">
        <v>-40.770000000000003</v>
      </c>
      <c r="K110">
        <v>20.51</v>
      </c>
      <c r="L110">
        <v>-1.69</v>
      </c>
      <c r="M110" s="126">
        <f t="shared" si="59"/>
        <v>-62.970000000000006</v>
      </c>
      <c r="N110">
        <v>-111177</v>
      </c>
      <c r="O110">
        <v>13365</v>
      </c>
      <c r="P110">
        <v>28449</v>
      </c>
      <c r="Q110" s="126">
        <f t="shared" si="60"/>
        <v>-96.093000000000004</v>
      </c>
      <c r="R110">
        <v>-196.22</v>
      </c>
      <c r="S110">
        <v>146.65</v>
      </c>
      <c r="T110">
        <v>151.32</v>
      </c>
      <c r="U110" s="126">
        <f t="shared" si="61"/>
        <v>-191.55</v>
      </c>
      <c r="V110">
        <v>-125.5</v>
      </c>
      <c r="W110">
        <v>23.17</v>
      </c>
      <c r="X110">
        <v>42.54</v>
      </c>
      <c r="Y110" s="126">
        <f t="shared" si="62"/>
        <v>-106.13</v>
      </c>
      <c r="Z110">
        <v>-178.89000000000001</v>
      </c>
      <c r="AA110">
        <v>98.38</v>
      </c>
      <c r="AB110">
        <v>70.63</v>
      </c>
      <c r="AC110" s="126">
        <f t="shared" si="63"/>
        <v>-206.64000000000001</v>
      </c>
      <c r="AF110" s="128">
        <v>40954</v>
      </c>
      <c r="AG110" s="144">
        <v>-220.98099999999999</v>
      </c>
      <c r="AH110" s="142">
        <f>SUM($AG$1:AG110)/1000</f>
        <v>-143.57988900000001</v>
      </c>
      <c r="AI110" s="142">
        <f t="shared" si="72"/>
        <v>-76.920777999999984</v>
      </c>
      <c r="AJ110" s="147">
        <f t="shared" si="64"/>
        <v>-34397</v>
      </c>
      <c r="AK110" s="143">
        <v>-34.396999999999998</v>
      </c>
      <c r="AL110" s="142">
        <f t="shared" si="73"/>
        <v>-9.7412094002419565</v>
      </c>
      <c r="AM110" s="144">
        <v>-4215.4000000000005</v>
      </c>
      <c r="AN110" s="142">
        <f>SUM($AM$1:AM110)/1000</f>
        <v>-251.01370000000006</v>
      </c>
      <c r="AO110" s="142">
        <f t="shared" si="74"/>
        <v>-162.81960000000007</v>
      </c>
      <c r="AP110" s="144">
        <v>-1126.33</v>
      </c>
      <c r="AQ110" s="145">
        <f>SUM($AP$1:AP110)/1000</f>
        <v>-199.41548999999998</v>
      </c>
      <c r="AR110" s="142">
        <f t="shared" si="75"/>
        <v>-116.07988999999996</v>
      </c>
      <c r="AS110" s="144">
        <v>-6084.87</v>
      </c>
      <c r="AT110" s="142">
        <f>SUM($AS$1:AS110)/1000</f>
        <v>-583.97944999999959</v>
      </c>
      <c r="AU110" s="142">
        <f t="shared" si="76"/>
        <v>-250.83099999999968</v>
      </c>
      <c r="AV110" s="144">
        <v>13550</v>
      </c>
      <c r="AW110" s="142">
        <f>SUM($AV$1:AV110)/1000</f>
        <v>1218.08</v>
      </c>
      <c r="AX110" s="142">
        <f t="shared" si="77"/>
        <v>647.56549999999993</v>
      </c>
      <c r="AZ110" s="126">
        <f t="shared" si="65"/>
        <v>196.0478</v>
      </c>
      <c r="BA110" s="126">
        <f t="shared" si="39"/>
        <v>-647.56549999999993</v>
      </c>
      <c r="BB110" s="126">
        <f t="shared" si="40"/>
        <v>843.61329999999998</v>
      </c>
      <c r="BD110" s="126">
        <f t="shared" si="66"/>
        <v>62.970000000000006</v>
      </c>
      <c r="BE110" s="126">
        <f t="shared" si="67"/>
        <v>76.920777999999984</v>
      </c>
      <c r="BF110" s="126">
        <f t="shared" si="41"/>
        <v>13.950777999999978</v>
      </c>
      <c r="BH110" s="126">
        <f t="shared" si="68"/>
        <v>96.093000000000004</v>
      </c>
      <c r="BI110" s="126">
        <f t="shared" si="69"/>
        <v>9.7412094002419565</v>
      </c>
      <c r="BJ110" s="126">
        <f t="shared" si="70"/>
        <v>-86.351790599758047</v>
      </c>
      <c r="BL110" s="126">
        <f t="shared" si="42"/>
        <v>191.55</v>
      </c>
      <c r="BM110" s="126">
        <f t="shared" si="43"/>
        <v>162.81960000000007</v>
      </c>
      <c r="BN110" s="126">
        <f t="shared" si="44"/>
        <v>-28.730399999999946</v>
      </c>
      <c r="BP110" s="126">
        <f t="shared" si="45"/>
        <v>106.13</v>
      </c>
      <c r="BQ110" s="126">
        <f t="shared" si="46"/>
        <v>116.07988999999996</v>
      </c>
      <c r="BR110" s="126">
        <f t="shared" si="47"/>
        <v>9.9498899999999679</v>
      </c>
      <c r="BT110" s="126">
        <f t="shared" si="48"/>
        <v>206.64000000000001</v>
      </c>
      <c r="BU110" s="126">
        <f t="shared" si="49"/>
        <v>250.83099999999968</v>
      </c>
      <c r="BV110" s="126">
        <f t="shared" si="50"/>
        <v>44.190999999999661</v>
      </c>
      <c r="CC110">
        <f t="shared" si="71"/>
        <v>-471.83300000000003</v>
      </c>
    </row>
    <row r="111" spans="1:81" x14ac:dyDescent="0.2">
      <c r="A111">
        <v>-270.61</v>
      </c>
      <c r="B111">
        <v>224.60000000000002</v>
      </c>
      <c r="C111">
        <v>400</v>
      </c>
      <c r="D111" s="126">
        <f t="shared" si="57"/>
        <v>-270.43459999999999</v>
      </c>
      <c r="E111">
        <v>77121</v>
      </c>
      <c r="F111">
        <v>14873</v>
      </c>
      <c r="G111">
        <v>11618</v>
      </c>
      <c r="H111" s="126">
        <f t="shared" si="58"/>
        <v>73.866</v>
      </c>
      <c r="J111">
        <v>-51.1</v>
      </c>
      <c r="K111">
        <v>20.57</v>
      </c>
      <c r="L111">
        <v>-1.86</v>
      </c>
      <c r="M111" s="126">
        <f t="shared" si="59"/>
        <v>-73.53</v>
      </c>
      <c r="N111">
        <v>-110515</v>
      </c>
      <c r="O111">
        <v>13407</v>
      </c>
      <c r="P111">
        <v>28561</v>
      </c>
      <c r="Q111" s="126">
        <f t="shared" si="60"/>
        <v>-95.361000000000004</v>
      </c>
      <c r="R111">
        <v>-270.60000000000002</v>
      </c>
      <c r="S111">
        <v>147.11000000000001</v>
      </c>
      <c r="T111">
        <v>150.80000000000001</v>
      </c>
      <c r="U111" s="126">
        <f t="shared" si="61"/>
        <v>-266.91000000000003</v>
      </c>
      <c r="V111">
        <v>-120.26</v>
      </c>
      <c r="W111">
        <v>23.23</v>
      </c>
      <c r="X111">
        <v>40.89</v>
      </c>
      <c r="Y111" s="126">
        <f t="shared" si="62"/>
        <v>-102.60000000000001</v>
      </c>
      <c r="Z111">
        <v>-243.56</v>
      </c>
      <c r="AA111">
        <v>98.65</v>
      </c>
      <c r="AB111">
        <v>70.960000000000008</v>
      </c>
      <c r="AC111" s="126">
        <f t="shared" si="63"/>
        <v>-271.25</v>
      </c>
      <c r="AF111" s="128">
        <v>40983</v>
      </c>
      <c r="AG111" s="144">
        <v>-454.25</v>
      </c>
      <c r="AH111" s="142">
        <f>SUM($AG$1:AG111)/1000</f>
        <v>-144.03413899999998</v>
      </c>
      <c r="AI111" s="142">
        <f t="shared" si="72"/>
        <v>-77.375027999999958</v>
      </c>
      <c r="AJ111" s="147">
        <f t="shared" si="64"/>
        <v>-33819.111179231622</v>
      </c>
      <c r="AK111" s="143">
        <v>-33.819111179231619</v>
      </c>
      <c r="AL111" s="142">
        <f t="shared" si="73"/>
        <v>-9.1633205794735773</v>
      </c>
      <c r="AM111" s="144">
        <v>-1599.7</v>
      </c>
      <c r="AN111" s="142">
        <f>SUM($AM$1:AM111)/1000</f>
        <v>-252.61340000000007</v>
      </c>
      <c r="AO111" s="142">
        <f t="shared" si="74"/>
        <v>-164.41930000000008</v>
      </c>
      <c r="AP111" s="144">
        <v>-2237.14</v>
      </c>
      <c r="AQ111" s="145">
        <f>SUM($AP$1:AP111)/1000</f>
        <v>-201.65263000000002</v>
      </c>
      <c r="AR111" s="142">
        <f t="shared" si="75"/>
        <v>-118.31703</v>
      </c>
      <c r="AS111" s="144">
        <v>-3265.41</v>
      </c>
      <c r="AT111" s="142">
        <f>SUM($AS$1:AS111)/1000</f>
        <v>-587.24485999999968</v>
      </c>
      <c r="AU111" s="142">
        <f t="shared" si="76"/>
        <v>-254.09640999999976</v>
      </c>
      <c r="AV111" s="144">
        <v>21238</v>
      </c>
      <c r="AW111" s="142">
        <f>SUM($AV$1:AV111)/1000</f>
        <v>1239.318</v>
      </c>
      <c r="AX111" s="142">
        <f t="shared" si="77"/>
        <v>668.80349999999999</v>
      </c>
      <c r="AZ111" s="126">
        <f t="shared" si="65"/>
        <v>270.43459999999999</v>
      </c>
      <c r="BA111" s="126">
        <f t="shared" si="39"/>
        <v>-668.80349999999999</v>
      </c>
      <c r="BB111" s="126">
        <f t="shared" si="40"/>
        <v>939.23810000000003</v>
      </c>
      <c r="BD111" s="126">
        <f t="shared" si="66"/>
        <v>73.53</v>
      </c>
      <c r="BE111" s="126">
        <f t="shared" si="67"/>
        <v>77.375027999999958</v>
      </c>
      <c r="BF111" s="126">
        <f t="shared" si="41"/>
        <v>3.8450279999999566</v>
      </c>
      <c r="BH111" s="126">
        <f t="shared" si="68"/>
        <v>95.361000000000004</v>
      </c>
      <c r="BI111" s="126">
        <f t="shared" si="69"/>
        <v>9.1633205794735773</v>
      </c>
      <c r="BJ111" s="126">
        <f t="shared" si="70"/>
        <v>-86.197679420526427</v>
      </c>
      <c r="BL111" s="126">
        <f t="shared" si="42"/>
        <v>266.91000000000003</v>
      </c>
      <c r="BM111" s="126">
        <f t="shared" si="43"/>
        <v>164.41930000000008</v>
      </c>
      <c r="BN111" s="126">
        <f t="shared" si="44"/>
        <v>-102.49069999999995</v>
      </c>
      <c r="BP111" s="126">
        <f t="shared" si="45"/>
        <v>102.60000000000001</v>
      </c>
      <c r="BQ111" s="126">
        <f t="shared" si="46"/>
        <v>118.31703</v>
      </c>
      <c r="BR111" s="126">
        <f t="shared" si="47"/>
        <v>15.717029999999994</v>
      </c>
      <c r="BT111" s="126">
        <f t="shared" si="48"/>
        <v>271.25</v>
      </c>
      <c r="BU111" s="126">
        <f t="shared" si="49"/>
        <v>254.09640999999976</v>
      </c>
      <c r="BV111" s="126">
        <f t="shared" si="50"/>
        <v>-17.153590000000236</v>
      </c>
      <c r="CC111">
        <f t="shared" si="71"/>
        <v>-542.74099999999999</v>
      </c>
    </row>
    <row r="112" spans="1:81" x14ac:dyDescent="0.2">
      <c r="A112">
        <v>-278.53000000000003</v>
      </c>
      <c r="B112">
        <v>225.60000000000002</v>
      </c>
      <c r="C112">
        <v>403.20000000000005</v>
      </c>
      <c r="D112" s="126">
        <f t="shared" si="57"/>
        <v>-278.35240000000005</v>
      </c>
      <c r="E112">
        <v>65946</v>
      </c>
      <c r="F112">
        <v>14940</v>
      </c>
      <c r="G112">
        <v>11710</v>
      </c>
      <c r="H112" s="126">
        <f t="shared" si="58"/>
        <v>62.716000000000001</v>
      </c>
      <c r="J112">
        <v>-45.01</v>
      </c>
      <c r="K112">
        <v>20.66</v>
      </c>
      <c r="L112">
        <v>-2.13</v>
      </c>
      <c r="M112" s="126">
        <f t="shared" si="59"/>
        <v>-67.8</v>
      </c>
      <c r="N112">
        <v>-113178</v>
      </c>
      <c r="O112">
        <v>13468</v>
      </c>
      <c r="P112">
        <v>28598</v>
      </c>
      <c r="Q112" s="126">
        <f t="shared" si="60"/>
        <v>-98.048000000000002</v>
      </c>
      <c r="R112">
        <v>-278.53000000000003</v>
      </c>
      <c r="S112">
        <v>147.75</v>
      </c>
      <c r="T112">
        <v>150.93</v>
      </c>
      <c r="U112" s="126">
        <f t="shared" si="61"/>
        <v>-275.35000000000002</v>
      </c>
      <c r="V112">
        <v>-114.31</v>
      </c>
      <c r="W112">
        <v>23.330000000000002</v>
      </c>
      <c r="X112">
        <v>40.730000000000004</v>
      </c>
      <c r="Y112" s="126">
        <f t="shared" si="62"/>
        <v>-96.91</v>
      </c>
      <c r="Z112">
        <v>-269.28000000000003</v>
      </c>
      <c r="AA112">
        <v>99.070000000000007</v>
      </c>
      <c r="AB112">
        <v>70.3</v>
      </c>
      <c r="AC112" s="126">
        <f t="shared" si="63"/>
        <v>-298.05000000000007</v>
      </c>
      <c r="AF112" s="128">
        <v>41014</v>
      </c>
      <c r="AG112" s="144">
        <v>-418.29399999999998</v>
      </c>
      <c r="AH112" s="142">
        <f>SUM($AG$1:AG112)/1000</f>
        <v>-144.45243299999998</v>
      </c>
      <c r="AI112" s="142">
        <f t="shared" si="72"/>
        <v>-77.793321999999961</v>
      </c>
      <c r="AJ112" s="147">
        <f t="shared" si="64"/>
        <v>-32640.688943385292</v>
      </c>
      <c r="AK112" s="143">
        <v>-32.640688943385292</v>
      </c>
      <c r="AL112" s="142">
        <f t="shared" si="73"/>
        <v>-7.9848983436272505</v>
      </c>
      <c r="AM112" s="144">
        <v>-1244</v>
      </c>
      <c r="AN112" s="142">
        <f>SUM($AM$1:AM112)/1000</f>
        <v>-253.85740000000007</v>
      </c>
      <c r="AO112" s="142">
        <f t="shared" si="74"/>
        <v>-165.66330000000008</v>
      </c>
      <c r="AP112" s="144">
        <v>-944.86</v>
      </c>
      <c r="AQ112" s="145">
        <f>SUM($AP$1:AP112)/1000</f>
        <v>-202.59748999999999</v>
      </c>
      <c r="AR112" s="142">
        <f t="shared" si="75"/>
        <v>-119.26188999999998</v>
      </c>
      <c r="AS112" s="144">
        <v>-1671.3400000000001</v>
      </c>
      <c r="AT112" s="142">
        <f>SUM($AS$1:AS112)/1000</f>
        <v>-588.91619999999955</v>
      </c>
      <c r="AU112" s="142">
        <f t="shared" si="76"/>
        <v>-255.76774999999964</v>
      </c>
      <c r="AV112" s="144">
        <v>11954</v>
      </c>
      <c r="AW112" s="142">
        <f>SUM($AV$1:AV112)/1000</f>
        <v>1251.2719999999999</v>
      </c>
      <c r="AX112" s="142">
        <f t="shared" si="77"/>
        <v>680.75749999999994</v>
      </c>
      <c r="AZ112" s="126">
        <f t="shared" si="65"/>
        <v>278.35240000000005</v>
      </c>
      <c r="BA112" s="126">
        <f t="shared" si="39"/>
        <v>-680.75749999999994</v>
      </c>
      <c r="BB112" s="126">
        <f t="shared" si="40"/>
        <v>959.10989999999993</v>
      </c>
      <c r="BD112" s="126">
        <f t="shared" si="66"/>
        <v>67.8</v>
      </c>
      <c r="BE112" s="126">
        <f t="shared" si="67"/>
        <v>77.793321999999961</v>
      </c>
      <c r="BF112" s="126">
        <f t="shared" si="41"/>
        <v>9.9933219999999636</v>
      </c>
      <c r="BH112" s="126">
        <f t="shared" si="68"/>
        <v>98.048000000000002</v>
      </c>
      <c r="BI112" s="126">
        <f t="shared" si="69"/>
        <v>7.9848983436272505</v>
      </c>
      <c r="BJ112" s="126">
        <f t="shared" si="70"/>
        <v>-90.063101656372751</v>
      </c>
      <c r="BL112" s="126">
        <f t="shared" si="42"/>
        <v>275.35000000000002</v>
      </c>
      <c r="BM112" s="126">
        <f t="shared" si="43"/>
        <v>165.66330000000008</v>
      </c>
      <c r="BN112" s="126">
        <f t="shared" si="44"/>
        <v>-109.68669999999995</v>
      </c>
      <c r="BP112" s="126">
        <f t="shared" si="45"/>
        <v>96.91</v>
      </c>
      <c r="BQ112" s="126">
        <f t="shared" si="46"/>
        <v>119.26188999999998</v>
      </c>
      <c r="BR112" s="126">
        <f t="shared" si="47"/>
        <v>22.351889999999983</v>
      </c>
      <c r="BT112" s="126">
        <f t="shared" si="48"/>
        <v>298.05000000000007</v>
      </c>
      <c r="BU112" s="126">
        <f t="shared" si="49"/>
        <v>255.76774999999964</v>
      </c>
      <c r="BV112" s="126">
        <f t="shared" si="50"/>
        <v>-42.282250000000431</v>
      </c>
      <c r="CC112">
        <f t="shared" si="71"/>
        <v>-560.80799999999999</v>
      </c>
    </row>
    <row r="113" spans="1:81" x14ac:dyDescent="0.2">
      <c r="A113">
        <v>-267.79000000000002</v>
      </c>
      <c r="B113">
        <v>228</v>
      </c>
      <c r="C113">
        <v>407.20000000000005</v>
      </c>
      <c r="D113" s="126">
        <f t="shared" si="57"/>
        <v>-267.61080000000004</v>
      </c>
      <c r="E113">
        <v>57700</v>
      </c>
      <c r="F113">
        <v>15099</v>
      </c>
      <c r="G113">
        <v>11804</v>
      </c>
      <c r="H113" s="126">
        <f t="shared" si="58"/>
        <v>54.405000000000001</v>
      </c>
      <c r="J113">
        <v>-38.160000000000004</v>
      </c>
      <c r="K113">
        <v>20.87</v>
      </c>
      <c r="L113">
        <v>-2.46</v>
      </c>
      <c r="M113" s="126">
        <f t="shared" si="59"/>
        <v>-61.490000000000009</v>
      </c>
      <c r="N113">
        <v>-111817</v>
      </c>
      <c r="O113">
        <v>13591</v>
      </c>
      <c r="P113">
        <v>28844</v>
      </c>
      <c r="Q113" s="126">
        <f t="shared" si="60"/>
        <v>-96.563999999999993</v>
      </c>
      <c r="R113">
        <v>-267.79000000000002</v>
      </c>
      <c r="S113">
        <v>149.25</v>
      </c>
      <c r="T113">
        <v>149.43</v>
      </c>
      <c r="U113" s="126">
        <f t="shared" si="61"/>
        <v>-267.61</v>
      </c>
      <c r="V113">
        <v>-120.88</v>
      </c>
      <c r="W113">
        <v>23.57</v>
      </c>
      <c r="X113">
        <v>44.03</v>
      </c>
      <c r="Y113" s="126">
        <f t="shared" si="62"/>
        <v>-100.41999999999999</v>
      </c>
      <c r="Z113">
        <v>-312.61</v>
      </c>
      <c r="AA113">
        <v>100.06</v>
      </c>
      <c r="AB113">
        <v>72.36</v>
      </c>
      <c r="AC113" s="126">
        <f t="shared" si="63"/>
        <v>-340.31</v>
      </c>
      <c r="AF113" s="128">
        <v>41044</v>
      </c>
      <c r="AG113" s="144">
        <v>-738.70699999999999</v>
      </c>
      <c r="AH113" s="142">
        <f>SUM($AG$1:AG113)/1000</f>
        <v>-145.19113999999999</v>
      </c>
      <c r="AI113" s="142">
        <f t="shared" si="72"/>
        <v>-78.532028999999966</v>
      </c>
      <c r="AJ113" s="147">
        <f t="shared" si="64"/>
        <v>-31162</v>
      </c>
      <c r="AK113" s="143">
        <v>-31.161999999999999</v>
      </c>
      <c r="AL113" s="142">
        <f t="shared" si="73"/>
        <v>-6.506209400241957</v>
      </c>
      <c r="AM113" s="144">
        <v>-1121.9000000000001</v>
      </c>
      <c r="AN113" s="142">
        <f>SUM($AM$1:AM113)/1000</f>
        <v>-254.97930000000008</v>
      </c>
      <c r="AO113" s="142">
        <f t="shared" si="74"/>
        <v>-166.78520000000009</v>
      </c>
      <c r="AP113" s="144">
        <v>-1227.8399999999999</v>
      </c>
      <c r="AQ113" s="145">
        <f>SUM($AP$1:AP113)/1000</f>
        <v>-203.82532999999998</v>
      </c>
      <c r="AR113" s="142">
        <f t="shared" si="75"/>
        <v>-120.48972999999997</v>
      </c>
      <c r="AS113" s="144">
        <v>-379.65000000000003</v>
      </c>
      <c r="AT113" s="142">
        <f>SUM($AS$1:AS113)/1000</f>
        <v>-589.29584999999963</v>
      </c>
      <c r="AU113" s="142">
        <f t="shared" si="76"/>
        <v>-256.14739999999972</v>
      </c>
      <c r="AV113" s="144">
        <v>9959</v>
      </c>
      <c r="AW113" s="142">
        <f>SUM($AV$1:AV113)/1000</f>
        <v>1261.231</v>
      </c>
      <c r="AX113" s="142">
        <f t="shared" si="77"/>
        <v>690.7165</v>
      </c>
      <c r="AZ113" s="126">
        <f t="shared" si="65"/>
        <v>267.61080000000004</v>
      </c>
      <c r="BA113" s="126">
        <f t="shared" si="39"/>
        <v>-690.7165</v>
      </c>
      <c r="BB113" s="126">
        <f t="shared" si="40"/>
        <v>958.32730000000004</v>
      </c>
      <c r="BD113" s="126">
        <f t="shared" si="66"/>
        <v>61.490000000000009</v>
      </c>
      <c r="BE113" s="126">
        <f t="shared" si="67"/>
        <v>78.532028999999966</v>
      </c>
      <c r="BF113" s="126">
        <f t="shared" si="41"/>
        <v>17.042028999999957</v>
      </c>
      <c r="BH113" s="126">
        <f t="shared" si="68"/>
        <v>96.563999999999993</v>
      </c>
      <c r="BI113" s="126">
        <f t="shared" si="69"/>
        <v>6.506209400241957</v>
      </c>
      <c r="BJ113" s="126">
        <f t="shared" si="70"/>
        <v>-90.057790599758036</v>
      </c>
      <c r="BL113" s="126">
        <f t="shared" si="42"/>
        <v>267.61</v>
      </c>
      <c r="BM113" s="126">
        <f t="shared" si="43"/>
        <v>166.78520000000009</v>
      </c>
      <c r="BN113" s="126">
        <f t="shared" si="44"/>
        <v>-100.82479999999993</v>
      </c>
      <c r="BP113" s="126">
        <f t="shared" si="45"/>
        <v>100.41999999999999</v>
      </c>
      <c r="BQ113" s="126">
        <f t="shared" si="46"/>
        <v>120.48972999999997</v>
      </c>
      <c r="BR113" s="126">
        <f t="shared" si="47"/>
        <v>20.069729999999979</v>
      </c>
      <c r="BT113" s="126">
        <f t="shared" si="48"/>
        <v>340.31</v>
      </c>
      <c r="BU113" s="126">
        <f t="shared" si="49"/>
        <v>256.14739999999972</v>
      </c>
      <c r="BV113" s="126">
        <f t="shared" si="50"/>
        <v>-84.162600000000282</v>
      </c>
      <c r="CC113">
        <f t="shared" si="71"/>
        <v>-598.78399999999999</v>
      </c>
    </row>
    <row r="114" spans="1:81" x14ac:dyDescent="0.2">
      <c r="A114">
        <v>-263.25</v>
      </c>
      <c r="B114">
        <v>230.70000000000002</v>
      </c>
      <c r="C114">
        <v>411.70000000000005</v>
      </c>
      <c r="D114" s="126">
        <f t="shared" si="57"/>
        <v>-263.06900000000002</v>
      </c>
      <c r="E114">
        <v>76574</v>
      </c>
      <c r="F114">
        <v>15274</v>
      </c>
      <c r="G114">
        <v>11896</v>
      </c>
      <c r="H114" s="126">
        <f t="shared" si="58"/>
        <v>73.195999999999998</v>
      </c>
      <c r="J114">
        <v>-49.53</v>
      </c>
      <c r="K114">
        <v>21.13</v>
      </c>
      <c r="L114">
        <v>-2.5</v>
      </c>
      <c r="M114" s="126">
        <f t="shared" si="59"/>
        <v>-73.16</v>
      </c>
      <c r="N114">
        <v>-114672</v>
      </c>
      <c r="O114">
        <v>13732</v>
      </c>
      <c r="P114">
        <v>28952</v>
      </c>
      <c r="Q114" s="126">
        <f t="shared" si="60"/>
        <v>-99.451999999999998</v>
      </c>
      <c r="R114">
        <v>-263.25</v>
      </c>
      <c r="S114">
        <v>151.02000000000001</v>
      </c>
      <c r="T114">
        <v>149.1</v>
      </c>
      <c r="U114" s="126">
        <f t="shared" si="61"/>
        <v>-265.17</v>
      </c>
      <c r="V114">
        <v>-127.14</v>
      </c>
      <c r="W114">
        <v>23.85</v>
      </c>
      <c r="X114">
        <v>46.13</v>
      </c>
      <c r="Y114" s="126">
        <f t="shared" si="62"/>
        <v>-104.86</v>
      </c>
      <c r="Z114">
        <v>-377.59000000000003</v>
      </c>
      <c r="AA114">
        <v>101.25</v>
      </c>
      <c r="AB114">
        <v>75.2</v>
      </c>
      <c r="AC114" s="126">
        <f t="shared" si="63"/>
        <v>-403.64000000000004</v>
      </c>
      <c r="AF114" s="128">
        <v>41075</v>
      </c>
      <c r="AG114" s="144">
        <v>-25.706</v>
      </c>
      <c r="AH114" s="142">
        <f>SUM($AG$1:AG114)/1000</f>
        <v>-145.216846</v>
      </c>
      <c r="AI114" s="142">
        <f t="shared" si="72"/>
        <v>-78.55773499999998</v>
      </c>
      <c r="AJ114" s="147">
        <f t="shared" si="64"/>
        <v>-29683.311056614701</v>
      </c>
      <c r="AK114" s="143">
        <v>-29.683311056614702</v>
      </c>
      <c r="AL114" s="142">
        <f t="shared" si="73"/>
        <v>-5.02752045685666</v>
      </c>
      <c r="AM114" s="144">
        <v>2192.4</v>
      </c>
      <c r="AN114" s="142">
        <f>SUM($AM$1:AM114)/1000</f>
        <v>-252.78690000000009</v>
      </c>
      <c r="AO114" s="142">
        <f t="shared" si="74"/>
        <v>-164.5928000000001</v>
      </c>
      <c r="AP114" s="144">
        <v>73.100000000000009</v>
      </c>
      <c r="AQ114" s="145">
        <f>SUM($AP$1:AP114)/1000</f>
        <v>-203.75222999999997</v>
      </c>
      <c r="AR114" s="142">
        <f t="shared" si="75"/>
        <v>-120.41662999999996</v>
      </c>
      <c r="AS114" s="144">
        <v>-804.97</v>
      </c>
      <c r="AT114" s="142">
        <f>SUM($AS$1:AS114)/1000</f>
        <v>-590.10081999999954</v>
      </c>
      <c r="AU114" s="142">
        <f t="shared" si="76"/>
        <v>-256.95236999999963</v>
      </c>
      <c r="AV114" s="144">
        <v>19454</v>
      </c>
      <c r="AW114" s="142">
        <f>SUM($AV$1:AV114)/1000</f>
        <v>1280.6849999999999</v>
      </c>
      <c r="AX114" s="142">
        <f t="shared" si="77"/>
        <v>710.17049999999995</v>
      </c>
      <c r="AZ114" s="126">
        <f t="shared" si="65"/>
        <v>263.06900000000002</v>
      </c>
      <c r="BA114" s="126">
        <f t="shared" si="39"/>
        <v>-710.17049999999995</v>
      </c>
      <c r="BB114" s="126">
        <f t="shared" si="40"/>
        <v>973.23949999999991</v>
      </c>
      <c r="BD114" s="126">
        <f t="shared" si="66"/>
        <v>73.16</v>
      </c>
      <c r="BE114" s="126">
        <f t="shared" si="67"/>
        <v>78.55773499999998</v>
      </c>
      <c r="BF114" s="126">
        <f t="shared" si="41"/>
        <v>5.3977349999999831</v>
      </c>
      <c r="BH114" s="126">
        <f t="shared" si="68"/>
        <v>99.451999999999998</v>
      </c>
      <c r="BI114" s="126">
        <f t="shared" si="69"/>
        <v>5.02752045685666</v>
      </c>
      <c r="BJ114" s="126">
        <f t="shared" si="70"/>
        <v>-94.424479543143335</v>
      </c>
      <c r="BL114" s="126">
        <f t="shared" si="42"/>
        <v>265.17</v>
      </c>
      <c r="BM114" s="126">
        <f t="shared" si="43"/>
        <v>164.5928000000001</v>
      </c>
      <c r="BN114" s="126">
        <f t="shared" si="44"/>
        <v>-100.57719999999992</v>
      </c>
      <c r="BP114" s="126">
        <f t="shared" si="45"/>
        <v>104.86</v>
      </c>
      <c r="BQ114" s="126">
        <f t="shared" si="46"/>
        <v>120.41662999999996</v>
      </c>
      <c r="BR114" s="126">
        <f t="shared" si="47"/>
        <v>15.556629999999956</v>
      </c>
      <c r="BT114" s="126">
        <f t="shared" si="48"/>
        <v>403.64000000000004</v>
      </c>
      <c r="BU114" s="126">
        <f t="shared" si="49"/>
        <v>256.95236999999963</v>
      </c>
      <c r="BV114" s="126">
        <f t="shared" si="50"/>
        <v>-146.68763000000041</v>
      </c>
      <c r="CC114">
        <f t="shared" si="71"/>
        <v>-681.11200000000008</v>
      </c>
    </row>
    <row r="115" spans="1:81" x14ac:dyDescent="0.2">
      <c r="A115">
        <v>-268.83</v>
      </c>
      <c r="B115">
        <v>231.70000000000002</v>
      </c>
      <c r="C115">
        <v>416.20000000000005</v>
      </c>
      <c r="D115" s="126">
        <f t="shared" si="57"/>
        <v>-268.64549999999997</v>
      </c>
      <c r="E115">
        <v>63255</v>
      </c>
      <c r="F115">
        <v>15345</v>
      </c>
      <c r="G115">
        <v>11952</v>
      </c>
      <c r="H115" s="126">
        <f t="shared" si="58"/>
        <v>59.862000000000002</v>
      </c>
      <c r="J115">
        <v>-47.82</v>
      </c>
      <c r="K115">
        <v>21.22</v>
      </c>
      <c r="L115">
        <v>-2.4700000000000002</v>
      </c>
      <c r="M115" s="126">
        <f t="shared" si="59"/>
        <v>-71.509999999999991</v>
      </c>
      <c r="N115">
        <v>-108633</v>
      </c>
      <c r="O115">
        <v>13791</v>
      </c>
      <c r="P115">
        <v>29000</v>
      </c>
      <c r="Q115" s="126">
        <f t="shared" si="60"/>
        <v>-93.424000000000007</v>
      </c>
      <c r="R115">
        <v>-268.83</v>
      </c>
      <c r="S115">
        <v>151.70000000000002</v>
      </c>
      <c r="T115">
        <v>149.67000000000002</v>
      </c>
      <c r="U115" s="126">
        <f t="shared" si="61"/>
        <v>-270.86</v>
      </c>
      <c r="V115">
        <v>-122.77</v>
      </c>
      <c r="W115">
        <v>23.96</v>
      </c>
      <c r="X115">
        <v>42.81</v>
      </c>
      <c r="Y115" s="126">
        <f t="shared" si="62"/>
        <v>-103.91999999999999</v>
      </c>
      <c r="Z115">
        <v>-392.31</v>
      </c>
      <c r="AA115">
        <v>101.71000000000001</v>
      </c>
      <c r="AB115">
        <v>75.53</v>
      </c>
      <c r="AC115" s="126">
        <f t="shared" si="63"/>
        <v>-418.49</v>
      </c>
      <c r="AF115" s="128">
        <v>41105</v>
      </c>
      <c r="AG115" s="144">
        <v>877.76300000000003</v>
      </c>
      <c r="AH115" s="142">
        <f>SUM($AG$1:AG115)/1000</f>
        <v>-144.33908299999999</v>
      </c>
      <c r="AI115" s="142">
        <f t="shared" si="72"/>
        <v>-77.679971999999964</v>
      </c>
      <c r="AJ115" s="147">
        <f t="shared" si="64"/>
        <v>-28504.888820768385</v>
      </c>
      <c r="AK115" s="143">
        <v>-28.504888820768386</v>
      </c>
      <c r="AL115" s="142">
        <f t="shared" si="73"/>
        <v>-3.8490982210103439</v>
      </c>
      <c r="AM115" s="144">
        <v>4480</v>
      </c>
      <c r="AN115" s="142">
        <f>SUM($AM$1:AM115)/1000</f>
        <v>-248.30690000000007</v>
      </c>
      <c r="AO115" s="142">
        <f t="shared" si="74"/>
        <v>-160.11280000000008</v>
      </c>
      <c r="AP115" s="144">
        <v>507.90000000000003</v>
      </c>
      <c r="AQ115" s="145">
        <f>SUM($AP$1:AP115)/1000</f>
        <v>-203.24432999999999</v>
      </c>
      <c r="AR115" s="142">
        <f t="shared" si="75"/>
        <v>-119.90872999999998</v>
      </c>
      <c r="AS115" s="144">
        <v>499.66</v>
      </c>
      <c r="AT115" s="142">
        <f>SUM($AS$1:AS115)/1000</f>
        <v>-589.6011599999996</v>
      </c>
      <c r="AU115" s="142">
        <f t="shared" si="76"/>
        <v>-256.45270999999968</v>
      </c>
      <c r="AV115" s="144">
        <v>14420</v>
      </c>
      <c r="AW115" s="142">
        <f>SUM($AV$1:AV115)/1000</f>
        <v>1295.105</v>
      </c>
      <c r="AX115" s="142">
        <f t="shared" si="77"/>
        <v>724.59050000000002</v>
      </c>
      <c r="AZ115" s="126">
        <f t="shared" si="65"/>
        <v>268.64549999999997</v>
      </c>
      <c r="BA115" s="126">
        <f t="shared" si="39"/>
        <v>-724.59050000000002</v>
      </c>
      <c r="BB115" s="126">
        <f t="shared" si="40"/>
        <v>993.23599999999999</v>
      </c>
      <c r="BD115" s="126">
        <f t="shared" si="66"/>
        <v>71.509999999999991</v>
      </c>
      <c r="BE115" s="126">
        <f t="shared" si="67"/>
        <v>77.679971999999964</v>
      </c>
      <c r="BF115" s="126">
        <f t="shared" si="41"/>
        <v>6.1699719999999729</v>
      </c>
      <c r="BH115" s="126">
        <f t="shared" si="68"/>
        <v>93.424000000000007</v>
      </c>
      <c r="BI115" s="126">
        <f t="shared" si="69"/>
        <v>3.8490982210103439</v>
      </c>
      <c r="BJ115" s="126">
        <f t="shared" si="70"/>
        <v>-89.57490177898967</v>
      </c>
      <c r="BL115" s="126">
        <f t="shared" si="42"/>
        <v>270.86</v>
      </c>
      <c r="BM115" s="126">
        <f t="shared" si="43"/>
        <v>160.11280000000008</v>
      </c>
      <c r="BN115" s="126">
        <f t="shared" si="44"/>
        <v>-110.74719999999994</v>
      </c>
      <c r="BP115" s="126">
        <f t="shared" si="45"/>
        <v>103.91999999999999</v>
      </c>
      <c r="BQ115" s="126">
        <f t="shared" si="46"/>
        <v>119.90872999999998</v>
      </c>
      <c r="BR115" s="126">
        <f t="shared" si="47"/>
        <v>15.98872999999999</v>
      </c>
      <c r="BT115" s="126">
        <f t="shared" si="48"/>
        <v>418.49</v>
      </c>
      <c r="BU115" s="126">
        <f t="shared" si="49"/>
        <v>256.45270999999968</v>
      </c>
      <c r="BV115" s="126">
        <f t="shared" si="50"/>
        <v>-162.03729000000033</v>
      </c>
      <c r="CC115">
        <f t="shared" si="71"/>
        <v>-687.34399999999994</v>
      </c>
    </row>
    <row r="116" spans="1:81" x14ac:dyDescent="0.2">
      <c r="A116">
        <v>-276.60000000000002</v>
      </c>
      <c r="B116">
        <v>231.4</v>
      </c>
      <c r="C116">
        <v>419.8</v>
      </c>
      <c r="D116" s="126">
        <f t="shared" si="57"/>
        <v>-276.41160000000002</v>
      </c>
      <c r="E116">
        <v>66618</v>
      </c>
      <c r="F116">
        <v>15322</v>
      </c>
      <c r="G116">
        <v>11908</v>
      </c>
      <c r="H116" s="126">
        <f t="shared" si="58"/>
        <v>63.204000000000001</v>
      </c>
      <c r="J116">
        <v>-46.76</v>
      </c>
      <c r="K116">
        <v>21.19</v>
      </c>
      <c r="L116">
        <v>-3.0100000000000002</v>
      </c>
      <c r="M116" s="126">
        <f t="shared" si="59"/>
        <v>-70.960000000000008</v>
      </c>
      <c r="N116">
        <v>-106065</v>
      </c>
      <c r="O116">
        <v>13766</v>
      </c>
      <c r="P116">
        <v>29062</v>
      </c>
      <c r="Q116" s="126">
        <f t="shared" si="60"/>
        <v>-90.769000000000005</v>
      </c>
      <c r="R116">
        <v>-276.59000000000003</v>
      </c>
      <c r="S116">
        <v>151.47</v>
      </c>
      <c r="T116">
        <v>148.71</v>
      </c>
      <c r="U116" s="126">
        <f t="shared" si="61"/>
        <v>-279.35000000000002</v>
      </c>
      <c r="V116">
        <v>-124.29</v>
      </c>
      <c r="W116">
        <v>23.92</v>
      </c>
      <c r="X116">
        <v>41.47</v>
      </c>
      <c r="Y116" s="126">
        <f t="shared" si="62"/>
        <v>-106.74000000000001</v>
      </c>
      <c r="Z116">
        <v>-402.07</v>
      </c>
      <c r="AA116">
        <v>101.57000000000001</v>
      </c>
      <c r="AB116">
        <v>73.989999999999995</v>
      </c>
      <c r="AC116" s="126">
        <f t="shared" si="63"/>
        <v>-429.65</v>
      </c>
      <c r="AF116" s="128">
        <v>41136</v>
      </c>
      <c r="AG116" s="144">
        <v>341.74599999999998</v>
      </c>
      <c r="AH116" s="142">
        <f>SUM($AG$1:AG116)/1000</f>
        <v>-143.99733699999996</v>
      </c>
      <c r="AI116" s="142">
        <f t="shared" si="72"/>
        <v>-77.338225999999935</v>
      </c>
      <c r="AJ116" s="147">
        <f t="shared" si="64"/>
        <v>-27927</v>
      </c>
      <c r="AK116" s="143">
        <v>-27.927</v>
      </c>
      <c r="AL116" s="142">
        <f t="shared" si="73"/>
        <v>-3.2712094002419576</v>
      </c>
      <c r="AM116" s="144">
        <v>-1832.2</v>
      </c>
      <c r="AN116" s="142">
        <f>SUM($AM$1:AM116)/1000</f>
        <v>-250.1391000000001</v>
      </c>
      <c r="AO116" s="142">
        <f t="shared" si="74"/>
        <v>-161.94500000000011</v>
      </c>
      <c r="AP116" s="144">
        <v>1440.3</v>
      </c>
      <c r="AQ116" s="145">
        <f>SUM($AP$1:AP116)/1000</f>
        <v>-201.80403000000001</v>
      </c>
      <c r="AR116" s="142">
        <f t="shared" si="75"/>
        <v>-118.46843</v>
      </c>
      <c r="AS116" s="144">
        <v>1244.19</v>
      </c>
      <c r="AT116" s="142">
        <f>SUM($AS$1:AS116)/1000</f>
        <v>-588.35696999999959</v>
      </c>
      <c r="AU116" s="142">
        <f t="shared" si="76"/>
        <v>-255.20851999999968</v>
      </c>
      <c r="AV116" s="144">
        <v>13201</v>
      </c>
      <c r="AW116" s="142">
        <f>SUM($AV$1:AV116)/1000</f>
        <v>1308.306</v>
      </c>
      <c r="AX116" s="142">
        <f t="shared" si="77"/>
        <v>737.79150000000004</v>
      </c>
      <c r="AZ116" s="126">
        <f t="shared" si="65"/>
        <v>276.41160000000002</v>
      </c>
      <c r="BA116" s="126">
        <f t="shared" si="39"/>
        <v>-737.79150000000004</v>
      </c>
      <c r="BB116" s="126">
        <f t="shared" si="40"/>
        <v>1014.2031000000001</v>
      </c>
      <c r="BD116" s="126">
        <f t="shared" si="66"/>
        <v>70.960000000000008</v>
      </c>
      <c r="BE116" s="126">
        <f t="shared" si="67"/>
        <v>77.338225999999935</v>
      </c>
      <c r="BF116" s="126">
        <f t="shared" si="41"/>
        <v>6.3782259999999269</v>
      </c>
      <c r="BH116" s="126">
        <f t="shared" si="68"/>
        <v>90.769000000000005</v>
      </c>
      <c r="BI116" s="126">
        <f t="shared" si="69"/>
        <v>3.2712094002419576</v>
      </c>
      <c r="BJ116" s="126">
        <f t="shared" si="70"/>
        <v>-87.497790599758048</v>
      </c>
      <c r="BL116" s="126">
        <f t="shared" si="42"/>
        <v>279.35000000000002</v>
      </c>
      <c r="BM116" s="126">
        <f t="shared" si="43"/>
        <v>161.94500000000011</v>
      </c>
      <c r="BN116" s="126">
        <f t="shared" si="44"/>
        <v>-117.40499999999992</v>
      </c>
      <c r="BP116" s="126">
        <f t="shared" si="45"/>
        <v>106.74000000000001</v>
      </c>
      <c r="BQ116" s="126">
        <f t="shared" si="46"/>
        <v>118.46843</v>
      </c>
      <c r="BR116" s="126">
        <f t="shared" si="47"/>
        <v>11.728429999999989</v>
      </c>
      <c r="BT116" s="126">
        <f t="shared" si="48"/>
        <v>429.65</v>
      </c>
      <c r="BU116" s="126">
        <f t="shared" si="49"/>
        <v>255.20851999999968</v>
      </c>
      <c r="BV116" s="126">
        <f t="shared" si="50"/>
        <v>-174.4414800000003</v>
      </c>
      <c r="CC116">
        <f t="shared" si="71"/>
        <v>-698.11900000000003</v>
      </c>
    </row>
    <row r="117" spans="1:81" x14ac:dyDescent="0.2">
      <c r="A117">
        <v>-265.69</v>
      </c>
      <c r="B117">
        <v>230.4</v>
      </c>
      <c r="C117">
        <v>422.3</v>
      </c>
      <c r="D117" s="126">
        <f t="shared" si="57"/>
        <v>-265.49810000000002</v>
      </c>
      <c r="E117">
        <v>74428</v>
      </c>
      <c r="F117">
        <v>15255</v>
      </c>
      <c r="G117">
        <v>11951</v>
      </c>
      <c r="H117" s="126">
        <f t="shared" si="58"/>
        <v>71.123999999999995</v>
      </c>
      <c r="J117">
        <v>-46.13</v>
      </c>
      <c r="K117">
        <v>21.1</v>
      </c>
      <c r="L117">
        <v>-3.48</v>
      </c>
      <c r="M117" s="126">
        <f t="shared" si="59"/>
        <v>-70.710000000000008</v>
      </c>
      <c r="N117">
        <v>-99189</v>
      </c>
      <c r="O117">
        <v>13701</v>
      </c>
      <c r="P117">
        <v>29117</v>
      </c>
      <c r="Q117" s="126">
        <f t="shared" si="60"/>
        <v>-83.772999999999996</v>
      </c>
      <c r="R117">
        <v>-265.69</v>
      </c>
      <c r="S117">
        <v>150.83000000000001</v>
      </c>
      <c r="T117">
        <v>146.89000000000001</v>
      </c>
      <c r="U117" s="126">
        <f t="shared" si="61"/>
        <v>-269.63</v>
      </c>
      <c r="V117">
        <v>-123.14</v>
      </c>
      <c r="W117">
        <v>23.82</v>
      </c>
      <c r="X117">
        <v>40.25</v>
      </c>
      <c r="Y117" s="126">
        <f t="shared" si="62"/>
        <v>-106.71000000000001</v>
      </c>
      <c r="Z117">
        <v>-366.26</v>
      </c>
      <c r="AA117">
        <v>101.14</v>
      </c>
      <c r="AB117">
        <v>72.040000000000006</v>
      </c>
      <c r="AC117" s="126">
        <f t="shared" si="63"/>
        <v>-395.36</v>
      </c>
      <c r="AF117" s="128">
        <v>41167</v>
      </c>
      <c r="AG117" s="144">
        <v>-314.04300000000001</v>
      </c>
      <c r="AH117" s="142">
        <f>SUM($AG$1:AG117)/1000</f>
        <v>-144.31137999999999</v>
      </c>
      <c r="AI117" s="142">
        <f t="shared" si="72"/>
        <v>-77.652268999999961</v>
      </c>
      <c r="AJ117" s="147"/>
      <c r="AM117" s="144">
        <v>-1263.4000000000001</v>
      </c>
      <c r="AN117" s="142">
        <f>SUM($AM$1:AM117)/1000</f>
        <v>-251.40250000000009</v>
      </c>
      <c r="AO117" s="142">
        <f t="shared" si="74"/>
        <v>-163.2084000000001</v>
      </c>
      <c r="AP117" s="144">
        <v>705.80000000000007</v>
      </c>
      <c r="AQ117" s="145">
        <f>SUM($AP$1:AP117)/1000</f>
        <v>-201.09823</v>
      </c>
      <c r="AR117" s="142">
        <f t="shared" si="75"/>
        <v>-117.76262999999999</v>
      </c>
      <c r="AS117" s="144" t="s">
        <v>30</v>
      </c>
      <c r="AT117" s="142">
        <f>SUM($AS$1:AS117)/1000</f>
        <v>-588.35696999999959</v>
      </c>
      <c r="AU117" s="142">
        <f t="shared" si="76"/>
        <v>-255.20851999999968</v>
      </c>
      <c r="AV117" s="144">
        <v>17063</v>
      </c>
      <c r="AW117" s="142">
        <f>SUM($AV$1:AV117)/1000</f>
        <v>1325.3689999999999</v>
      </c>
      <c r="AX117" s="142">
        <f t="shared" si="77"/>
        <v>754.85449999999992</v>
      </c>
      <c r="AZ117" s="126">
        <f t="shared" si="65"/>
        <v>265.49810000000002</v>
      </c>
      <c r="BD117" s="126">
        <f t="shared" si="66"/>
        <v>70.710000000000008</v>
      </c>
      <c r="BE117" s="126">
        <f t="shared" si="67"/>
        <v>77.652268999999961</v>
      </c>
      <c r="BF117" s="126">
        <f t="shared" si="41"/>
        <v>6.9422689999999534</v>
      </c>
      <c r="BH117" s="126">
        <f t="shared" si="68"/>
        <v>83.772999999999996</v>
      </c>
      <c r="BJ117" s="126">
        <f t="shared" si="70"/>
        <v>-83.772999999999996</v>
      </c>
      <c r="BL117" s="126">
        <f t="shared" si="42"/>
        <v>269.63</v>
      </c>
      <c r="BM117" s="126">
        <f t="shared" si="43"/>
        <v>163.2084000000001</v>
      </c>
      <c r="BP117" s="126">
        <f t="shared" si="45"/>
        <v>106.71000000000001</v>
      </c>
      <c r="BQ117" s="126">
        <f t="shared" si="46"/>
        <v>117.76262999999999</v>
      </c>
      <c r="BR117" s="126">
        <f t="shared" si="47"/>
        <v>11.052629999999979</v>
      </c>
      <c r="BT117" s="126">
        <f>AC117</f>
        <v>-395.36</v>
      </c>
      <c r="BU117" s="126">
        <f>-AU117</f>
        <v>255.20851999999968</v>
      </c>
    </row>
    <row r="118" spans="1:81" x14ac:dyDescent="0.2">
      <c r="A118">
        <v>-248.59</v>
      </c>
      <c r="B118">
        <v>230.20000000000002</v>
      </c>
      <c r="C118">
        <v>424.90000000000003</v>
      </c>
      <c r="D118" s="126">
        <f t="shared" si="57"/>
        <v>-248.39529999999999</v>
      </c>
      <c r="E118">
        <v>79771</v>
      </c>
      <c r="F118">
        <v>15237</v>
      </c>
      <c r="G118">
        <v>11959</v>
      </c>
      <c r="H118" s="126">
        <f t="shared" si="58"/>
        <v>76.492999999999995</v>
      </c>
      <c r="J118">
        <v>-43.79</v>
      </c>
      <c r="K118">
        <v>21.07</v>
      </c>
      <c r="L118">
        <v>-3.73</v>
      </c>
      <c r="M118" s="126">
        <f t="shared" si="59"/>
        <v>-68.59</v>
      </c>
      <c r="N118">
        <v>-99830</v>
      </c>
      <c r="O118">
        <v>13685</v>
      </c>
      <c r="P118">
        <v>29310</v>
      </c>
      <c r="Q118" s="126">
        <f t="shared" si="60"/>
        <v>-84.204999999999998</v>
      </c>
      <c r="R118">
        <v>-248.58</v>
      </c>
      <c r="S118">
        <v>150.66</v>
      </c>
      <c r="T118">
        <v>145.18</v>
      </c>
      <c r="U118" s="126">
        <f t="shared" si="61"/>
        <v>-254.06</v>
      </c>
      <c r="V118">
        <v>-122.75</v>
      </c>
      <c r="W118">
        <v>23.79</v>
      </c>
      <c r="X118">
        <v>39.270000000000003</v>
      </c>
      <c r="Y118" s="126">
        <f t="shared" si="62"/>
        <v>-107.27</v>
      </c>
      <c r="Z118">
        <v>-345.17</v>
      </c>
      <c r="AA118">
        <v>101.01</v>
      </c>
      <c r="AB118">
        <v>70.52</v>
      </c>
      <c r="AC118" s="126">
        <f t="shared" si="63"/>
        <v>-375.66</v>
      </c>
      <c r="AF118" s="128">
        <v>41197</v>
      </c>
      <c r="AG118" s="144">
        <v>-194.09399999999999</v>
      </c>
      <c r="AH118" s="142">
        <f>SUM($AG$1:AG118)/1000</f>
        <v>-144.50547399999999</v>
      </c>
      <c r="AI118" s="142">
        <f t="shared" si="72"/>
        <v>-77.846362999999968</v>
      </c>
      <c r="AM118" s="144">
        <v>2176.7000000000003</v>
      </c>
      <c r="AN118" s="142">
        <f>SUM($AM$1:AM118)/1000</f>
        <v>-249.22580000000008</v>
      </c>
      <c r="AO118" s="142">
        <f t="shared" si="74"/>
        <v>-161.03170000000009</v>
      </c>
      <c r="AP118" s="144">
        <v>-763</v>
      </c>
      <c r="AQ118" s="145">
        <f>SUM($AP$1:AP118)/1000</f>
        <v>-201.86123000000001</v>
      </c>
      <c r="AR118" s="142">
        <f t="shared" si="75"/>
        <v>-118.52562999999999</v>
      </c>
      <c r="AS118" s="144" t="s">
        <v>30</v>
      </c>
      <c r="AT118" s="142">
        <f>SUM($AS$1:AS118)/1000</f>
        <v>-588.35696999999959</v>
      </c>
      <c r="AU118" s="142">
        <f t="shared" si="76"/>
        <v>-255.20851999999968</v>
      </c>
      <c r="AV118" s="144">
        <v>15276</v>
      </c>
      <c r="BD118" s="126">
        <f t="shared" si="66"/>
        <v>68.59</v>
      </c>
      <c r="BE118" s="126">
        <f t="shared" si="67"/>
        <v>77.846362999999968</v>
      </c>
      <c r="BF118" s="126">
        <f t="shared" si="41"/>
        <v>9.2563629999999648</v>
      </c>
      <c r="BH118" s="126">
        <f t="shared" si="68"/>
        <v>84.204999999999998</v>
      </c>
      <c r="BJ118" s="126">
        <f t="shared" si="70"/>
        <v>-84.204999999999998</v>
      </c>
      <c r="BL118" s="126">
        <f t="shared" si="42"/>
        <v>254.06</v>
      </c>
      <c r="BM118" s="126">
        <f t="shared" si="43"/>
        <v>161.03170000000009</v>
      </c>
      <c r="BP118" s="126">
        <f t="shared" si="45"/>
        <v>107.27</v>
      </c>
      <c r="BQ118" s="126">
        <f t="shared" si="46"/>
        <v>118.52562999999999</v>
      </c>
      <c r="BR118" s="126">
        <f t="shared" si="47"/>
        <v>11.255629999999996</v>
      </c>
      <c r="BT118" s="126">
        <f>AC118</f>
        <v>-375.66</v>
      </c>
      <c r="BU118" s="126">
        <f>-AU118</f>
        <v>255.20851999999968</v>
      </c>
    </row>
    <row r="119" spans="1:81" x14ac:dyDescent="0.2">
      <c r="A119">
        <v>-229.4</v>
      </c>
      <c r="B119">
        <v>229.8</v>
      </c>
      <c r="C119">
        <v>427</v>
      </c>
      <c r="D119" s="126">
        <f t="shared" si="57"/>
        <v>-229.2028</v>
      </c>
      <c r="E119">
        <v>55698</v>
      </c>
      <c r="F119">
        <v>15211</v>
      </c>
      <c r="G119">
        <v>12048</v>
      </c>
      <c r="H119" s="126">
        <f t="shared" si="58"/>
        <v>52.534999999999997</v>
      </c>
      <c r="J119">
        <v>-40.6</v>
      </c>
      <c r="K119">
        <v>21.03</v>
      </c>
      <c r="L119">
        <v>-3.9</v>
      </c>
      <c r="M119" s="126">
        <f t="shared" si="59"/>
        <v>-65.53</v>
      </c>
      <c r="N119">
        <v>-98052</v>
      </c>
      <c r="O119">
        <v>13659</v>
      </c>
      <c r="P119">
        <v>29305</v>
      </c>
      <c r="Q119" s="126">
        <f t="shared" si="60"/>
        <v>-82.406000000000006</v>
      </c>
      <c r="R119">
        <v>-229.4</v>
      </c>
      <c r="S119">
        <v>150.39000000000001</v>
      </c>
      <c r="T119">
        <v>145.21</v>
      </c>
      <c r="U119" s="126">
        <f t="shared" si="61"/>
        <v>-234.58</v>
      </c>
      <c r="V119">
        <v>-122.37</v>
      </c>
      <c r="W119">
        <v>23.740000000000002</v>
      </c>
      <c r="X119">
        <v>38.770000000000003</v>
      </c>
      <c r="Y119" s="126">
        <f t="shared" si="62"/>
        <v>-107.34</v>
      </c>
      <c r="Z119">
        <v>-327.99</v>
      </c>
      <c r="AA119">
        <v>100.82000000000001</v>
      </c>
      <c r="AB119">
        <v>67.540000000000006</v>
      </c>
      <c r="AC119" s="126">
        <f t="shared" si="63"/>
        <v>-361.27</v>
      </c>
      <c r="AF119" s="128">
        <v>41228</v>
      </c>
      <c r="AG119" s="144">
        <v>-277.70999999999998</v>
      </c>
      <c r="AH119" s="142">
        <f>SUM($AG$1:AG119)/1000</f>
        <v>-144.78318399999998</v>
      </c>
      <c r="AI119" s="142">
        <f t="shared" si="72"/>
        <v>-78.124072999999953</v>
      </c>
      <c r="AM119" s="144">
        <v>2226.5</v>
      </c>
      <c r="AN119" s="142">
        <f>SUM($AM$1:AM119)/1000</f>
        <v>-246.99930000000006</v>
      </c>
      <c r="AO119" s="142">
        <f t="shared" si="74"/>
        <v>-158.80520000000007</v>
      </c>
      <c r="AP119" s="144">
        <v>-902</v>
      </c>
      <c r="AQ119" s="145">
        <f>SUM($AP$1:AP119)/1000</f>
        <v>-202.76323000000002</v>
      </c>
      <c r="AR119" s="142">
        <f t="shared" si="75"/>
        <v>-119.42763000000001</v>
      </c>
      <c r="AS119" s="144" t="s">
        <v>30</v>
      </c>
      <c r="AT119" s="142">
        <f>SUM($AS$1:AS119)/1000</f>
        <v>-588.35696999999959</v>
      </c>
      <c r="AU119" s="142">
        <f t="shared" si="76"/>
        <v>-255.20851999999968</v>
      </c>
      <c r="AV119" s="144">
        <v>17884</v>
      </c>
      <c r="BD119" s="126">
        <f t="shared" si="66"/>
        <v>65.53</v>
      </c>
      <c r="BE119" s="126">
        <f t="shared" si="67"/>
        <v>78.124072999999953</v>
      </c>
      <c r="BF119" s="126">
        <f t="shared" si="41"/>
        <v>12.594072999999952</v>
      </c>
      <c r="BH119" s="126">
        <f t="shared" si="68"/>
        <v>82.406000000000006</v>
      </c>
      <c r="BJ119" s="126">
        <f t="shared" si="70"/>
        <v>-82.406000000000006</v>
      </c>
      <c r="BL119" s="126">
        <f t="shared" si="42"/>
        <v>234.58</v>
      </c>
      <c r="BM119" s="126">
        <f t="shared" si="43"/>
        <v>158.80520000000007</v>
      </c>
      <c r="BP119" s="126">
        <f t="shared" si="45"/>
        <v>107.34</v>
      </c>
      <c r="BQ119" s="126">
        <f t="shared" si="46"/>
        <v>119.42763000000001</v>
      </c>
      <c r="BR119" s="126">
        <f t="shared" si="47"/>
        <v>12.087630000000004</v>
      </c>
      <c r="BT119" s="126">
        <f>AC119</f>
        <v>-361.27</v>
      </c>
      <c r="BU119" s="126">
        <f>-AU119</f>
        <v>255.20851999999968</v>
      </c>
    </row>
    <row r="120" spans="1:81" x14ac:dyDescent="0.2">
      <c r="A120">
        <v>-236.79</v>
      </c>
      <c r="B120">
        <v>235.60000000000002</v>
      </c>
      <c r="C120">
        <v>435.90000000000003</v>
      </c>
      <c r="D120" s="126">
        <f t="shared" si="57"/>
        <v>-236.58969999999999</v>
      </c>
      <c r="E120">
        <v>74574</v>
      </c>
      <c r="F120">
        <v>15598</v>
      </c>
      <c r="G120">
        <v>12350</v>
      </c>
      <c r="H120" s="126">
        <f t="shared" si="58"/>
        <v>71.325999999999993</v>
      </c>
      <c r="J120">
        <v>-39.99</v>
      </c>
      <c r="K120">
        <v>21.56</v>
      </c>
      <c r="L120">
        <v>-3.47</v>
      </c>
      <c r="M120" s="126">
        <f t="shared" si="59"/>
        <v>-65.02</v>
      </c>
      <c r="N120">
        <v>-94560</v>
      </c>
      <c r="O120">
        <v>13999</v>
      </c>
      <c r="P120">
        <v>29940</v>
      </c>
      <c r="Q120" s="126">
        <f t="shared" si="60"/>
        <v>-78.619</v>
      </c>
      <c r="R120">
        <v>-229.4</v>
      </c>
      <c r="S120">
        <v>154.16</v>
      </c>
      <c r="T120">
        <v>150.55000000000001</v>
      </c>
      <c r="U120" s="126">
        <f t="shared" si="61"/>
        <v>-233.01</v>
      </c>
      <c r="V120">
        <v>-111.68</v>
      </c>
      <c r="W120">
        <v>24.330000000000002</v>
      </c>
      <c r="X120">
        <v>38.79</v>
      </c>
      <c r="Y120" s="126">
        <f t="shared" si="62"/>
        <v>-97.220000000000013</v>
      </c>
      <c r="Z120">
        <v>-298.34000000000003</v>
      </c>
      <c r="AA120">
        <v>103.32000000000001</v>
      </c>
      <c r="AB120">
        <v>69.11</v>
      </c>
      <c r="AC120" s="126">
        <f t="shared" si="63"/>
        <v>-332.55000000000007</v>
      </c>
      <c r="AF120" s="128">
        <v>41258</v>
      </c>
      <c r="AG120" s="144">
        <v>-43.119</v>
      </c>
      <c r="AH120" s="142">
        <f>SUM($AG$1:AG120)/1000</f>
        <v>-144.826303</v>
      </c>
      <c r="AI120" s="142">
        <f t="shared" ref="AI120:AI126" si="78">AH120-$AH$130</f>
        <v>-78.167191999999972</v>
      </c>
      <c r="AM120" s="144">
        <v>2963.7000000000003</v>
      </c>
      <c r="AN120" s="142">
        <f>SUM($AM$1:AM120)/1000</f>
        <v>-244.03560000000007</v>
      </c>
      <c r="AP120" s="144">
        <v>-606.4</v>
      </c>
      <c r="AQ120" s="145">
        <f>SUM($AP$1:AP120)/1000</f>
        <v>-203.36963</v>
      </c>
      <c r="AT120" s="142">
        <f>SUM($AS$1:AS120)/1000</f>
        <v>-588.35696999999959</v>
      </c>
      <c r="AV120" s="144">
        <v>20597</v>
      </c>
      <c r="BT120" s="126">
        <f>AC120</f>
        <v>-332.55000000000007</v>
      </c>
      <c r="BU120" s="126">
        <f>-AU120</f>
        <v>0</v>
      </c>
    </row>
    <row r="121" spans="1:81" x14ac:dyDescent="0.2">
      <c r="A121">
        <v>-209.79</v>
      </c>
      <c r="B121">
        <v>228</v>
      </c>
      <c r="C121">
        <v>427.40000000000003</v>
      </c>
      <c r="D121" s="126">
        <f t="shared" si="57"/>
        <v>-209.59059999999999</v>
      </c>
      <c r="E121">
        <v>48115</v>
      </c>
      <c r="F121">
        <v>15097</v>
      </c>
      <c r="G121">
        <v>12020</v>
      </c>
      <c r="H121" s="126">
        <f t="shared" si="58"/>
        <v>45.037999999999997</v>
      </c>
      <c r="J121">
        <v>-36.910000000000004</v>
      </c>
      <c r="K121">
        <v>20.87</v>
      </c>
      <c r="L121">
        <v>-4.1100000000000003</v>
      </c>
      <c r="M121" s="126">
        <f t="shared" si="59"/>
        <v>-61.89</v>
      </c>
      <c r="N121">
        <v>-86031</v>
      </c>
      <c r="O121">
        <v>13559</v>
      </c>
      <c r="P121">
        <v>29363</v>
      </c>
      <c r="Q121" s="126">
        <f t="shared" si="60"/>
        <v>-70.227000000000004</v>
      </c>
      <c r="R121">
        <v>-229.4</v>
      </c>
      <c r="S121">
        <v>149.22</v>
      </c>
      <c r="T121">
        <v>143.63</v>
      </c>
      <c r="U121" s="126">
        <f t="shared" si="61"/>
        <v>-234.99</v>
      </c>
      <c r="V121">
        <v>-99.070000000000007</v>
      </c>
      <c r="W121">
        <v>23.56</v>
      </c>
      <c r="X121">
        <v>36.74</v>
      </c>
      <c r="Y121" s="126">
        <f t="shared" si="62"/>
        <v>-85.89</v>
      </c>
      <c r="Z121">
        <v>-269.97000000000003</v>
      </c>
      <c r="AA121">
        <v>100.04</v>
      </c>
      <c r="AB121">
        <v>65.38</v>
      </c>
      <c r="AC121" s="126">
        <f t="shared" si="63"/>
        <v>-304.63000000000005</v>
      </c>
      <c r="AF121" s="128">
        <v>41289</v>
      </c>
      <c r="AG121" s="144">
        <v>-17.013999999999999</v>
      </c>
      <c r="AH121" s="142">
        <f>SUM($AG$1:AG121)/1000</f>
        <v>-144.84331699999998</v>
      </c>
      <c r="AI121" s="142">
        <f t="shared" si="78"/>
        <v>-78.184205999999961</v>
      </c>
      <c r="AM121" s="144">
        <v>-4649.5</v>
      </c>
      <c r="AN121" s="142">
        <f>SUM($AM$1:AM121)/1000</f>
        <v>-248.68510000000006</v>
      </c>
      <c r="AP121" s="144">
        <v>-364</v>
      </c>
      <c r="AQ121" s="145">
        <f>SUM($AP$1:AP121)/1000</f>
        <v>-203.73363000000001</v>
      </c>
      <c r="AT121" s="142">
        <f>SUM($AS$1:AS121)/1000</f>
        <v>-588.35696999999959</v>
      </c>
      <c r="AV121" s="144">
        <v>9680</v>
      </c>
      <c r="BT121" s="124"/>
      <c r="BU121" s="124"/>
      <c r="BV121" s="124"/>
    </row>
    <row r="122" spans="1:81" x14ac:dyDescent="0.2">
      <c r="A122">
        <v>-236.71</v>
      </c>
      <c r="B122">
        <v>227.3</v>
      </c>
      <c r="C122">
        <v>428.8</v>
      </c>
      <c r="D122" s="126">
        <f t="shared" si="57"/>
        <v>-236.5085</v>
      </c>
      <c r="E122">
        <v>46894</v>
      </c>
      <c r="F122">
        <v>15055</v>
      </c>
      <c r="G122">
        <v>12063</v>
      </c>
      <c r="H122" s="126">
        <f t="shared" si="58"/>
        <v>43.902000000000001</v>
      </c>
      <c r="J122">
        <v>-37.29</v>
      </c>
      <c r="K122">
        <v>20.8</v>
      </c>
      <c r="L122">
        <v>-4.26</v>
      </c>
      <c r="M122" s="126">
        <f t="shared" si="59"/>
        <v>-62.35</v>
      </c>
      <c r="N122">
        <v>-83112</v>
      </c>
      <c r="O122">
        <v>13519</v>
      </c>
      <c r="P122">
        <v>29348</v>
      </c>
      <c r="Q122" s="126">
        <f t="shared" si="60"/>
        <v>-67.283000000000001</v>
      </c>
      <c r="R122">
        <v>-229.4</v>
      </c>
      <c r="S122">
        <v>148.80000000000001</v>
      </c>
      <c r="T122">
        <v>142.55000000000001</v>
      </c>
      <c r="U122" s="126">
        <f t="shared" si="61"/>
        <v>-235.65</v>
      </c>
      <c r="V122">
        <v>-89.15</v>
      </c>
      <c r="W122">
        <v>23.490000000000002</v>
      </c>
      <c r="X122">
        <v>35.630000000000003</v>
      </c>
      <c r="Y122" s="126">
        <f t="shared" si="62"/>
        <v>-77.010000000000005</v>
      </c>
      <c r="Z122">
        <v>-256.92</v>
      </c>
      <c r="AA122">
        <v>99.75</v>
      </c>
      <c r="AB122">
        <v>64.320000000000007</v>
      </c>
      <c r="AC122" s="126">
        <f t="shared" si="63"/>
        <v>-292.35000000000002</v>
      </c>
      <c r="AF122" s="128">
        <v>41320</v>
      </c>
      <c r="AG122" s="144">
        <v>-273.71500000000003</v>
      </c>
      <c r="AH122" s="142">
        <f>SUM($AG$1:AG122)/1000</f>
        <v>-145.11703199999997</v>
      </c>
      <c r="AI122" s="142">
        <f t="shared" si="78"/>
        <v>-78.457920999999942</v>
      </c>
      <c r="AM122" s="144">
        <v>-1981.8000000000002</v>
      </c>
      <c r="AN122" s="142">
        <f>SUM($AM$1:AM122)/1000</f>
        <v>-250.66690000000006</v>
      </c>
      <c r="AP122" s="144">
        <v>-733.5</v>
      </c>
      <c r="AQ122" s="145">
        <f>SUM($AP$1:AP122)/1000</f>
        <v>-204.46713</v>
      </c>
      <c r="AT122" s="142">
        <f>SUM($AS$1:AS122)/1000</f>
        <v>-588.35696999999959</v>
      </c>
      <c r="AV122" s="144">
        <v>15027</v>
      </c>
      <c r="BT122" s="124"/>
      <c r="BU122" s="124"/>
      <c r="BV122" s="124"/>
    </row>
    <row r="123" spans="1:81" x14ac:dyDescent="0.2">
      <c r="A123">
        <v>-222.3</v>
      </c>
      <c r="B123">
        <v>231.5</v>
      </c>
      <c r="C123">
        <v>435.3</v>
      </c>
      <c r="D123" s="126">
        <f t="shared" si="57"/>
        <v>-222.09620000000001</v>
      </c>
      <c r="E123">
        <v>37953</v>
      </c>
      <c r="F123">
        <v>15324</v>
      </c>
      <c r="G123">
        <v>12177</v>
      </c>
      <c r="H123" s="126">
        <f t="shared" si="58"/>
        <v>34.805999999999997</v>
      </c>
      <c r="J123">
        <v>-36.9</v>
      </c>
      <c r="K123">
        <v>21.18</v>
      </c>
      <c r="L123">
        <v>-3.95</v>
      </c>
      <c r="M123" s="126">
        <f t="shared" si="59"/>
        <v>-62.03</v>
      </c>
      <c r="N123">
        <v>-75366</v>
      </c>
      <c r="O123">
        <v>13755</v>
      </c>
      <c r="P123">
        <v>29701</v>
      </c>
      <c r="Q123" s="126">
        <f t="shared" si="60"/>
        <v>-59.42</v>
      </c>
      <c r="R123">
        <v>-229.4</v>
      </c>
      <c r="S123">
        <v>151.46</v>
      </c>
      <c r="T123">
        <v>144.74</v>
      </c>
      <c r="U123" s="126">
        <f t="shared" si="61"/>
        <v>-236.12</v>
      </c>
      <c r="V123">
        <v>-82.68</v>
      </c>
      <c r="W123">
        <v>23.91</v>
      </c>
      <c r="X123">
        <v>36.31</v>
      </c>
      <c r="Y123" s="126">
        <f t="shared" si="62"/>
        <v>-70.28</v>
      </c>
      <c r="Z123">
        <v>-257.11</v>
      </c>
      <c r="AA123">
        <v>101.52</v>
      </c>
      <c r="AB123">
        <v>66.52</v>
      </c>
      <c r="AC123" s="126">
        <f t="shared" si="63"/>
        <v>-292.11</v>
      </c>
      <c r="AF123" s="128">
        <v>41348</v>
      </c>
      <c r="AG123" s="144">
        <v>253.179</v>
      </c>
      <c r="AH123" s="142">
        <f>SUM($AG$1:AG123)/1000</f>
        <v>-144.86385299999998</v>
      </c>
      <c r="AI123" s="142">
        <f t="shared" si="78"/>
        <v>-78.204741999999953</v>
      </c>
      <c r="AM123" s="144">
        <v>-1755</v>
      </c>
      <c r="AN123" s="142">
        <f>SUM($AM$1:AM123)/1000</f>
        <v>-252.42190000000005</v>
      </c>
      <c r="AP123" s="144">
        <v>-1297.1000000000001</v>
      </c>
      <c r="AQ123" s="145">
        <f>SUM($AP$1:AP123)/1000</f>
        <v>-205.76423</v>
      </c>
      <c r="AT123" s="142">
        <f>SUM($AS$1:AS123)/1000</f>
        <v>-588.35696999999959</v>
      </c>
      <c r="AV123" s="144">
        <v>20433</v>
      </c>
      <c r="BT123" s="124"/>
      <c r="BU123" s="124"/>
      <c r="BV123" s="124"/>
    </row>
    <row r="124" spans="1:81" x14ac:dyDescent="0.2">
      <c r="A124">
        <v>-219.81</v>
      </c>
      <c r="B124">
        <v>232.8</v>
      </c>
      <c r="C124">
        <v>436.90000000000003</v>
      </c>
      <c r="D124" s="126">
        <f t="shared" si="57"/>
        <v>-219.60589999999999</v>
      </c>
      <c r="E124">
        <v>39711</v>
      </c>
      <c r="F124">
        <v>15412</v>
      </c>
      <c r="G124">
        <v>12203</v>
      </c>
      <c r="H124" s="126">
        <f t="shared" si="58"/>
        <v>36.502000000000002</v>
      </c>
      <c r="J124">
        <v>-39.81</v>
      </c>
      <c r="K124">
        <v>21.3</v>
      </c>
      <c r="L124">
        <v>-4.16</v>
      </c>
      <c r="M124" s="126">
        <f t="shared" si="59"/>
        <v>-65.27000000000001</v>
      </c>
      <c r="N124">
        <v>-83017</v>
      </c>
      <c r="O124">
        <v>13832</v>
      </c>
      <c r="P124">
        <v>29635</v>
      </c>
      <c r="Q124" s="126">
        <f t="shared" si="60"/>
        <v>-67.213999999999999</v>
      </c>
      <c r="R124">
        <v>-229.4</v>
      </c>
      <c r="S124">
        <v>152.35</v>
      </c>
      <c r="T124">
        <v>144.69</v>
      </c>
      <c r="U124" s="126">
        <f t="shared" si="61"/>
        <v>-237.06</v>
      </c>
      <c r="V124">
        <v>-86.5</v>
      </c>
      <c r="W124">
        <v>24.03</v>
      </c>
      <c r="X124">
        <v>38.119999999999997</v>
      </c>
      <c r="Y124" s="126">
        <f t="shared" si="62"/>
        <v>-72.41</v>
      </c>
      <c r="Z124">
        <v>-247.67000000000002</v>
      </c>
      <c r="AA124">
        <v>102.11</v>
      </c>
      <c r="AB124">
        <v>65.44</v>
      </c>
      <c r="AC124" s="126">
        <f t="shared" si="63"/>
        <v>-284.34000000000003</v>
      </c>
      <c r="AF124" s="128">
        <v>41379</v>
      </c>
      <c r="AG124" s="144">
        <v>162.49199999999999</v>
      </c>
      <c r="AH124" s="142">
        <f>SUM($AG$1:AG124)/1000</f>
        <v>-144.70136099999996</v>
      </c>
      <c r="AI124" s="142">
        <f t="shared" si="78"/>
        <v>-78.042249999999939</v>
      </c>
      <c r="AM124" s="144">
        <v>580.70000000000005</v>
      </c>
      <c r="AN124" s="142">
        <f>SUM($AM$1:AM124)/1000</f>
        <v>-251.84120000000004</v>
      </c>
      <c r="AP124" s="144">
        <v>-1186.7</v>
      </c>
      <c r="AQ124" s="145">
        <f>SUM($AP$1:AP124)/1000</f>
        <v>-206.95093000000003</v>
      </c>
      <c r="AT124" s="142">
        <f>SUM($AS$1:AS124)/1000</f>
        <v>-588.35696999999959</v>
      </c>
      <c r="AV124" s="144">
        <v>16703</v>
      </c>
      <c r="BT124" s="124"/>
      <c r="BU124" s="124"/>
      <c r="BV124" s="124"/>
    </row>
    <row r="125" spans="1:81" x14ac:dyDescent="0.2">
      <c r="A125">
        <v>-202.91</v>
      </c>
      <c r="B125">
        <v>233.9</v>
      </c>
      <c r="C125">
        <v>440.8</v>
      </c>
      <c r="D125" s="126">
        <f t="shared" si="57"/>
        <v>-202.70310000000001</v>
      </c>
      <c r="E125">
        <v>33104</v>
      </c>
      <c r="F125">
        <v>15476</v>
      </c>
      <c r="G125">
        <v>12290</v>
      </c>
      <c r="H125" s="126">
        <f t="shared" si="58"/>
        <v>29.917999999999999</v>
      </c>
      <c r="J125">
        <v>-36.340000000000003</v>
      </c>
      <c r="K125">
        <v>21.39</v>
      </c>
      <c r="L125">
        <v>-4.26</v>
      </c>
      <c r="M125" s="126">
        <f t="shared" si="59"/>
        <v>-61.99</v>
      </c>
      <c r="N125">
        <v>-83268</v>
      </c>
      <c r="O125">
        <v>13881</v>
      </c>
      <c r="P125">
        <v>29935</v>
      </c>
      <c r="Q125" s="126">
        <f t="shared" si="60"/>
        <v>-67.213999999999999</v>
      </c>
      <c r="R125">
        <v>-229.4</v>
      </c>
      <c r="S125">
        <v>152.96</v>
      </c>
      <c r="T125">
        <v>143.56</v>
      </c>
      <c r="U125" s="126">
        <f t="shared" si="61"/>
        <v>-238.8</v>
      </c>
      <c r="V125">
        <v>-77.14</v>
      </c>
      <c r="W125">
        <v>24.13</v>
      </c>
      <c r="X125">
        <v>36.950000000000003</v>
      </c>
      <c r="Y125" s="126">
        <f t="shared" si="62"/>
        <v>-64.319999999999993</v>
      </c>
      <c r="Z125">
        <v>-242.51</v>
      </c>
      <c r="AA125">
        <v>102.51</v>
      </c>
      <c r="AB125">
        <v>64.900000000000006</v>
      </c>
      <c r="AC125" s="126">
        <f t="shared" si="63"/>
        <v>-280.12</v>
      </c>
      <c r="AF125" s="128">
        <v>41409</v>
      </c>
      <c r="AG125" s="144">
        <v>-439.35500000000002</v>
      </c>
      <c r="AH125" s="142">
        <f>SUM($AG$1:AG125)/1000</f>
        <v>-145.140716</v>
      </c>
      <c r="AI125" s="142">
        <f t="shared" si="78"/>
        <v>-78.481604999999973</v>
      </c>
      <c r="AM125" s="144">
        <v>588</v>
      </c>
      <c r="AN125" s="142">
        <f>SUM($AM$1:AM125)/1000</f>
        <v>-251.25320000000005</v>
      </c>
      <c r="AP125" s="144">
        <v>35.5</v>
      </c>
      <c r="AQ125" s="145">
        <f>SUM($AP$1:AP125)/1000</f>
        <v>-206.91543000000001</v>
      </c>
      <c r="AT125" s="142">
        <f>SUM($AS$1:AS125)/1000</f>
        <v>-588.35696999999959</v>
      </c>
      <c r="AV125" s="144">
        <v>11245</v>
      </c>
      <c r="BT125" s="124"/>
      <c r="BU125" s="124"/>
      <c r="BV125" s="124"/>
    </row>
    <row r="126" spans="1:81" x14ac:dyDescent="0.2">
      <c r="A126" s="156">
        <v>-194.74</v>
      </c>
      <c r="B126" s="156">
        <v>235.4</v>
      </c>
      <c r="C126" s="156">
        <v>443.6</v>
      </c>
      <c r="D126" s="154">
        <f t="shared" si="57"/>
        <v>-194.5318</v>
      </c>
      <c r="E126" s="156">
        <v>27687</v>
      </c>
      <c r="F126" s="156">
        <v>15581</v>
      </c>
      <c r="G126" s="156">
        <v>12411</v>
      </c>
      <c r="H126" s="154">
        <f t="shared" si="58"/>
        <v>24.516999999999999</v>
      </c>
      <c r="I126" s="156"/>
      <c r="J126" s="156">
        <v>-35.97</v>
      </c>
      <c r="K126" s="156">
        <v>21.53</v>
      </c>
      <c r="L126" s="156">
        <v>-4.29</v>
      </c>
      <c r="M126" s="154">
        <f t="shared" si="59"/>
        <v>-61.79</v>
      </c>
      <c r="N126" s="156">
        <v>-72404</v>
      </c>
      <c r="O126" s="156">
        <v>13964</v>
      </c>
      <c r="P126" s="156">
        <v>30005</v>
      </c>
      <c r="Q126" s="154">
        <f t="shared" si="60"/>
        <v>-56.363</v>
      </c>
      <c r="R126" s="156">
        <v>-229.4</v>
      </c>
      <c r="S126" s="156">
        <v>153.95000000000002</v>
      </c>
      <c r="T126" s="156">
        <v>143.43</v>
      </c>
      <c r="U126" s="154">
        <f t="shared" si="61"/>
        <v>-239.92000000000002</v>
      </c>
      <c r="V126" s="156">
        <v>-70.600000000000009</v>
      </c>
      <c r="W126" s="156">
        <v>24.29</v>
      </c>
      <c r="X126" s="156">
        <v>36.71</v>
      </c>
      <c r="Y126" s="154">
        <f t="shared" si="62"/>
        <v>-58.180000000000007</v>
      </c>
      <c r="Z126" s="156">
        <v>-239.99</v>
      </c>
      <c r="AA126" s="156">
        <v>103.17</v>
      </c>
      <c r="AB126" s="156">
        <v>65.34</v>
      </c>
      <c r="AC126" s="154">
        <f t="shared" si="63"/>
        <v>-277.82</v>
      </c>
      <c r="AD126" s="156"/>
      <c r="AE126" s="156"/>
      <c r="AF126" s="167">
        <v>41440</v>
      </c>
      <c r="AG126" s="168">
        <v>172.749</v>
      </c>
      <c r="AH126" s="142">
        <f>SUM($AG$1:AG126)/1000</f>
        <v>-144.96796699999999</v>
      </c>
      <c r="AI126" s="142">
        <f t="shared" si="78"/>
        <v>-78.308855999999963</v>
      </c>
      <c r="AJ126" s="168"/>
      <c r="AK126" s="169"/>
      <c r="AL126" s="169"/>
      <c r="AM126" s="168">
        <v>3092</v>
      </c>
      <c r="AN126" s="142">
        <f>SUM($AM$1:AM126)/1000</f>
        <v>-248.16120000000004</v>
      </c>
      <c r="AO126" s="169"/>
      <c r="AP126" s="168">
        <v>663.1</v>
      </c>
      <c r="AQ126" s="145">
        <f>SUM($AP$1:AP126)/1000</f>
        <v>-206.25233000000003</v>
      </c>
      <c r="AR126" s="169"/>
      <c r="AS126" s="168"/>
      <c r="AT126" s="142">
        <f>SUM($AS$1:AS126)/1000</f>
        <v>-588.35696999999959</v>
      </c>
      <c r="AU126" s="169"/>
      <c r="AV126" s="168">
        <v>17322</v>
      </c>
      <c r="AW126" s="169"/>
      <c r="AX126" s="169"/>
      <c r="BT126" s="124"/>
      <c r="BU126" s="124"/>
      <c r="BV126" s="124"/>
    </row>
    <row r="127" spans="1:81" x14ac:dyDescent="0.2">
      <c r="AF127" s="128">
        <v>41470</v>
      </c>
      <c r="BT127" s="124"/>
      <c r="BU127" s="124"/>
      <c r="BV127" s="124"/>
    </row>
    <row r="128" spans="1:81" x14ac:dyDescent="0.2">
      <c r="AF128" s="128">
        <v>41501</v>
      </c>
      <c r="BT128" s="124"/>
      <c r="BU128" s="124"/>
      <c r="BV128" s="124"/>
    </row>
    <row r="129" spans="34:74" x14ac:dyDescent="0.2">
      <c r="BT129" s="124"/>
      <c r="BU129" s="124"/>
      <c r="BV129" s="124"/>
    </row>
    <row r="130" spans="34:74" x14ac:dyDescent="0.2">
      <c r="AH130" s="142">
        <f>AH60-M60</f>
        <v>-66.659111000000024</v>
      </c>
      <c r="AK130" s="142">
        <f>AK60-Q60</f>
        <v>-24.655790599758042</v>
      </c>
      <c r="AN130" s="129">
        <f>AN60-U60</f>
        <v>-88.194099999999992</v>
      </c>
      <c r="AQ130" s="129">
        <f>AQ60-Y60</f>
        <v>-83.335600000000014</v>
      </c>
      <c r="AT130" s="142">
        <f>AT60-AC60</f>
        <v>-333.14844999999991</v>
      </c>
      <c r="AW130" s="142">
        <f>AW60-D60</f>
        <v>570.5145</v>
      </c>
      <c r="BT130" s="124"/>
      <c r="BU130" s="124"/>
      <c r="BV130" s="124"/>
    </row>
    <row r="131" spans="34:74" x14ac:dyDescent="0.2">
      <c r="BT131" s="124"/>
      <c r="BU131" s="124"/>
      <c r="BV131" s="124"/>
    </row>
    <row r="132" spans="34:74" x14ac:dyDescent="0.2">
      <c r="BT132" s="124"/>
      <c r="BU132" s="124"/>
      <c r="BV132" s="124"/>
    </row>
    <row r="133" spans="34:74" x14ac:dyDescent="0.2">
      <c r="BT133" s="124"/>
      <c r="BU133" s="124"/>
      <c r="BV133" s="124"/>
    </row>
    <row r="134" spans="34:74" x14ac:dyDescent="0.2">
      <c r="BT134" s="124"/>
      <c r="BU134" s="124"/>
      <c r="BV134" s="124"/>
    </row>
    <row r="135" spans="34:74" x14ac:dyDescent="0.2">
      <c r="BT135" s="124"/>
      <c r="BU135" s="124"/>
      <c r="BV135" s="124"/>
    </row>
    <row r="136" spans="34:74" x14ac:dyDescent="0.2">
      <c r="BT136" s="124"/>
      <c r="BU136" s="124"/>
      <c r="BV136" s="124"/>
    </row>
    <row r="137" spans="34:74" x14ac:dyDescent="0.2">
      <c r="BT137" s="124"/>
      <c r="BU137" s="124"/>
      <c r="BV137" s="124"/>
    </row>
    <row r="138" spans="34:74" x14ac:dyDescent="0.2">
      <c r="BT138" s="124"/>
      <c r="BU138" s="124"/>
      <c r="BV138" s="124"/>
    </row>
    <row r="139" spans="34:74" x14ac:dyDescent="0.2">
      <c r="BT139" s="124"/>
      <c r="BU139" s="124"/>
      <c r="BV139" s="124"/>
    </row>
    <row r="140" spans="34:74" x14ac:dyDescent="0.2">
      <c r="AH140" s="146">
        <v>37667</v>
      </c>
      <c r="AI140" s="142">
        <v>2</v>
      </c>
      <c r="AJ140" s="148">
        <v>37667</v>
      </c>
      <c r="AK140" s="142">
        <v>-753</v>
      </c>
      <c r="AL140" s="142">
        <f>AK140/1000</f>
        <v>-0.753</v>
      </c>
      <c r="AM140" s="144">
        <v>1</v>
      </c>
      <c r="AN140" s="143">
        <f>_xll.SRS1Splines.Functions.Cubic_Spline($AI$140:$AI$177,$AL$140:$AL$177,AM140)</f>
        <v>-0.79475749235906146</v>
      </c>
      <c r="AO140" s="142">
        <f>_xll.SRS1Splines.Functions.Cubic_Spline($C$7:$C$16,$D$7:$D$16,F7)</f>
        <v>-287171513138.01257</v>
      </c>
      <c r="BT140" s="124"/>
      <c r="BU140" s="124"/>
      <c r="BV140" s="124"/>
    </row>
    <row r="141" spans="34:74" x14ac:dyDescent="0.2">
      <c r="AH141" s="146">
        <v>37695</v>
      </c>
      <c r="AI141" s="142">
        <f>AI140+3</f>
        <v>5</v>
      </c>
      <c r="AJ141" s="148">
        <v>37756</v>
      </c>
      <c r="AK141" s="142">
        <v>88</v>
      </c>
      <c r="AL141" s="145">
        <f>SUM($AK$140:AK141)/1000</f>
        <v>-0.66500000000000004</v>
      </c>
      <c r="AM141" s="144">
        <v>2</v>
      </c>
      <c r="AN141" s="143">
        <f>_xll.SRS1Splines.Functions.Cubic_Spline($AI$140:$AI$177,$AL$140:$AL$177,AM141)</f>
        <v>-0.753</v>
      </c>
      <c r="BT141" s="124"/>
      <c r="BU141" s="124"/>
      <c r="BV141" s="124"/>
    </row>
    <row r="142" spans="34:74" x14ac:dyDescent="0.2">
      <c r="AH142" s="146">
        <v>37726</v>
      </c>
      <c r="AI142" s="142">
        <f t="shared" ref="AI142:AI177" si="79">AI141+3</f>
        <v>8</v>
      </c>
      <c r="AJ142" s="148">
        <v>37848</v>
      </c>
      <c r="AK142" s="142">
        <v>103</v>
      </c>
      <c r="AL142" s="145">
        <f>SUM($AK$140:AK142)/1000</f>
        <v>-0.56200000000000006</v>
      </c>
      <c r="AM142" s="144">
        <f t="shared" ref="AM142:AM205" si="80">AM141+1</f>
        <v>3</v>
      </c>
      <c r="AN142" s="143">
        <f>_xll.SRS1Splines.Functions.Cubic_Spline($AI$140:$AI$177,$AL$140:$AL$177,AM142)</f>
        <v>-0.71124250764093855</v>
      </c>
      <c r="BT142" s="124"/>
      <c r="BU142" s="124"/>
      <c r="BV142" s="124"/>
    </row>
    <row r="143" spans="34:74" x14ac:dyDescent="0.2">
      <c r="AH143" s="146">
        <v>37756</v>
      </c>
      <c r="AI143" s="142">
        <f t="shared" si="79"/>
        <v>11</v>
      </c>
      <c r="AJ143" s="148">
        <v>37940</v>
      </c>
      <c r="AK143" s="142">
        <v>560</v>
      </c>
      <c r="AL143" s="145">
        <f>SUM($AK$140:AK143)/1000</f>
        <v>-2E-3</v>
      </c>
      <c r="AM143" s="144">
        <f t="shared" si="80"/>
        <v>4</v>
      </c>
      <c r="AN143" s="143">
        <f>_xll.SRS1Splines.Functions.Cubic_Spline($AI$140:$AI$177,$AL$140:$AL$177,AM143)</f>
        <v>-0.67880313455117325</v>
      </c>
      <c r="BT143" s="124"/>
      <c r="BU143" s="124"/>
      <c r="BV143" s="124"/>
    </row>
    <row r="144" spans="34:74" x14ac:dyDescent="0.2">
      <c r="AH144" s="146">
        <v>37787</v>
      </c>
      <c r="AI144" s="142">
        <f t="shared" si="79"/>
        <v>14</v>
      </c>
      <c r="AJ144" s="148">
        <v>38032</v>
      </c>
      <c r="AK144" s="142">
        <v>-107</v>
      </c>
      <c r="AL144" s="145">
        <f>SUM($AK$140:AK144)/1000</f>
        <v>-0.109</v>
      </c>
      <c r="AM144" s="144">
        <f t="shared" si="80"/>
        <v>5</v>
      </c>
      <c r="AN144" s="143">
        <f>_xll.SRS1Splines.Functions.Cubic_Spline($AI$140:$AI$177,$AL$140:$AL$177,AM144)</f>
        <v>-0.66500000000000004</v>
      </c>
      <c r="BT144" s="124"/>
      <c r="BU144" s="124"/>
      <c r="BV144" s="124"/>
    </row>
    <row r="145" spans="34:74" x14ac:dyDescent="0.2">
      <c r="AH145" s="146">
        <v>37817</v>
      </c>
      <c r="AI145" s="142">
        <f t="shared" si="79"/>
        <v>17</v>
      </c>
      <c r="AJ145" s="148">
        <v>38122</v>
      </c>
      <c r="AK145" s="142">
        <v>-149</v>
      </c>
      <c r="AL145" s="145">
        <f>SUM($AK$140:AK145)/1000</f>
        <v>-0.25800000000000001</v>
      </c>
      <c r="AM145" s="144">
        <f t="shared" si="80"/>
        <v>6</v>
      </c>
      <c r="AN145" s="143">
        <f>_xll.SRS1Splines.Functions.Cubic_Spline($AI$140:$AI$177,$AL$140:$AL$177,AM145)</f>
        <v>-0.66927754843186349</v>
      </c>
      <c r="BT145" s="124"/>
      <c r="BU145" s="124"/>
      <c r="BV145" s="124"/>
    </row>
    <row r="146" spans="34:74" x14ac:dyDescent="0.2">
      <c r="AH146" s="146">
        <v>37848</v>
      </c>
      <c r="AI146" s="142">
        <f t="shared" si="79"/>
        <v>20</v>
      </c>
      <c r="AJ146" s="148">
        <v>38214</v>
      </c>
      <c r="AK146" s="142">
        <v>-359</v>
      </c>
      <c r="AL146" s="145">
        <f>SUM($AK$140:AK146)/1000</f>
        <v>-0.61699999999999999</v>
      </c>
      <c r="AM146" s="144">
        <f t="shared" si="80"/>
        <v>7</v>
      </c>
      <c r="AN146" s="143">
        <f>_xll.SRS1Splines.Functions.Cubic_Spline($AI$140:$AI$177,$AL$140:$AL$177,AM146)</f>
        <v>-0.65158552499180145</v>
      </c>
      <c r="BT146" s="124"/>
      <c r="BU146" s="124"/>
      <c r="BV146" s="124"/>
    </row>
    <row r="147" spans="34:74" x14ac:dyDescent="0.2">
      <c r="AH147" s="146">
        <v>37879</v>
      </c>
      <c r="AI147" s="142">
        <f t="shared" si="79"/>
        <v>23</v>
      </c>
      <c r="AJ147" s="148">
        <v>38306</v>
      </c>
      <c r="AK147" s="142">
        <v>-252</v>
      </c>
      <c r="AL147" s="145">
        <f>SUM($AK$140:AK147)/1000</f>
        <v>-0.86899999999999999</v>
      </c>
      <c r="AM147" s="144">
        <f t="shared" si="80"/>
        <v>8</v>
      </c>
      <c r="AN147" s="143">
        <f>_xll.SRS1Splines.Functions.Cubic_Spline($AI$140:$AI$177,$AL$140:$AL$177,AM147)</f>
        <v>-0.56200000000000006</v>
      </c>
      <c r="BT147" s="124"/>
      <c r="BU147" s="124"/>
      <c r="BV147" s="124"/>
    </row>
    <row r="148" spans="34:74" x14ac:dyDescent="0.2">
      <c r="AH148" s="146">
        <v>37909</v>
      </c>
      <c r="AI148" s="142">
        <f t="shared" si="79"/>
        <v>26</v>
      </c>
      <c r="AJ148" s="148">
        <v>38398</v>
      </c>
      <c r="AK148" s="142">
        <v>-2009</v>
      </c>
      <c r="AL148" s="145">
        <f>SUM($AK$140:AK148)/1000</f>
        <v>-2.8780000000000001</v>
      </c>
      <c r="AM148" s="144">
        <f t="shared" si="80"/>
        <v>9</v>
      </c>
      <c r="AN148" s="143">
        <f>_xll.SRS1Splines.Functions.Cubic_Spline($AI$140:$AI$177,$AL$140:$AL$177,AM148)</f>
        <v>-0.37427692826123743</v>
      </c>
      <c r="BT148" s="124"/>
      <c r="BU148" s="124"/>
      <c r="BV148" s="124"/>
    </row>
    <row r="149" spans="34:74" x14ac:dyDescent="0.2">
      <c r="AH149" s="146">
        <v>37940</v>
      </c>
      <c r="AI149" s="142">
        <f t="shared" si="79"/>
        <v>29</v>
      </c>
      <c r="AJ149" s="148">
        <v>38487</v>
      </c>
      <c r="AK149" s="142">
        <v>-1250</v>
      </c>
      <c r="AL149" s="145">
        <f>SUM($AK$140:AK149)/1000</f>
        <v>-4.1280000000000001</v>
      </c>
      <c r="AM149" s="144">
        <f t="shared" si="80"/>
        <v>10</v>
      </c>
      <c r="AN149" s="143">
        <f>_xll.SRS1Splines.Functions.Cubic_Spline($AI$140:$AI$177,$AL$140:$AL$177,AM149)</f>
        <v>-0.1568918025186585</v>
      </c>
      <c r="BT149" s="124"/>
      <c r="BU149" s="124"/>
      <c r="BV149" s="124"/>
    </row>
    <row r="150" spans="34:74" x14ac:dyDescent="0.2">
      <c r="AH150" s="146">
        <v>37970</v>
      </c>
      <c r="AI150" s="142">
        <f t="shared" si="79"/>
        <v>32</v>
      </c>
      <c r="AJ150" s="148">
        <v>38579</v>
      </c>
      <c r="AK150" s="142">
        <v>-1215</v>
      </c>
      <c r="AL150" s="145">
        <f>SUM($AK$140:AK150)/1000</f>
        <v>-5.343</v>
      </c>
      <c r="AM150" s="144">
        <f t="shared" si="80"/>
        <v>11</v>
      </c>
      <c r="AN150" s="143">
        <f>_xll.SRS1Splines.Functions.Cubic_Spline($AI$140:$AI$177,$AL$140:$AL$177,AM150)</f>
        <v>-2E-3</v>
      </c>
      <c r="BT150" s="124"/>
      <c r="BU150" s="124"/>
      <c r="BV150" s="124"/>
    </row>
    <row r="151" spans="34:74" x14ac:dyDescent="0.2">
      <c r="AH151" s="146">
        <v>38001</v>
      </c>
      <c r="AI151" s="142">
        <f t="shared" si="79"/>
        <v>35</v>
      </c>
      <c r="AJ151" s="148">
        <v>38671</v>
      </c>
      <c r="AK151" s="142">
        <v>-1216</v>
      </c>
      <c r="AL151" s="145">
        <f>SUM($AK$140:AK151)/1000</f>
        <v>-6.5590000000000002</v>
      </c>
      <c r="AM151" s="144">
        <f t="shared" si="80"/>
        <v>12</v>
      </c>
      <c r="AN151" s="143">
        <f>_xll.SRS1Splines.Functions.Cubic_Spline($AI$140:$AI$177,$AL$140:$AL$177,AM151)</f>
        <v>2.5088965180516763E-2</v>
      </c>
      <c r="BT151" s="124"/>
      <c r="BU151" s="124"/>
      <c r="BV151" s="124"/>
    </row>
    <row r="152" spans="34:74" x14ac:dyDescent="0.2">
      <c r="AH152" s="146">
        <v>38032</v>
      </c>
      <c r="AI152" s="142">
        <f t="shared" si="79"/>
        <v>38</v>
      </c>
      <c r="AJ152" s="148">
        <v>38763</v>
      </c>
      <c r="AK152" s="142">
        <v>-2302</v>
      </c>
      <c r="AL152" s="145">
        <f>SUM($AK$140:AK152)/1000</f>
        <v>-8.8610000000000007</v>
      </c>
      <c r="AM152" s="144">
        <f t="shared" si="80"/>
        <v>13</v>
      </c>
      <c r="AN152" s="143">
        <f>_xll.SRS1Splines.Functions.Cubic_Spline($AI$140:$AI$177,$AL$140:$AL$177,AM152)</f>
        <v>-3.3550968637268322E-2</v>
      </c>
      <c r="BT152" s="124"/>
      <c r="BU152" s="124"/>
      <c r="BV152" s="124"/>
    </row>
    <row r="153" spans="34:74" x14ac:dyDescent="0.2">
      <c r="AH153" s="146">
        <v>38061</v>
      </c>
      <c r="AI153" s="142">
        <f t="shared" si="79"/>
        <v>41</v>
      </c>
      <c r="AJ153" s="148">
        <v>38852</v>
      </c>
      <c r="AK153" s="142">
        <v>-1437</v>
      </c>
      <c r="AL153" s="145">
        <f>SUM($AK$140:AK153)/1000</f>
        <v>-10.298</v>
      </c>
      <c r="AM153" s="144">
        <f t="shared" si="80"/>
        <v>14</v>
      </c>
      <c r="AN153" s="143">
        <f>_xll.SRS1Splines.Functions.Cubic_Spline($AI$140:$AI$177,$AL$140:$AL$177,AM153)</f>
        <v>-0.109</v>
      </c>
      <c r="BT153" s="124"/>
      <c r="BU153" s="124"/>
      <c r="BV153" s="124"/>
    </row>
    <row r="154" spans="34:74" x14ac:dyDescent="0.2">
      <c r="AH154" s="146">
        <v>38092</v>
      </c>
      <c r="AI154" s="142">
        <f t="shared" si="79"/>
        <v>44</v>
      </c>
      <c r="AJ154" s="148">
        <v>38944</v>
      </c>
      <c r="AK154" s="142">
        <v>-1227</v>
      </c>
      <c r="AL154" s="145">
        <f>SUM($AK$140:AK154)/1000</f>
        <v>-11.525</v>
      </c>
      <c r="AM154" s="144">
        <f t="shared" si="80"/>
        <v>15</v>
      </c>
      <c r="AN154" s="143">
        <f>_xll.SRS1Splines.Functions.Cubic_Spline($AI$140:$AI$177,$AL$140:$AL$177,AM154)</f>
        <v>-0.15126411764601477</v>
      </c>
      <c r="BT154" s="124"/>
      <c r="BU154" s="124"/>
      <c r="BV154" s="124"/>
    </row>
    <row r="155" spans="34:74" x14ac:dyDescent="0.2">
      <c r="AH155" s="146">
        <v>38122</v>
      </c>
      <c r="AI155" s="142">
        <f t="shared" si="79"/>
        <v>47</v>
      </c>
      <c r="AJ155" s="148">
        <v>39036</v>
      </c>
      <c r="AK155" s="142">
        <v>-1338</v>
      </c>
      <c r="AL155" s="145">
        <f>SUM($AK$140:AK155)/1000</f>
        <v>-12.863</v>
      </c>
      <c r="AM155" s="144">
        <f t="shared" si="80"/>
        <v>16</v>
      </c>
      <c r="AN155" s="143">
        <f>_xll.SRS1Splines.Functions.Cubic_Spline($AI$140:$AI$177,$AL$140:$AL$177,AM155)</f>
        <v>-0.18605247108041631</v>
      </c>
      <c r="BT155" s="124"/>
      <c r="BU155" s="124"/>
      <c r="BV155" s="124"/>
    </row>
    <row r="156" spans="34:74" x14ac:dyDescent="0.2">
      <c r="AH156" s="146">
        <v>38153</v>
      </c>
      <c r="AI156" s="142">
        <f t="shared" si="79"/>
        <v>50</v>
      </c>
      <c r="AJ156" s="148">
        <v>39128</v>
      </c>
      <c r="AK156" s="142">
        <v>-3624</v>
      </c>
      <c r="AL156" s="145">
        <f>SUM($AK$140:AK156)/1000</f>
        <v>-16.486999999999998</v>
      </c>
      <c r="AM156" s="144">
        <f t="shared" si="80"/>
        <v>17</v>
      </c>
      <c r="AN156" s="143">
        <f>_xll.SRS1Splines.Functions.Cubic_Spline($AI$140:$AI$177,$AL$140:$AL$177,AM156)</f>
        <v>-0.25800000000000001</v>
      </c>
      <c r="BT156" s="124"/>
      <c r="BU156" s="124"/>
      <c r="BV156" s="124"/>
    </row>
    <row r="157" spans="34:74" x14ac:dyDescent="0.2">
      <c r="AH157" s="146">
        <v>38183</v>
      </c>
      <c r="AI157" s="142">
        <f t="shared" si="79"/>
        <v>53</v>
      </c>
      <c r="AJ157" s="148">
        <v>39217</v>
      </c>
      <c r="AK157" s="142">
        <v>-2096</v>
      </c>
      <c r="AL157" s="145">
        <f>SUM($AK$140:AK157)/1000</f>
        <v>-18.582999999999998</v>
      </c>
      <c r="AM157" s="144">
        <f t="shared" si="80"/>
        <v>18</v>
      </c>
      <c r="AN157" s="143">
        <f>_xll.SRS1Splines.Functions.Cubic_Spline($AI$140:$AI$177,$AL$140:$AL$177,AM157)</f>
        <v>-0.39225471681867979</v>
      </c>
      <c r="BT157" s="124"/>
      <c r="BU157" s="124"/>
      <c r="BV157" s="124"/>
    </row>
    <row r="158" spans="34:74" x14ac:dyDescent="0.2">
      <c r="AH158" s="146">
        <v>38214</v>
      </c>
      <c r="AI158" s="142">
        <f t="shared" si="79"/>
        <v>56</v>
      </c>
      <c r="AJ158" s="148">
        <v>39309</v>
      </c>
      <c r="AK158" s="142">
        <v>-1641</v>
      </c>
      <c r="AL158" s="145">
        <f>SUM($AK$140:AK158)/1000</f>
        <v>-20.224</v>
      </c>
      <c r="AM158" s="144">
        <f t="shared" si="80"/>
        <v>19</v>
      </c>
      <c r="AN158" s="143">
        <f>_xll.SRS1Splines.Functions.Cubic_Spline($AI$140:$AI$177,$AL$140:$AL$177,AM158)</f>
        <v>-0.53601692481884411</v>
      </c>
      <c r="BT158" s="124"/>
      <c r="BU158" s="124"/>
      <c r="BV158" s="124"/>
    </row>
    <row r="159" spans="34:74" x14ac:dyDescent="0.2">
      <c r="AH159" s="146">
        <v>38245</v>
      </c>
      <c r="AI159" s="142">
        <f t="shared" si="79"/>
        <v>59</v>
      </c>
      <c r="AJ159" s="148">
        <v>39401</v>
      </c>
      <c r="AK159" s="142">
        <v>-2763</v>
      </c>
      <c r="AL159" s="145">
        <f>SUM($AK$140:AK159)/1000</f>
        <v>-22.986999999999998</v>
      </c>
      <c r="AM159" s="144">
        <f t="shared" si="80"/>
        <v>20</v>
      </c>
      <c r="AN159" s="143">
        <f>_xll.SRS1Splines.Functions.Cubic_Spline($AI$140:$AI$177,$AL$140:$AL$177,AM159)</f>
        <v>-0.61699999999999999</v>
      </c>
      <c r="BT159" s="124"/>
      <c r="BU159" s="124"/>
      <c r="BV159" s="124"/>
    </row>
    <row r="160" spans="34:74" x14ac:dyDescent="0.2">
      <c r="AH160" s="146">
        <v>38275</v>
      </c>
      <c r="AI160" s="142">
        <f t="shared" si="79"/>
        <v>62</v>
      </c>
      <c r="AJ160" s="148">
        <v>39493</v>
      </c>
      <c r="AK160" s="142">
        <v>-3997</v>
      </c>
      <c r="AL160" s="145">
        <f>SUM($AK$140:AK160)/1000</f>
        <v>-26.984000000000002</v>
      </c>
      <c r="AM160" s="144">
        <f t="shared" si="80"/>
        <v>21</v>
      </c>
      <c r="AN160" s="143">
        <f>_xll.SRS1Splines.Functions.Cubic_Spline($AI$140:$AI$177,$AL$140:$AL$177,AM160)</f>
        <v>-0.60397627433852508</v>
      </c>
      <c r="BT160" s="124"/>
      <c r="BU160" s="124"/>
      <c r="BV160" s="124"/>
    </row>
    <row r="161" spans="34:74" x14ac:dyDescent="0.2">
      <c r="AH161" s="146">
        <v>38306</v>
      </c>
      <c r="AI161" s="142">
        <f t="shared" si="79"/>
        <v>65</v>
      </c>
      <c r="AJ161" s="148">
        <v>39583</v>
      </c>
      <c r="AK161" s="142">
        <v>-2563</v>
      </c>
      <c r="AL161" s="145">
        <f>SUM($AK$140:AK161)/1000</f>
        <v>-29.547000000000001</v>
      </c>
      <c r="AM161" s="144">
        <f t="shared" si="80"/>
        <v>22</v>
      </c>
      <c r="AN161" s="143">
        <f>_xll.SRS1Splines.Functions.Cubic_Spline($AI$140:$AI$177,$AL$140:$AL$177,AM161)</f>
        <v>-0.62995390371828097</v>
      </c>
      <c r="BT161" s="124"/>
      <c r="BU161" s="124"/>
      <c r="BV161" s="124"/>
    </row>
    <row r="162" spans="34:74" x14ac:dyDescent="0.2">
      <c r="AH162" s="146">
        <v>38336</v>
      </c>
      <c r="AI162" s="142">
        <f t="shared" si="79"/>
        <v>68</v>
      </c>
      <c r="AJ162" s="148">
        <v>39675</v>
      </c>
      <c r="AK162" s="142">
        <v>-2976</v>
      </c>
      <c r="AL162" s="145">
        <f>SUM($AK$140:AK162)/1000</f>
        <v>-32.523000000000003</v>
      </c>
      <c r="AM162" s="144">
        <f t="shared" si="80"/>
        <v>23</v>
      </c>
      <c r="AN162" s="143">
        <f>_xll.SRS1Splines.Functions.Cubic_Spline($AI$140:$AI$177,$AL$140:$AL$177,AM162)</f>
        <v>-0.86899999999999999</v>
      </c>
      <c r="BT162" s="124"/>
      <c r="BU162" s="124"/>
      <c r="BV162" s="124"/>
    </row>
    <row r="163" spans="34:74" x14ac:dyDescent="0.2">
      <c r="AH163" s="146">
        <v>38367</v>
      </c>
      <c r="AI163" s="142">
        <f t="shared" si="79"/>
        <v>71</v>
      </c>
      <c r="AJ163" s="148">
        <v>39767</v>
      </c>
      <c r="AK163" s="142">
        <v>-633</v>
      </c>
      <c r="AL163" s="145">
        <f>SUM($AK$140:AK163)/1000</f>
        <v>-33.155999999999999</v>
      </c>
      <c r="AM163" s="144">
        <f t="shared" si="80"/>
        <v>24</v>
      </c>
      <c r="AN163" s="143">
        <f>_xll.SRS1Splines.Functions.Cubic_Spline($AI$140:$AI$177,$AL$140:$AL$177,AM163)</f>
        <v>-1.4312105561975899</v>
      </c>
      <c r="BT163" s="124"/>
      <c r="BU163" s="124"/>
      <c r="BV163" s="124"/>
    </row>
    <row r="164" spans="34:74" x14ac:dyDescent="0.2">
      <c r="AH164" s="146">
        <v>38398</v>
      </c>
      <c r="AI164" s="142">
        <f t="shared" si="79"/>
        <v>74</v>
      </c>
      <c r="AJ164" s="148">
        <v>39859</v>
      </c>
      <c r="AK164" s="142">
        <v>-2323</v>
      </c>
      <c r="AL164" s="145">
        <f>SUM($AK$140:AK164)/1000</f>
        <v>-35.478999999999999</v>
      </c>
      <c r="AM164" s="144">
        <f t="shared" si="80"/>
        <v>25</v>
      </c>
      <c r="AN164" s="143">
        <f>_xll.SRS1Splines.Functions.Cubic_Spline($AI$140:$AI$177,$AL$140:$AL$177,AM164)</f>
        <v>-2.1707970899376612</v>
      </c>
      <c r="BT164" s="124"/>
      <c r="BU164" s="124"/>
      <c r="BV164" s="124"/>
    </row>
    <row r="165" spans="34:74" x14ac:dyDescent="0.2">
      <c r="AH165" s="146">
        <v>38426</v>
      </c>
      <c r="AI165" s="142">
        <f t="shared" si="79"/>
        <v>77</v>
      </c>
      <c r="AJ165" s="148">
        <v>39948</v>
      </c>
      <c r="AK165" s="142">
        <v>-1199</v>
      </c>
      <c r="AL165" s="145">
        <f>SUM($AK$140:AK165)/1000</f>
        <v>-36.677999999999997</v>
      </c>
      <c r="AM165" s="144">
        <f t="shared" si="80"/>
        <v>26</v>
      </c>
      <c r="AN165" s="143">
        <f>_xll.SRS1Splines.Functions.Cubic_Spline($AI$140:$AI$177,$AL$140:$AL$177,AM165)</f>
        <v>-2.8780000000000001</v>
      </c>
      <c r="BT165" s="124"/>
      <c r="BU165" s="124"/>
      <c r="BV165" s="124"/>
    </row>
    <row r="166" spans="34:74" x14ac:dyDescent="0.2">
      <c r="AH166" s="146">
        <v>38457</v>
      </c>
      <c r="AI166" s="142">
        <f t="shared" si="79"/>
        <v>80</v>
      </c>
      <c r="AJ166" s="148">
        <v>40040</v>
      </c>
      <c r="AK166" s="142">
        <v>-322</v>
      </c>
      <c r="AL166" s="145">
        <f>SUM($AK$140:AK166)/1000</f>
        <v>-37</v>
      </c>
      <c r="AM166" s="144">
        <f t="shared" si="80"/>
        <v>27</v>
      </c>
      <c r="AN166" s="143">
        <f>_xll.SRS1Splines.Functions.Cubic_Spline($AI$140:$AI$177,$AL$140:$AL$177,AM166)</f>
        <v>-3.3956629823525968</v>
      </c>
      <c r="BT166" s="124"/>
      <c r="BU166" s="124"/>
      <c r="BV166" s="124"/>
    </row>
    <row r="167" spans="34:74" x14ac:dyDescent="0.2">
      <c r="AH167" s="146">
        <v>38487</v>
      </c>
      <c r="AI167" s="142">
        <f t="shared" si="79"/>
        <v>83</v>
      </c>
      <c r="AJ167" s="148">
        <v>40132</v>
      </c>
      <c r="AK167" s="142">
        <v>81</v>
      </c>
      <c r="AL167" s="145">
        <f>SUM($AK$140:AK167)/1000</f>
        <v>-36.918999999999997</v>
      </c>
      <c r="AM167" s="144">
        <f t="shared" si="80"/>
        <v>28</v>
      </c>
      <c r="AN167" s="143">
        <f>_xll.SRS1Splines.Functions.Cubic_Spline($AI$140:$AI$177,$AL$140:$AL$177,AM167)</f>
        <v>-3.7770429217162595</v>
      </c>
      <c r="BT167" s="124"/>
      <c r="BU167" s="124"/>
      <c r="BV167" s="124"/>
    </row>
    <row r="168" spans="34:74" x14ac:dyDescent="0.2">
      <c r="AH168" s="146">
        <v>38518</v>
      </c>
      <c r="AI168" s="142">
        <f t="shared" si="79"/>
        <v>86</v>
      </c>
      <c r="AJ168" s="148">
        <v>40224</v>
      </c>
      <c r="AK168" s="142">
        <v>-999</v>
      </c>
      <c r="AL168" s="145">
        <f>SUM($AK$140:AK168)/1000</f>
        <v>-37.917999999999999</v>
      </c>
      <c r="AM168" s="144">
        <f t="shared" si="80"/>
        <v>29</v>
      </c>
      <c r="AN168" s="143">
        <f>_xll.SRS1Splines.Functions.Cubic_Spline($AI$140:$AI$177,$AL$140:$AL$177,AM168)</f>
        <v>-4.1280000000000001</v>
      </c>
      <c r="BT168" s="124"/>
      <c r="BU168" s="124"/>
      <c r="BV168" s="124"/>
    </row>
    <row r="169" spans="34:74" x14ac:dyDescent="0.2">
      <c r="AH169" s="146">
        <v>38548</v>
      </c>
      <c r="AI169" s="142">
        <f t="shared" si="79"/>
        <v>89</v>
      </c>
      <c r="AJ169" s="148">
        <v>40313</v>
      </c>
      <c r="AK169" s="142">
        <v>-135</v>
      </c>
      <c r="AL169" s="145">
        <f>SUM($AK$140:AK169)/1000</f>
        <v>-38.052999999999997</v>
      </c>
      <c r="AM169" s="144">
        <f t="shared" si="80"/>
        <v>30</v>
      </c>
      <c r="AN169" s="143">
        <f>_xll.SRS1Splines.Functions.Cubic_Spline($AI$140:$AI$177,$AL$140:$AL$177,AM169)</f>
        <v>-4.5279523292068378</v>
      </c>
      <c r="BT169" s="124"/>
      <c r="BU169" s="124"/>
      <c r="BV169" s="124"/>
    </row>
    <row r="170" spans="34:74" x14ac:dyDescent="0.2">
      <c r="AH170" s="146">
        <v>38579</v>
      </c>
      <c r="AI170" s="142">
        <f t="shared" si="79"/>
        <v>92</v>
      </c>
      <c r="AJ170" s="148">
        <v>40405</v>
      </c>
      <c r="AK170" s="142">
        <v>1405</v>
      </c>
      <c r="AL170" s="145">
        <f>SUM($AK$140:AK170)/1000</f>
        <v>-36.648000000000003</v>
      </c>
      <c r="AM170" s="144">
        <f t="shared" si="80"/>
        <v>31</v>
      </c>
      <c r="AN170" s="143">
        <f>_xll.SRS1Splines.Functions.Cubic_Spline($AI$140:$AI$177,$AL$140:$AL$177,AM170)</f>
        <v>-4.9505497417158191</v>
      </c>
      <c r="BT170" s="124"/>
      <c r="BU170" s="124"/>
      <c r="BV170" s="124"/>
    </row>
    <row r="171" spans="34:74" x14ac:dyDescent="0.2">
      <c r="AH171" s="146">
        <v>38610</v>
      </c>
      <c r="AI171" s="142">
        <f t="shared" si="79"/>
        <v>95</v>
      </c>
      <c r="AJ171" s="148">
        <v>40497</v>
      </c>
      <c r="AK171" s="142">
        <v>1511</v>
      </c>
      <c r="AL171" s="145">
        <f>SUM($AK$140:AK171)/1000</f>
        <v>-35.137</v>
      </c>
      <c r="AM171" s="144">
        <f t="shared" si="80"/>
        <v>32</v>
      </c>
      <c r="AN171" s="143">
        <f>_xll.SRS1Splines.Functions.Cubic_Spline($AI$140:$AI$177,$AL$140:$AL$177,AM171)</f>
        <v>-5.343</v>
      </c>
      <c r="BT171" s="124"/>
      <c r="BU171" s="124"/>
      <c r="BV171" s="124"/>
    </row>
    <row r="172" spans="34:74" x14ac:dyDescent="0.2">
      <c r="AH172" s="146">
        <v>38640</v>
      </c>
      <c r="AI172" s="142">
        <f t="shared" si="79"/>
        <v>98</v>
      </c>
      <c r="AJ172" s="148">
        <v>40589</v>
      </c>
      <c r="AK172" s="142">
        <v>-1286</v>
      </c>
      <c r="AL172" s="145">
        <f>SUM($AK$140:AK172)/1000</f>
        <v>-36.423000000000002</v>
      </c>
      <c r="AM172" s="144">
        <f t="shared" si="80"/>
        <v>33</v>
      </c>
      <c r="AN172" s="143">
        <f>_xll.SRS1Splines.Functions.Cubic_Spline($AI$140:$AI$177,$AL$140:$AL$177,AM172)</f>
        <v>-5.6801943674867204</v>
      </c>
      <c r="BT172" s="124"/>
      <c r="BU172" s="124"/>
      <c r="BV172" s="124"/>
    </row>
    <row r="173" spans="34:74" x14ac:dyDescent="0.2">
      <c r="AH173" s="146">
        <v>38671</v>
      </c>
      <c r="AI173" s="142">
        <f t="shared" si="79"/>
        <v>101</v>
      </c>
      <c r="AJ173" s="148">
        <v>40678</v>
      </c>
      <c r="AK173" s="142">
        <v>603</v>
      </c>
      <c r="AL173" s="145">
        <f>SUM($AK$140:AK173)/1000</f>
        <v>-35.82</v>
      </c>
      <c r="AM173" s="144">
        <f t="shared" si="80"/>
        <v>34</v>
      </c>
      <c r="AN173" s="143">
        <f>_xll.SRS1Splines.Functions.Cubic_Spline($AI$140:$AI$177,$AL$140:$AL$177,AM173)</f>
        <v>-6.0477581114204639</v>
      </c>
      <c r="BT173" s="124"/>
      <c r="BU173" s="124"/>
      <c r="BV173" s="124"/>
    </row>
    <row r="174" spans="34:74" x14ac:dyDescent="0.2">
      <c r="AH174" s="146">
        <v>38701</v>
      </c>
      <c r="AI174" s="142">
        <f t="shared" si="79"/>
        <v>104</v>
      </c>
      <c r="AJ174" s="148">
        <v>40770</v>
      </c>
      <c r="AK174" s="142">
        <v>1582</v>
      </c>
      <c r="AL174" s="145">
        <f>SUM($AK$140:AK174)/1000</f>
        <v>-34.238</v>
      </c>
      <c r="AM174" s="144">
        <f t="shared" si="80"/>
        <v>35</v>
      </c>
      <c r="AN174" s="143">
        <f>_xll.SRS1Splines.Functions.Cubic_Spline($AI$140:$AI$177,$AL$140:$AL$177,AM174)</f>
        <v>-6.5590000000000002</v>
      </c>
      <c r="BT174" s="124"/>
      <c r="BU174" s="124"/>
      <c r="BV174" s="124"/>
    </row>
    <row r="175" spans="34:74" x14ac:dyDescent="0.2">
      <c r="AH175" s="146">
        <v>38732</v>
      </c>
      <c r="AI175" s="142">
        <f t="shared" si="79"/>
        <v>107</v>
      </c>
      <c r="AJ175" s="148">
        <v>40862</v>
      </c>
      <c r="AK175" s="142">
        <v>1103</v>
      </c>
      <c r="AL175" s="145">
        <f>SUM($AK$140:AK175)/1000</f>
        <v>-33.134999999999998</v>
      </c>
      <c r="AM175" s="144">
        <f t="shared" si="80"/>
        <v>36</v>
      </c>
      <c r="AN175" s="143">
        <f>_xll.SRS1Splines.Functions.Cubic_Spline($AI$140:$AI$177,$AL$140:$AL$177,AM175)</f>
        <v>-7.2817887193647977</v>
      </c>
      <c r="BT175" s="124"/>
      <c r="BU175" s="124"/>
      <c r="BV175" s="124"/>
    </row>
    <row r="176" spans="34:74" x14ac:dyDescent="0.2">
      <c r="AH176" s="146">
        <v>38763</v>
      </c>
      <c r="AI176" s="142">
        <f t="shared" si="79"/>
        <v>110</v>
      </c>
      <c r="AJ176" s="148">
        <v>40954</v>
      </c>
      <c r="AK176" s="142">
        <v>-705</v>
      </c>
      <c r="AL176" s="145">
        <f>SUM($AK$140:AK176)/1000</f>
        <v>-33.840000000000003</v>
      </c>
      <c r="AM176" s="144">
        <f t="shared" si="80"/>
        <v>37</v>
      </c>
      <c r="AN176" s="143">
        <f>_xll.SRS1Splines.Functions.Cubic_Spline($AI$140:$AI$177,$AL$140:$AL$177,AM176)</f>
        <v>-8.1022326274171377</v>
      </c>
      <c r="BT176" s="124"/>
      <c r="BU176" s="124"/>
      <c r="BV176" s="124"/>
    </row>
    <row r="177" spans="34:74" x14ac:dyDescent="0.2">
      <c r="AH177" s="146">
        <v>38791</v>
      </c>
      <c r="AI177" s="142">
        <f t="shared" si="79"/>
        <v>113</v>
      </c>
      <c r="AJ177" s="148">
        <v>41044</v>
      </c>
      <c r="AK177" s="142">
        <v>2869</v>
      </c>
      <c r="AL177" s="145">
        <f>SUM($AK$140:AK177)/1000</f>
        <v>-30.971</v>
      </c>
      <c r="AM177" s="144">
        <f t="shared" si="80"/>
        <v>38</v>
      </c>
      <c r="AN177" s="143">
        <f>_xll.SRS1Splines.Functions.Cubic_Spline($AI$140:$AI$177,$AL$140:$AL$177,AM177)</f>
        <v>-8.8610000000000007</v>
      </c>
      <c r="BT177" s="124"/>
      <c r="BU177" s="124"/>
      <c r="BV177" s="124"/>
    </row>
    <row r="178" spans="34:74" x14ac:dyDescent="0.2">
      <c r="AH178" s="146">
        <v>38822</v>
      </c>
      <c r="AJ178" s="148">
        <v>41136</v>
      </c>
      <c r="AK178" s="142">
        <v>2191</v>
      </c>
      <c r="AM178" s="144">
        <f t="shared" si="80"/>
        <v>39</v>
      </c>
      <c r="AN178" s="143">
        <f>_xll.SRS1Splines.Functions.Cubic_Spline($AI$140:$AI$177,$AL$140:$AL$177,AM178)</f>
        <v>-9.4403914957948292</v>
      </c>
      <c r="BT178" s="124"/>
      <c r="BU178" s="124"/>
      <c r="BV178" s="124"/>
    </row>
    <row r="179" spans="34:74" x14ac:dyDescent="0.2">
      <c r="AH179" s="146">
        <v>38852</v>
      </c>
      <c r="AJ179" s="148">
        <v>41228</v>
      </c>
      <c r="AK179" s="142">
        <v>2895</v>
      </c>
      <c r="AM179" s="144">
        <f t="shared" si="80"/>
        <v>40</v>
      </c>
      <c r="AN179" s="143">
        <f>_xll.SRS1Splines.Functions.Cubic_Spline($AI$140:$AI$177,$AL$140:$AL$177,AM179)</f>
        <v>-9.8892373048369109</v>
      </c>
      <c r="BT179" s="124"/>
      <c r="BU179" s="124"/>
      <c r="BV179" s="124"/>
    </row>
    <row r="180" spans="34:74" x14ac:dyDescent="0.2">
      <c r="AH180" s="146">
        <v>38883</v>
      </c>
      <c r="AJ180" s="148">
        <v>41320</v>
      </c>
      <c r="AK180" s="142">
        <v>1196</v>
      </c>
      <c r="AM180" s="144">
        <f t="shared" si="80"/>
        <v>41</v>
      </c>
      <c r="AN180" s="143">
        <f>_xll.SRS1Splines.Functions.Cubic_Spline($AI$140:$AI$177,$AL$140:$AL$177,AM180)</f>
        <v>-10.298</v>
      </c>
      <c r="BT180" s="124"/>
      <c r="BU180" s="124"/>
      <c r="BV180" s="124"/>
    </row>
    <row r="181" spans="34:74" x14ac:dyDescent="0.2">
      <c r="AH181" s="146">
        <v>38913</v>
      </c>
      <c r="AJ181" s="148">
        <v>41409</v>
      </c>
      <c r="AM181" s="144">
        <f t="shared" si="80"/>
        <v>42</v>
      </c>
      <c r="AN181" s="143">
        <f>_xll.SRS1Splines.Functions.Cubic_Spline($AI$140:$AI$177,$AL$140:$AL$177,AM181)</f>
        <v>-10.732571223381814</v>
      </c>
      <c r="BT181" s="124"/>
      <c r="BU181" s="124"/>
      <c r="BV181" s="124"/>
    </row>
    <row r="182" spans="34:74" x14ac:dyDescent="0.2">
      <c r="AH182" s="146">
        <v>38944</v>
      </c>
      <c r="AJ182" s="148">
        <v>41501</v>
      </c>
      <c r="AM182" s="144">
        <f t="shared" si="80"/>
        <v>43</v>
      </c>
      <c r="AN182" s="143">
        <f>_xll.SRS1Splines.Functions.Cubic_Spline($AI$140:$AI$177,$AL$140:$AL$177,AM182)</f>
        <v>-11.160558893975955</v>
      </c>
      <c r="BT182" s="124"/>
      <c r="BU182" s="124"/>
      <c r="BV182" s="124"/>
    </row>
    <row r="183" spans="34:74" x14ac:dyDescent="0.2">
      <c r="AH183" s="146">
        <v>38975</v>
      </c>
      <c r="AM183" s="144">
        <f t="shared" si="80"/>
        <v>44</v>
      </c>
      <c r="AN183" s="143">
        <f>_xll.SRS1Splines.Functions.Cubic_Spline($AI$140:$AI$177,$AL$140:$AL$177,AM183)</f>
        <v>-11.525</v>
      </c>
      <c r="BT183" s="124"/>
      <c r="BU183" s="124"/>
      <c r="BV183" s="124"/>
    </row>
    <row r="184" spans="34:74" x14ac:dyDescent="0.2">
      <c r="AH184" s="146">
        <v>39005</v>
      </c>
      <c r="AM184" s="144">
        <f t="shared" si="80"/>
        <v>45</v>
      </c>
      <c r="AN184" s="143">
        <f>_xll.SRS1Splines.Functions.Cubic_Spline($AI$140:$AI$177,$AL$140:$AL$177,AM184)</f>
        <v>-11.813212499566808</v>
      </c>
      <c r="BT184" s="124"/>
      <c r="BU184" s="124"/>
      <c r="BV184" s="124"/>
    </row>
    <row r="185" spans="34:74" x14ac:dyDescent="0.2">
      <c r="AH185" s="146">
        <v>39036</v>
      </c>
      <c r="AM185" s="144">
        <f t="shared" si="80"/>
        <v>46</v>
      </c>
      <c r="AN185" s="143">
        <f>_xll.SRS1Splines.Functions.Cubic_Spline($AI$140:$AI$177,$AL$140:$AL$177,AM185)</f>
        <v>-12.189638230370377</v>
      </c>
      <c r="BT185" s="124"/>
      <c r="BU185" s="124"/>
      <c r="BV185" s="124"/>
    </row>
    <row r="186" spans="34:74" x14ac:dyDescent="0.2">
      <c r="AH186" s="146">
        <v>39066</v>
      </c>
      <c r="AM186" s="144">
        <f t="shared" si="80"/>
        <v>47</v>
      </c>
      <c r="AN186" s="143">
        <f>_xll.SRS1Splines.Functions.Cubic_Spline($AI$140:$AI$177,$AL$140:$AL$177,AM186)</f>
        <v>-12.863</v>
      </c>
      <c r="BT186" s="124"/>
      <c r="BU186" s="124"/>
      <c r="BV186" s="124"/>
    </row>
    <row r="187" spans="34:74" x14ac:dyDescent="0.2">
      <c r="AH187" s="146">
        <v>39097</v>
      </c>
      <c r="AM187" s="144">
        <f t="shared" si="80"/>
        <v>48</v>
      </c>
      <c r="AN187" s="143">
        <f>_xll.SRS1Splines.Functions.Cubic_Spline($AI$140:$AI$177,$AL$140:$AL$177,AM187)</f>
        <v>-13.958134333906514</v>
      </c>
      <c r="BT187" s="124"/>
      <c r="BU187" s="124"/>
      <c r="BV187" s="124"/>
    </row>
    <row r="188" spans="34:74" x14ac:dyDescent="0.2">
      <c r="AH188" s="146">
        <v>39128</v>
      </c>
      <c r="AM188" s="144">
        <f t="shared" si="80"/>
        <v>49</v>
      </c>
      <c r="AN188" s="143">
        <f>_xll.SRS1Splines.Functions.Cubic_Spline($AI$140:$AI$177,$AL$140:$AL$177,AM188)</f>
        <v>-15.264332628986978</v>
      </c>
      <c r="BT188" s="124"/>
      <c r="BU188" s="124"/>
      <c r="BV188" s="124"/>
    </row>
    <row r="189" spans="34:74" x14ac:dyDescent="0.2">
      <c r="AH189" s="146">
        <v>39156</v>
      </c>
      <c r="AM189" s="144">
        <f t="shared" si="80"/>
        <v>50</v>
      </c>
      <c r="AN189" s="143">
        <f>_xll.SRS1Splines.Functions.Cubic_Spline($AI$140:$AI$177,$AL$140:$AL$177,AM189)</f>
        <v>-16.486999999999998</v>
      </c>
      <c r="BT189" s="124"/>
      <c r="BU189" s="124"/>
      <c r="BV189" s="124"/>
    </row>
    <row r="190" spans="34:74" x14ac:dyDescent="0.2">
      <c r="AH190" s="146">
        <v>39187</v>
      </c>
      <c r="AM190" s="144">
        <f t="shared" si="80"/>
        <v>51</v>
      </c>
      <c r="AN190" s="143">
        <f>_xll.SRS1Splines.Functions.Cubic_Spline($AI$140:$AI$177,$AL$140:$AL$177,AM190)</f>
        <v>-17.400990905547872</v>
      </c>
      <c r="BT190" s="124"/>
      <c r="BU190" s="124"/>
      <c r="BV190" s="124"/>
    </row>
    <row r="191" spans="34:74" x14ac:dyDescent="0.2">
      <c r="AH191" s="146">
        <v>39217</v>
      </c>
      <c r="AM191" s="144">
        <f t="shared" si="80"/>
        <v>52</v>
      </c>
      <c r="AN191" s="143">
        <f>_xll.SRS1Splines.Functions.Cubic_Spline($AI$140:$AI$177,$AL$140:$AL$177,AM191)</f>
        <v>-18.058957179607628</v>
      </c>
      <c r="BT191" s="124"/>
      <c r="BU191" s="124"/>
      <c r="BV191" s="124"/>
    </row>
    <row r="192" spans="34:74" x14ac:dyDescent="0.2">
      <c r="AH192" s="146">
        <v>39248</v>
      </c>
      <c r="AM192" s="144">
        <f t="shared" si="80"/>
        <v>53</v>
      </c>
      <c r="AN192" s="143">
        <f>_xll.SRS1Splines.Functions.Cubic_Spline($AI$140:$AI$177,$AL$140:$AL$177,AM192)</f>
        <v>-18.582999999999998</v>
      </c>
      <c r="BT192" s="124"/>
      <c r="BU192" s="124"/>
      <c r="BV192" s="124"/>
    </row>
    <row r="193" spans="34:74" x14ac:dyDescent="0.2">
      <c r="AH193" s="146">
        <v>39278</v>
      </c>
      <c r="AM193" s="144">
        <f t="shared" si="80"/>
        <v>54</v>
      </c>
      <c r="AN193" s="143">
        <f>_xll.SRS1Splines.Functions.Cubic_Spline($AI$140:$AI$177,$AL$140:$AL$177,AM193)</f>
        <v>-19.082309451309406</v>
      </c>
      <c r="BT193" s="124"/>
      <c r="BU193" s="124"/>
      <c r="BV193" s="124"/>
    </row>
    <row r="194" spans="34:74" x14ac:dyDescent="0.2">
      <c r="AH194" s="146">
        <v>39309</v>
      </c>
      <c r="AM194" s="144">
        <f t="shared" si="80"/>
        <v>55</v>
      </c>
      <c r="AN194" s="143">
        <f>_xll.SRS1Splines.Functions.Cubic_Spline($AI$140:$AI$177,$AL$140:$AL$177,AM194)</f>
        <v>-19.614431245175091</v>
      </c>
      <c r="BT194" s="124"/>
      <c r="BU194" s="124"/>
      <c r="BV194" s="124"/>
    </row>
    <row r="195" spans="34:74" x14ac:dyDescent="0.2">
      <c r="AH195" s="146">
        <v>39340</v>
      </c>
      <c r="AM195" s="144">
        <f t="shared" si="80"/>
        <v>56</v>
      </c>
      <c r="AN195" s="143">
        <f>_xll.SRS1Splines.Functions.Cubic_Spline($AI$140:$AI$177,$AL$140:$AL$177,AM195)</f>
        <v>-20.224</v>
      </c>
      <c r="BT195" s="124"/>
      <c r="BU195" s="124"/>
      <c r="BV195" s="124"/>
    </row>
    <row r="196" spans="34:74" x14ac:dyDescent="0.2">
      <c r="AH196" s="146">
        <v>39370</v>
      </c>
      <c r="AM196" s="144">
        <f t="shared" si="80"/>
        <v>57</v>
      </c>
      <c r="AN196" s="143">
        <f>_xll.SRS1Splines.Functions.Cubic_Spline($AI$140:$AI$177,$AL$140:$AL$177,AM196)</f>
        <v>-20.956512029955245</v>
      </c>
      <c r="BT196" s="124"/>
      <c r="BU196" s="124"/>
      <c r="BV196" s="124"/>
    </row>
    <row r="197" spans="34:74" x14ac:dyDescent="0.2">
      <c r="AH197" s="146">
        <v>39401</v>
      </c>
      <c r="AM197" s="144">
        <f t="shared" si="80"/>
        <v>58</v>
      </c>
      <c r="AN197" s="143">
        <f>_xll.SRS1Splines.Functions.Cubic_Spline($AI$140:$AI$177,$AL$140:$AL$177,AM197)</f>
        <v>-21.860910432284598</v>
      </c>
      <c r="BT197" s="124"/>
      <c r="BU197" s="124"/>
      <c r="BV197" s="124"/>
    </row>
    <row r="198" spans="34:74" x14ac:dyDescent="0.2">
      <c r="AH198" s="146">
        <v>39431</v>
      </c>
      <c r="AM198" s="144">
        <f t="shared" si="80"/>
        <v>59</v>
      </c>
      <c r="AN198" s="143">
        <f>_xll.SRS1Splines.Functions.Cubic_Spline($AI$140:$AI$177,$AL$140:$AL$177,AM198)</f>
        <v>-22.986999999999998</v>
      </c>
      <c r="BT198" s="124"/>
      <c r="BU198" s="124"/>
      <c r="BV198" s="124"/>
    </row>
    <row r="199" spans="34:74" x14ac:dyDescent="0.2">
      <c r="AH199" s="146">
        <v>39462</v>
      </c>
      <c r="AM199" s="144">
        <f t="shared" si="80"/>
        <v>60</v>
      </c>
      <c r="AN199" s="143">
        <f>_xll.SRS1Splines.Functions.Cubic_Spline($AI$140:$AI$177,$AL$140:$AL$177,AM199)</f>
        <v>-24.339790577017759</v>
      </c>
      <c r="BT199" s="124"/>
      <c r="BU199" s="124"/>
      <c r="BV199" s="124"/>
    </row>
    <row r="200" spans="34:74" x14ac:dyDescent="0.2">
      <c r="AH200" s="146">
        <v>39493</v>
      </c>
      <c r="AM200" s="144">
        <f t="shared" si="80"/>
        <v>61</v>
      </c>
      <c r="AN200" s="143">
        <f>_xll.SRS1Splines.Functions.Cubic_Spline($AI$140:$AI$177,$AL$140:$AL$177,AM200)</f>
        <v>-25.745112210871696</v>
      </c>
      <c r="BT200" s="124"/>
      <c r="BU200" s="124"/>
      <c r="BV200" s="124"/>
    </row>
    <row r="201" spans="34:74" x14ac:dyDescent="0.2">
      <c r="AH201" s="146">
        <v>39522</v>
      </c>
      <c r="AM201" s="144">
        <f t="shared" si="80"/>
        <v>62</v>
      </c>
      <c r="AN201" s="143">
        <f>_xll.SRS1Splines.Functions.Cubic_Spline($AI$140:$AI$177,$AL$140:$AL$177,AM201)</f>
        <v>-26.984000000000002</v>
      </c>
      <c r="BT201" s="124"/>
      <c r="BU201" s="124"/>
      <c r="BV201" s="124"/>
    </row>
    <row r="202" spans="34:74" x14ac:dyDescent="0.2">
      <c r="AH202" s="146">
        <v>39553</v>
      </c>
      <c r="AM202" s="144">
        <f t="shared" si="80"/>
        <v>63</v>
      </c>
      <c r="AN202" s="143">
        <f>_xll.SRS1Splines.Functions.Cubic_Spline($AI$140:$AI$177,$AL$140:$AL$177,AM202)</f>
        <v>-27.912844180492236</v>
      </c>
      <c r="BT202" s="124"/>
      <c r="BU202" s="124"/>
      <c r="BV202" s="124"/>
    </row>
    <row r="203" spans="34:74" x14ac:dyDescent="0.2">
      <c r="AH203" s="146">
        <v>39583</v>
      </c>
      <c r="AM203" s="144">
        <f t="shared" si="80"/>
        <v>64</v>
      </c>
      <c r="AN203" s="143">
        <f>_xll.SRS1Splines.Functions.Cubic_Spline($AI$140:$AI$177,$AL$140:$AL$177,AM203)</f>
        <v>-28.689455539043433</v>
      </c>
      <c r="BT203" s="124"/>
      <c r="BU203" s="124"/>
      <c r="BV203" s="124"/>
    </row>
    <row r="204" spans="34:74" x14ac:dyDescent="0.2">
      <c r="AH204" s="146">
        <v>39614</v>
      </c>
      <c r="AM204" s="144">
        <f t="shared" si="80"/>
        <v>65</v>
      </c>
      <c r="AN204" s="143">
        <f>_xll.SRS1Splines.Functions.Cubic_Spline($AI$140:$AI$177,$AL$140:$AL$177,AM204)</f>
        <v>-29.547000000000001</v>
      </c>
      <c r="BT204" s="124"/>
      <c r="BU204" s="124"/>
      <c r="BV204" s="124"/>
    </row>
    <row r="205" spans="34:74" x14ac:dyDescent="0.2">
      <c r="AH205" s="146">
        <v>39644</v>
      </c>
      <c r="AM205" s="144">
        <f t="shared" si="80"/>
        <v>66</v>
      </c>
      <c r="AN205" s="143">
        <f>_xll.SRS1Splines.Functions.Cubic_Spline($AI$140:$AI$177,$AL$140:$AL$177,AM205)</f>
        <v>-30.629240108420714</v>
      </c>
      <c r="BT205" s="124"/>
      <c r="BU205" s="124"/>
      <c r="BV205" s="124"/>
    </row>
    <row r="206" spans="34:74" x14ac:dyDescent="0.2">
      <c r="AH206" s="146">
        <v>39675</v>
      </c>
      <c r="AM206" s="144">
        <f t="shared" ref="AM206:AM255" si="81">AM205+1</f>
        <v>67</v>
      </c>
      <c r="AN206" s="143">
        <f>_xll.SRS1Splines.Functions.Cubic_Spline($AI$140:$AI$177,$AL$140:$AL$177,AM206)</f>
        <v>-31.722324892213834</v>
      </c>
      <c r="BT206" s="124"/>
      <c r="BU206" s="124"/>
      <c r="BV206" s="124"/>
    </row>
    <row r="207" spans="34:74" x14ac:dyDescent="0.2">
      <c r="AH207" s="146">
        <v>39706</v>
      </c>
      <c r="AM207" s="144">
        <f t="shared" si="81"/>
        <v>68</v>
      </c>
      <c r="AN207" s="143">
        <f>_xll.SRS1Splines.Functions.Cubic_Spline($AI$140:$AI$177,$AL$140:$AL$177,AM207)</f>
        <v>-32.523000000000003</v>
      </c>
      <c r="BT207" s="124"/>
      <c r="BU207" s="124"/>
      <c r="BV207" s="124"/>
    </row>
    <row r="208" spans="34:74" x14ac:dyDescent="0.2">
      <c r="AH208" s="146">
        <v>39736</v>
      </c>
      <c r="AM208" s="144">
        <f t="shared" si="81"/>
        <v>69</v>
      </c>
      <c r="AN208" s="143">
        <f>_xll.SRS1Splines.Functions.Cubic_Spline($AI$140:$AI$177,$AL$140:$AL$177,AM208)</f>
        <v>-32.839787978417519</v>
      </c>
      <c r="BT208" s="124"/>
      <c r="BU208" s="124"/>
      <c r="BV208" s="124"/>
    </row>
    <row r="209" spans="34:74" x14ac:dyDescent="0.2">
      <c r="AH209" s="146">
        <v>39767</v>
      </c>
      <c r="AM209" s="144">
        <f t="shared" si="81"/>
        <v>70</v>
      </c>
      <c r="AN209" s="143">
        <f>_xll.SRS1Splines.Functions.Cubic_Spline($AI$140:$AI$177,$AL$140:$AL$177,AM209)</f>
        <v>-32.928318966175311</v>
      </c>
      <c r="BT209" s="124"/>
      <c r="BU209" s="124"/>
      <c r="BV209" s="124"/>
    </row>
    <row r="210" spans="34:74" x14ac:dyDescent="0.2">
      <c r="AH210" s="146">
        <v>39797</v>
      </c>
      <c r="AM210" s="144">
        <f t="shared" si="81"/>
        <v>71</v>
      </c>
      <c r="AN210" s="143">
        <f>_xll.SRS1Splines.Functions.Cubic_Spline($AI$140:$AI$177,$AL$140:$AL$177,AM210)</f>
        <v>-33.155999999999999</v>
      </c>
      <c r="BT210" s="124"/>
      <c r="BU210" s="124"/>
      <c r="BV210" s="124"/>
    </row>
    <row r="211" spans="34:74" x14ac:dyDescent="0.2">
      <c r="AH211" s="146">
        <v>39828</v>
      </c>
      <c r="AM211" s="144">
        <f t="shared" si="81"/>
        <v>72</v>
      </c>
      <c r="AN211" s="143">
        <f>_xll.SRS1Splines.Functions.Cubic_Spline($AI$140:$AI$177,$AL$140:$AL$177,AM211)</f>
        <v>-33.783978348279604</v>
      </c>
      <c r="BT211" s="124"/>
      <c r="BU211" s="124"/>
      <c r="BV211" s="124"/>
    </row>
    <row r="212" spans="34:74" x14ac:dyDescent="0.2">
      <c r="AH212" s="146">
        <v>39859</v>
      </c>
      <c r="AM212" s="144">
        <f t="shared" si="81"/>
        <v>73</v>
      </c>
      <c r="AN212" s="143">
        <f>_xll.SRS1Splines.Functions.Cubic_Spline($AI$140:$AI$177,$AL$140:$AL$177,AM212)</f>
        <v>-34.648362206047871</v>
      </c>
      <c r="BT212" s="124"/>
      <c r="BU212" s="124"/>
      <c r="BV212" s="124"/>
    </row>
    <row r="213" spans="34:74" x14ac:dyDescent="0.2">
      <c r="AH213" s="146">
        <v>39887</v>
      </c>
      <c r="AM213" s="144">
        <f t="shared" si="81"/>
        <v>74</v>
      </c>
      <c r="AN213" s="143">
        <f>_xll.SRS1Splines.Functions.Cubic_Spline($AI$140:$AI$177,$AL$140:$AL$177,AM213)</f>
        <v>-35.478999999999999</v>
      </c>
      <c r="BT213" s="124"/>
      <c r="BU213" s="124"/>
      <c r="BV213" s="124"/>
    </row>
    <row r="214" spans="34:74" x14ac:dyDescent="0.2">
      <c r="AH214" s="146">
        <v>39918</v>
      </c>
      <c r="AM214" s="144">
        <f t="shared" si="81"/>
        <v>75</v>
      </c>
      <c r="AN214" s="143">
        <f>_xll.SRS1Splines.Functions.Cubic_Spline($AI$140:$AI$177,$AL$140:$AL$177,AM214)</f>
        <v>-36.065409739575173</v>
      </c>
      <c r="BT214" s="124"/>
      <c r="BU214" s="124"/>
      <c r="BV214" s="124"/>
    </row>
    <row r="215" spans="34:74" x14ac:dyDescent="0.2">
      <c r="AH215" s="146">
        <v>39948</v>
      </c>
      <c r="AM215" s="144">
        <f t="shared" si="81"/>
        <v>76</v>
      </c>
      <c r="AN215" s="143">
        <f>_xll.SRS1Splines.Functions.Cubic_Spline($AI$140:$AI$177,$AL$140:$AL$177,AM215)</f>
        <v>-36.435787765188721</v>
      </c>
      <c r="BT215" s="124"/>
      <c r="BU215" s="124"/>
      <c r="BV215" s="124"/>
    </row>
    <row r="216" spans="34:74" x14ac:dyDescent="0.2">
      <c r="AH216" s="146">
        <v>39979</v>
      </c>
      <c r="AM216" s="144">
        <f t="shared" si="81"/>
        <v>77</v>
      </c>
      <c r="AN216" s="143">
        <f>_xll.SRS1Splines.Functions.Cubic_Spline($AI$140:$AI$177,$AL$140:$AL$177,AM216)</f>
        <v>-36.677999999999997</v>
      </c>
      <c r="BT216" s="124"/>
      <c r="BU216" s="124"/>
      <c r="BV216" s="124"/>
    </row>
    <row r="217" spans="34:74" x14ac:dyDescent="0.2">
      <c r="AH217" s="146">
        <v>40009</v>
      </c>
      <c r="AM217" s="144">
        <f t="shared" si="81"/>
        <v>78</v>
      </c>
      <c r="AN217" s="143">
        <f>_xll.SRS1Splines.Functions.Cubic_Spline($AI$140:$AI$177,$AL$140:$AL$177,AM217)</f>
        <v>-36.860864174901174</v>
      </c>
      <c r="BT217" s="124"/>
      <c r="BU217" s="124"/>
      <c r="BV217" s="124"/>
    </row>
    <row r="218" spans="34:74" x14ac:dyDescent="0.2">
      <c r="AH218" s="146">
        <v>40040</v>
      </c>
      <c r="AM218" s="144">
        <f t="shared" si="81"/>
        <v>79</v>
      </c>
      <c r="AN218" s="143">
        <f>_xll.SRS1Splines.Functions.Cubic_Spline($AI$140:$AI$177,$AL$140:$AL$177,AM218)</f>
        <v>-36.977005251715738</v>
      </c>
      <c r="BT218" s="124"/>
      <c r="BU218" s="124"/>
      <c r="BV218" s="124"/>
    </row>
    <row r="219" spans="34:74" x14ac:dyDescent="0.2">
      <c r="AH219" s="146">
        <v>40071</v>
      </c>
      <c r="AM219" s="144">
        <f t="shared" si="81"/>
        <v>80</v>
      </c>
      <c r="AN219" s="143">
        <f>_xll.SRS1Splines.Functions.Cubic_Spline($AI$140:$AI$177,$AL$140:$AL$177,AM219)</f>
        <v>-37</v>
      </c>
      <c r="BT219" s="124"/>
      <c r="BU219" s="124"/>
      <c r="BV219" s="124"/>
    </row>
    <row r="220" spans="34:74" x14ac:dyDescent="0.2">
      <c r="AH220" s="146">
        <v>40101</v>
      </c>
      <c r="AM220" s="144">
        <f t="shared" si="81"/>
        <v>81</v>
      </c>
      <c r="AN220" s="143">
        <f>_xll.SRS1Splines.Functions.Cubic_Spline($AI$140:$AI$177,$AL$140:$AL$177,AM220)</f>
        <v>-36.928355783042342</v>
      </c>
      <c r="BT220" s="124"/>
      <c r="BU220" s="124"/>
      <c r="BV220" s="124"/>
    </row>
    <row r="221" spans="34:74" x14ac:dyDescent="0.2">
      <c r="AH221" s="146">
        <v>40132</v>
      </c>
      <c r="AM221" s="144">
        <f t="shared" si="81"/>
        <v>82</v>
      </c>
      <c r="AN221" s="143">
        <f>_xll.SRS1Splines.Functions.Cubic_Spline($AI$140:$AI$177,$AL$140:$AL$177,AM221)</f>
        <v>-36.86030233905943</v>
      </c>
      <c r="BT221" s="124"/>
      <c r="BU221" s="124"/>
      <c r="BV221" s="124"/>
    </row>
    <row r="222" spans="34:74" x14ac:dyDescent="0.2">
      <c r="AH222" s="146">
        <v>40162</v>
      </c>
      <c r="AM222" s="144">
        <f t="shared" si="81"/>
        <v>83</v>
      </c>
      <c r="AN222" s="143">
        <f>_xll.SRS1Splines.Functions.Cubic_Spline($AI$140:$AI$177,$AL$140:$AL$177,AM222)</f>
        <v>-36.918999999999997</v>
      </c>
      <c r="BT222" s="124"/>
      <c r="BU222" s="124"/>
      <c r="BV222" s="124"/>
    </row>
    <row r="223" spans="34:74" x14ac:dyDescent="0.2">
      <c r="AH223" s="146">
        <v>40193</v>
      </c>
      <c r="AM223" s="144">
        <f t="shared" si="81"/>
        <v>84</v>
      </c>
      <c r="AN223" s="143">
        <f>_xll.SRS1Splines.Functions.Cubic_Spline($AI$140:$AI$177,$AL$140:$AL$177,AM223)</f>
        <v>-37.184305285522044</v>
      </c>
      <c r="BT223" s="124"/>
      <c r="BU223" s="124"/>
      <c r="BV223" s="124"/>
    </row>
    <row r="224" spans="34:74" x14ac:dyDescent="0.2">
      <c r="AH224" s="146">
        <v>40224</v>
      </c>
      <c r="AM224" s="144">
        <f t="shared" si="81"/>
        <v>85</v>
      </c>
      <c r="AN224" s="143">
        <f>_xll.SRS1Splines.Functions.Cubic_Spline($AI$140:$AI$177,$AL$140:$AL$177,AM224)</f>
        <v>-37.562859466120607</v>
      </c>
      <c r="BT224" s="124"/>
      <c r="BU224" s="124"/>
      <c r="BV224" s="124"/>
    </row>
    <row r="225" spans="34:74" x14ac:dyDescent="0.2">
      <c r="AH225" s="146">
        <v>40252</v>
      </c>
      <c r="AM225" s="144">
        <f t="shared" si="81"/>
        <v>86</v>
      </c>
      <c r="AN225" s="143">
        <f>_xll.SRS1Splines.Functions.Cubic_Spline($AI$140:$AI$177,$AL$140:$AL$177,AM225)</f>
        <v>-37.917999999999999</v>
      </c>
      <c r="BT225" s="124"/>
      <c r="BU225" s="124"/>
      <c r="BV225" s="124"/>
    </row>
    <row r="226" spans="34:74" x14ac:dyDescent="0.2">
      <c r="AH226" s="146">
        <v>40283</v>
      </c>
      <c r="AM226" s="144">
        <f t="shared" si="81"/>
        <v>87</v>
      </c>
      <c r="AN226" s="143">
        <f>_xll.SRS1Splines.Functions.Cubic_Spline($AI$140:$AI$177,$AL$140:$AL$177,AM226)</f>
        <v>-38.134423074869467</v>
      </c>
      <c r="BT226" s="124"/>
      <c r="BU226" s="124"/>
      <c r="BV226" s="124"/>
    </row>
    <row r="227" spans="34:74" x14ac:dyDescent="0.2">
      <c r="AH227" s="146">
        <v>40313</v>
      </c>
      <c r="AM227" s="144">
        <f t="shared" si="81"/>
        <v>88</v>
      </c>
      <c r="AN227" s="143">
        <f>_xll.SRS1Splines.Functions.Cubic_Spline($AI$140:$AI$177,$AL$140:$AL$177,AM227)</f>
        <v>-38.182259796458112</v>
      </c>
      <c r="BT227" s="124"/>
      <c r="BU227" s="124"/>
      <c r="BV227" s="124"/>
    </row>
    <row r="228" spans="34:74" x14ac:dyDescent="0.2">
      <c r="AH228" s="146">
        <v>40344</v>
      </c>
      <c r="AM228" s="144">
        <f t="shared" si="81"/>
        <v>89</v>
      </c>
      <c r="AN228" s="143">
        <f>_xll.SRS1Splines.Functions.Cubic_Spline($AI$140:$AI$177,$AL$140:$AL$177,AM228)</f>
        <v>-38.052999999999997</v>
      </c>
      <c r="BT228" s="124"/>
      <c r="BU228" s="124"/>
      <c r="BV228" s="124"/>
    </row>
    <row r="229" spans="34:74" x14ac:dyDescent="0.2">
      <c r="AH229" s="146">
        <v>40374</v>
      </c>
      <c r="AM229" s="144">
        <f t="shared" si="81"/>
        <v>90</v>
      </c>
      <c r="AN229" s="143">
        <f>_xll.SRS1Splines.Functions.Cubic_Spline($AI$140:$AI$177,$AL$140:$AL$177,AM229)</f>
        <v>-37.742965377963046</v>
      </c>
      <c r="BT229" s="124"/>
      <c r="BU229" s="124"/>
      <c r="BV229" s="124"/>
    </row>
    <row r="230" spans="34:74" x14ac:dyDescent="0.2">
      <c r="AH230" s="146">
        <v>40405</v>
      </c>
      <c r="AM230" s="144">
        <f t="shared" si="81"/>
        <v>91</v>
      </c>
      <c r="AN230" s="143">
        <f>_xll.SRS1Splines.Functions.Cubic_Spline($AI$140:$AI$177,$AL$140:$AL$177,AM230)</f>
        <v>-37.267805051750628</v>
      </c>
      <c r="BT230" s="124"/>
      <c r="BU230" s="124"/>
      <c r="BV230" s="124"/>
    </row>
    <row r="231" spans="34:74" x14ac:dyDescent="0.2">
      <c r="AH231" s="146">
        <v>40436</v>
      </c>
      <c r="AM231" s="144">
        <f t="shared" si="81"/>
        <v>92</v>
      </c>
      <c r="AN231" s="143">
        <f>_xll.SRS1Splines.Functions.Cubic_Spline($AI$140:$AI$177,$AL$140:$AL$177,AM231)</f>
        <v>-36.648000000000003</v>
      </c>
      <c r="BT231" s="124"/>
      <c r="BU231" s="124"/>
      <c r="BV231" s="124"/>
    </row>
    <row r="232" spans="34:74" x14ac:dyDescent="0.2">
      <c r="AH232" s="146">
        <v>40466</v>
      </c>
      <c r="AM232" s="144">
        <f t="shared" si="81"/>
        <v>93</v>
      </c>
      <c r="AN232" s="143">
        <f>_xll.SRS1Splines.Functions.Cubic_Spline($AI$140:$AI$177,$AL$140:$AL$177,AM232)</f>
        <v>-35.941493191056125</v>
      </c>
      <c r="BT232" s="124"/>
      <c r="BU232" s="124"/>
      <c r="BV232" s="124"/>
    </row>
    <row r="233" spans="34:74" x14ac:dyDescent="0.2">
      <c r="AH233" s="146">
        <v>40497</v>
      </c>
      <c r="AM233" s="144">
        <f t="shared" si="81"/>
        <v>94</v>
      </c>
      <c r="AN233" s="143">
        <f>_xll.SRS1Splines.Functions.Cubic_Spline($AI$140:$AI$177,$AL$140:$AL$177,AM233)</f>
        <v>-35.356075552094907</v>
      </c>
      <c r="BT233" s="124"/>
      <c r="BU233" s="124"/>
      <c r="BV233" s="124"/>
    </row>
    <row r="234" spans="34:74" x14ac:dyDescent="0.2">
      <c r="AH234" s="146">
        <v>40527</v>
      </c>
      <c r="AM234" s="144">
        <f t="shared" si="81"/>
        <v>95</v>
      </c>
      <c r="AN234" s="143">
        <f>_xll.SRS1Splines.Functions.Cubic_Spline($AI$140:$AI$177,$AL$140:$AL$177,AM234)</f>
        <v>-35.137</v>
      </c>
      <c r="BT234" s="124"/>
      <c r="BU234" s="124"/>
      <c r="BV234" s="124"/>
    </row>
    <row r="235" spans="34:74" x14ac:dyDescent="0.2">
      <c r="AH235" s="146">
        <v>40558</v>
      </c>
      <c r="AM235" s="144">
        <f t="shared" si="81"/>
        <v>96</v>
      </c>
      <c r="AN235" s="143">
        <f>_xll.SRS1Splines.Functions.Cubic_Spline($AI$140:$AI$177,$AL$140:$AL$177,AM235)</f>
        <v>-35.429247042997645</v>
      </c>
      <c r="BT235" s="124"/>
      <c r="BU235" s="124"/>
      <c r="BV235" s="124"/>
    </row>
    <row r="236" spans="34:74" x14ac:dyDescent="0.2">
      <c r="AH236" s="146">
        <v>40589</v>
      </c>
      <c r="AM236" s="144">
        <f t="shared" si="81"/>
        <v>97</v>
      </c>
      <c r="AN236" s="143">
        <f>_xll.SRS1Splines.Functions.Cubic_Spline($AI$140:$AI$177,$AL$140:$AL$177,AM236)</f>
        <v>-35.976707554684545</v>
      </c>
      <c r="BT236" s="124"/>
      <c r="BU236" s="124"/>
      <c r="BV236" s="124"/>
    </row>
    <row r="237" spans="34:74" x14ac:dyDescent="0.2">
      <c r="AH237" s="146">
        <v>40617</v>
      </c>
      <c r="AM237" s="144">
        <f t="shared" si="81"/>
        <v>98</v>
      </c>
      <c r="AN237" s="143">
        <f>_xll.SRS1Splines.Functions.Cubic_Spline($AI$140:$AI$177,$AL$140:$AL$177,AM237)</f>
        <v>-36.423000000000002</v>
      </c>
      <c r="BT237" s="124"/>
      <c r="BU237" s="124"/>
      <c r="BV237" s="124"/>
    </row>
    <row r="238" spans="34:74" x14ac:dyDescent="0.2">
      <c r="AH238" s="146">
        <v>40648</v>
      </c>
      <c r="AM238" s="144">
        <f t="shared" si="81"/>
        <v>99</v>
      </c>
      <c r="AN238" s="143">
        <f>_xll.SRS1Splines.Functions.Cubic_Spline($AI$140:$AI$177,$AL$140:$AL$177,AM238)</f>
        <v>-36.49429641473106</v>
      </c>
      <c r="BT238" s="124"/>
      <c r="BU238" s="124"/>
      <c r="BV238" s="124"/>
    </row>
    <row r="239" spans="34:74" x14ac:dyDescent="0.2">
      <c r="AH239" s="146">
        <v>40678</v>
      </c>
      <c r="AM239" s="144">
        <f t="shared" si="81"/>
        <v>100</v>
      </c>
      <c r="AN239" s="143">
        <f>_xll.SRS1Splines.Functions.Cubic_Spline($AI$140:$AI$177,$AL$140:$AL$177,AM239)</f>
        <v>-36.246983118055788</v>
      </c>
      <c r="BT239" s="124"/>
      <c r="BU239" s="124"/>
      <c r="BV239" s="124"/>
    </row>
    <row r="240" spans="34:74" x14ac:dyDescent="0.2">
      <c r="AH240" s="146">
        <v>40709</v>
      </c>
      <c r="AM240" s="144">
        <f t="shared" si="81"/>
        <v>101</v>
      </c>
      <c r="AN240" s="143">
        <f>_xll.SRS1Splines.Functions.Cubic_Spline($AI$140:$AI$177,$AL$140:$AL$177,AM240)</f>
        <v>-35.82</v>
      </c>
      <c r="BT240" s="124"/>
      <c r="BU240" s="124"/>
      <c r="BV240" s="124"/>
    </row>
    <row r="241" spans="34:74" x14ac:dyDescent="0.2">
      <c r="AH241" s="146">
        <v>40739</v>
      </c>
      <c r="AM241" s="144">
        <f t="shared" si="81"/>
        <v>102</v>
      </c>
      <c r="AN241" s="143">
        <f>_xll.SRS1Splines.Functions.Cubic_Spline($AI$140:$AI$177,$AL$140:$AL$177,AM241)</f>
        <v>-35.32960433511515</v>
      </c>
      <c r="BT241" s="124"/>
      <c r="BU241" s="124"/>
      <c r="BV241" s="124"/>
    </row>
    <row r="242" spans="34:74" x14ac:dyDescent="0.2">
      <c r="AH242" s="146">
        <v>40770</v>
      </c>
      <c r="AM242" s="144">
        <f t="shared" si="81"/>
        <v>103</v>
      </c>
      <c r="AN242" s="143">
        <f>_xll.SRS1Splines.Functions.Cubic_Spline($AI$140:$AI$177,$AL$140:$AL$177,AM242)</f>
        <v>-34.801322936055257</v>
      </c>
      <c r="BT242" s="124"/>
      <c r="BU242" s="124"/>
      <c r="BV242" s="124"/>
    </row>
    <row r="243" spans="34:74" x14ac:dyDescent="0.2">
      <c r="AH243" s="146">
        <v>40801</v>
      </c>
      <c r="AM243" s="144">
        <f t="shared" si="81"/>
        <v>104</v>
      </c>
      <c r="AN243" s="143">
        <f>_xll.SRS1Splines.Functions.Cubic_Spline($AI$140:$AI$177,$AL$140:$AL$177,AM243)</f>
        <v>-34.238</v>
      </c>
      <c r="BT243" s="124"/>
      <c r="BU243" s="124"/>
      <c r="BV243" s="124"/>
    </row>
    <row r="244" spans="34:74" x14ac:dyDescent="0.2">
      <c r="AH244" s="146">
        <v>40831</v>
      </c>
      <c r="AM244" s="144">
        <f t="shared" si="81"/>
        <v>105</v>
      </c>
      <c r="AN244" s="143">
        <f>_xll.SRS1Splines.Functions.Cubic_Spline($AI$140:$AI$177,$AL$140:$AL$177,AM244)</f>
        <v>-33.670952911475013</v>
      </c>
      <c r="BT244" s="124"/>
      <c r="BU244" s="124"/>
      <c r="BV244" s="124"/>
    </row>
    <row r="245" spans="34:74" x14ac:dyDescent="0.2">
      <c r="AH245" s="146">
        <v>40862</v>
      </c>
      <c r="AM245" s="144">
        <f t="shared" si="81"/>
        <v>106</v>
      </c>
      <c r="AN245" s="143">
        <f>_xll.SRS1Splines.Functions.Cubic_Spline($AI$140:$AI$177,$AL$140:$AL$177,AM245)</f>
        <v>-33.245391804389833</v>
      </c>
      <c r="BT245" s="124"/>
      <c r="BU245" s="124"/>
      <c r="BV245" s="124"/>
    </row>
    <row r="246" spans="34:74" x14ac:dyDescent="0.2">
      <c r="AH246" s="146">
        <v>40892</v>
      </c>
      <c r="AM246" s="144">
        <f t="shared" si="81"/>
        <v>107</v>
      </c>
      <c r="AN246" s="143">
        <f>_xll.SRS1Splines.Functions.Cubic_Spline($AI$140:$AI$177,$AL$140:$AL$177,AM246)</f>
        <v>-33.134999999999998</v>
      </c>
      <c r="BT246" s="124"/>
      <c r="BU246" s="124"/>
      <c r="BV246" s="124"/>
    </row>
    <row r="247" spans="34:74" x14ac:dyDescent="0.2">
      <c r="AH247" s="146">
        <v>40923</v>
      </c>
      <c r="AM247" s="144">
        <f t="shared" si="81"/>
        <v>108</v>
      </c>
      <c r="AN247" s="143">
        <f>_xll.SRS1Splines.Functions.Cubic_Spline($AI$140:$AI$177,$AL$140:$AL$177,AM247)</f>
        <v>-33.417472907873695</v>
      </c>
      <c r="BT247" s="124"/>
      <c r="BU247" s="124"/>
      <c r="BV247" s="124"/>
    </row>
    <row r="248" spans="34:74" x14ac:dyDescent="0.2">
      <c r="AH248" s="146">
        <v>40954</v>
      </c>
      <c r="AM248" s="144">
        <f t="shared" si="81"/>
        <v>109</v>
      </c>
      <c r="AN248" s="143">
        <f>_xll.SRS1Splines.Functions.Cubic_Spline($AI$140:$AI$177,$AL$140:$AL$177,AM248)</f>
        <v>-33.786554290829827</v>
      </c>
      <c r="BT248" s="124"/>
      <c r="BU248" s="124"/>
      <c r="BV248" s="124"/>
    </row>
    <row r="249" spans="34:74" x14ac:dyDescent="0.2">
      <c r="AH249" s="146">
        <v>40983</v>
      </c>
      <c r="AM249" s="144">
        <f t="shared" si="81"/>
        <v>110</v>
      </c>
      <c r="AN249" s="143">
        <f>_xll.SRS1Splines.Functions.Cubic_Spline($AI$140:$AI$177,$AL$140:$AL$177,AM249)</f>
        <v>-33.840000000000003</v>
      </c>
      <c r="BT249" s="124"/>
      <c r="BU249" s="124"/>
      <c r="BV249" s="124"/>
    </row>
    <row r="250" spans="34:74" x14ac:dyDescent="0.2">
      <c r="AH250" s="146">
        <v>41014</v>
      </c>
      <c r="AM250" s="144">
        <f t="shared" si="81"/>
        <v>111</v>
      </c>
      <c r="AN250" s="143">
        <f>_xll.SRS1Splines.Functions.Cubic_Spline($AI$140:$AI$177,$AL$140:$AL$177,AM250)</f>
        <v>-33.282488790363551</v>
      </c>
      <c r="BT250" s="124"/>
      <c r="BU250" s="124"/>
      <c r="BV250" s="124"/>
    </row>
    <row r="251" spans="34:74" x14ac:dyDescent="0.2">
      <c r="AH251" s="146">
        <v>41044</v>
      </c>
      <c r="AM251" s="144">
        <f t="shared" si="81"/>
        <v>112</v>
      </c>
      <c r="AN251" s="143">
        <f>_xll.SRS1Splines.Functions.Cubic_Spline($AI$140:$AI$177,$AL$140:$AL$177,AM251)</f>
        <v>-32.246391032290838</v>
      </c>
      <c r="BT251" s="124"/>
      <c r="BU251" s="124"/>
      <c r="BV251" s="124"/>
    </row>
    <row r="252" spans="34:74" x14ac:dyDescent="0.2">
      <c r="AH252" s="146">
        <v>41075</v>
      </c>
      <c r="AM252" s="144">
        <f t="shared" si="81"/>
        <v>113</v>
      </c>
      <c r="AN252" s="143">
        <f>_xll.SRS1Splines.Functions.Cubic_Spline($AI$140:$AI$177,$AL$140:$AL$177,AM252)</f>
        <v>-30.971</v>
      </c>
      <c r="BT252" s="124"/>
      <c r="BU252" s="124"/>
      <c r="BV252" s="124"/>
    </row>
    <row r="253" spans="34:74" x14ac:dyDescent="0.2">
      <c r="AH253" s="146">
        <v>41105</v>
      </c>
      <c r="AM253" s="144">
        <f t="shared" si="81"/>
        <v>114</v>
      </c>
      <c r="AN253" s="143">
        <f>_xll.SRS1Splines.Functions.Cubic_Spline($AI$140:$AI$177,$AL$140:$AL$177,AM253)</f>
        <v>-29.695608967709159</v>
      </c>
      <c r="BT253" s="124"/>
      <c r="BU253" s="124"/>
      <c r="BV253" s="124"/>
    </row>
    <row r="254" spans="34:74" x14ac:dyDescent="0.2">
      <c r="AH254" s="146">
        <v>41136</v>
      </c>
      <c r="AM254" s="144">
        <f t="shared" si="81"/>
        <v>115</v>
      </c>
      <c r="AN254" s="143">
        <f>_xll.SRS1Splines.Functions.Cubic_Spline($AI$140:$AI$177,$AL$140:$AL$177,AM254)</f>
        <v>-28.659511209636456</v>
      </c>
      <c r="BT254" s="124"/>
      <c r="BU254" s="124"/>
      <c r="BV254" s="124"/>
    </row>
    <row r="255" spans="34:74" x14ac:dyDescent="0.2">
      <c r="AH255" s="146"/>
      <c r="AM255" s="144">
        <f t="shared" si="81"/>
        <v>116</v>
      </c>
      <c r="AN255" s="143">
        <f>_xll.SRS1Splines.Functions.Cubic_Spline($AI$140:$AI$177,$AL$140:$AL$177,AM255)</f>
        <v>-28.101999999999997</v>
      </c>
      <c r="BT255" s="124"/>
      <c r="BU255" s="124"/>
      <c r="BV255" s="124"/>
    </row>
    <row r="256" spans="34:74" x14ac:dyDescent="0.2">
      <c r="AN256" s="143"/>
      <c r="BT256" s="124"/>
      <c r="BU256" s="124"/>
      <c r="BV256" s="124"/>
    </row>
    <row r="257" spans="34:74" x14ac:dyDescent="0.2">
      <c r="AH257" s="146"/>
      <c r="AN257" s="143"/>
      <c r="BT257" s="124"/>
      <c r="BU257" s="124"/>
      <c r="BV257" s="124"/>
    </row>
    <row r="258" spans="34:74" x14ac:dyDescent="0.2">
      <c r="AH258" s="146"/>
      <c r="AN258" s="143"/>
      <c r="BT258" s="124"/>
      <c r="BU258" s="124"/>
      <c r="BV258" s="124"/>
    </row>
    <row r="259" spans="34:74" x14ac:dyDescent="0.2">
      <c r="AN259" s="143"/>
      <c r="BT259" s="124"/>
      <c r="BU259" s="124"/>
      <c r="BV259" s="124"/>
    </row>
    <row r="260" spans="34:74" x14ac:dyDescent="0.2">
      <c r="AN260" s="143"/>
      <c r="BT260" s="124"/>
      <c r="BU260" s="124"/>
      <c r="BV260" s="124"/>
    </row>
    <row r="261" spans="34:74" x14ac:dyDescent="0.2">
      <c r="AN261" s="143"/>
      <c r="BT261" s="124"/>
      <c r="BU261" s="124"/>
      <c r="BV261" s="124"/>
    </row>
    <row r="262" spans="34:74" x14ac:dyDescent="0.2">
      <c r="AN262" s="143"/>
      <c r="BT262" s="124"/>
      <c r="BU262" s="124"/>
      <c r="BV262" s="124"/>
    </row>
    <row r="263" spans="34:74" x14ac:dyDescent="0.2">
      <c r="AN263" s="143"/>
      <c r="BT263" s="124"/>
      <c r="BU263" s="124"/>
      <c r="BV263" s="124"/>
    </row>
    <row r="264" spans="34:74" x14ac:dyDescent="0.2">
      <c r="AN264" s="143"/>
      <c r="BT264" s="124"/>
      <c r="BU264" s="124"/>
      <c r="BV264" s="124"/>
    </row>
    <row r="265" spans="34:74" x14ac:dyDescent="0.2">
      <c r="AN265" s="143"/>
      <c r="BT265" s="124"/>
      <c r="BU265" s="124"/>
      <c r="BV265" s="124"/>
    </row>
    <row r="266" spans="34:74" x14ac:dyDescent="0.2">
      <c r="AN266" s="143"/>
      <c r="BT266" s="124"/>
      <c r="BU266" s="124"/>
      <c r="BV266" s="124"/>
    </row>
    <row r="267" spans="34:74" x14ac:dyDescent="0.2">
      <c r="AN267" s="143"/>
      <c r="BT267" s="124"/>
      <c r="BU267" s="124"/>
      <c r="BV267" s="124"/>
    </row>
    <row r="268" spans="34:74" x14ac:dyDescent="0.2">
      <c r="AN268" s="143"/>
      <c r="BT268" s="124"/>
      <c r="BU268" s="124"/>
      <c r="BV268" s="124"/>
    </row>
    <row r="269" spans="34:74" x14ac:dyDescent="0.2">
      <c r="AN269" s="143"/>
      <c r="BT269" s="124"/>
      <c r="BU269" s="124"/>
      <c r="BV269" s="124"/>
    </row>
    <row r="270" spans="34:74" x14ac:dyDescent="0.2">
      <c r="AN270" s="143"/>
      <c r="BT270" s="124"/>
      <c r="BU270" s="124"/>
      <c r="BV270" s="124"/>
    </row>
    <row r="271" spans="34:74" x14ac:dyDescent="0.2">
      <c r="AN271" s="143"/>
      <c r="BT271" s="124"/>
      <c r="BU271" s="124"/>
      <c r="BV271" s="124"/>
    </row>
    <row r="272" spans="34:74" x14ac:dyDescent="0.2">
      <c r="BT272" s="124"/>
      <c r="BU272" s="124"/>
      <c r="BV272" s="124"/>
    </row>
    <row r="273" spans="72:74" x14ac:dyDescent="0.2">
      <c r="BT273" s="124"/>
      <c r="BU273" s="124"/>
      <c r="BV273" s="124"/>
    </row>
    <row r="274" spans="72:74" x14ac:dyDescent="0.2">
      <c r="BT274" s="124"/>
      <c r="BU274" s="124"/>
      <c r="BV274" s="124"/>
    </row>
    <row r="275" spans="72:74" x14ac:dyDescent="0.2">
      <c r="BT275" s="124"/>
      <c r="BU275" s="124"/>
      <c r="BV275" s="124"/>
    </row>
    <row r="276" spans="72:74" x14ac:dyDescent="0.2">
      <c r="BT276" s="124"/>
      <c r="BU276" s="124"/>
      <c r="BV276" s="124"/>
    </row>
    <row r="277" spans="72:74" x14ac:dyDescent="0.2">
      <c r="BT277" s="124"/>
      <c r="BU277" s="124"/>
      <c r="BV277" s="124"/>
    </row>
    <row r="278" spans="72:74" x14ac:dyDescent="0.2">
      <c r="BT278" s="124"/>
      <c r="BU278" s="124"/>
      <c r="BV278" s="124"/>
    </row>
    <row r="279" spans="72:74" x14ac:dyDescent="0.2">
      <c r="BT279" s="124"/>
      <c r="BU279" s="124"/>
      <c r="BV279" s="124"/>
    </row>
    <row r="280" spans="72:74" x14ac:dyDescent="0.2">
      <c r="BT280" s="124"/>
      <c r="BU280" s="124"/>
      <c r="BV280" s="124"/>
    </row>
    <row r="281" spans="72:74" x14ac:dyDescent="0.2">
      <c r="BT281" s="124"/>
      <c r="BU281" s="124"/>
      <c r="BV281" s="124"/>
    </row>
    <row r="282" spans="72:74" x14ac:dyDescent="0.2">
      <c r="BT282" s="124"/>
      <c r="BU282" s="124"/>
      <c r="BV282" s="124"/>
    </row>
    <row r="283" spans="72:74" x14ac:dyDescent="0.2">
      <c r="BT283" s="124"/>
      <c r="BU283" s="124"/>
      <c r="BV283" s="124"/>
    </row>
    <row r="284" spans="72:74" x14ac:dyDescent="0.2">
      <c r="BT284" s="124"/>
      <c r="BU284" s="124"/>
      <c r="BV284" s="124"/>
    </row>
    <row r="285" spans="72:74" x14ac:dyDescent="0.2">
      <c r="BT285" s="124"/>
      <c r="BU285" s="124"/>
      <c r="BV285" s="124"/>
    </row>
    <row r="286" spans="72:74" x14ac:dyDescent="0.2">
      <c r="BT286" s="124"/>
      <c r="BU286" s="124"/>
      <c r="BV286" s="124"/>
    </row>
    <row r="287" spans="72:74" x14ac:dyDescent="0.2">
      <c r="BT287" s="124"/>
      <c r="BU287" s="124"/>
      <c r="BV287" s="124"/>
    </row>
    <row r="288" spans="72:74" x14ac:dyDescent="0.2">
      <c r="BT288" s="124"/>
      <c r="BU288" s="124"/>
      <c r="BV288" s="124"/>
    </row>
    <row r="289" spans="72:74" x14ac:dyDescent="0.2">
      <c r="BT289" s="124"/>
      <c r="BU289" s="124"/>
      <c r="BV289" s="124"/>
    </row>
    <row r="290" spans="72:74" x14ac:dyDescent="0.2">
      <c r="BT290" s="124"/>
      <c r="BU290" s="124"/>
      <c r="BV290" s="124"/>
    </row>
    <row r="291" spans="72:74" x14ac:dyDescent="0.2">
      <c r="BT291" s="124"/>
      <c r="BU291" s="124"/>
      <c r="BV291" s="124"/>
    </row>
    <row r="292" spans="72:74" x14ac:dyDescent="0.2">
      <c r="BT292" s="124"/>
      <c r="BU292" s="124"/>
      <c r="BV292" s="124"/>
    </row>
    <row r="293" spans="72:74" x14ac:dyDescent="0.2">
      <c r="BT293" s="124"/>
      <c r="BU293" s="124"/>
      <c r="BV293" s="124"/>
    </row>
    <row r="294" spans="72:74" x14ac:dyDescent="0.2">
      <c r="BT294" s="124"/>
      <c r="BU294" s="124"/>
      <c r="BV294" s="124"/>
    </row>
    <row r="295" spans="72:74" x14ac:dyDescent="0.2">
      <c r="BT295" s="124"/>
      <c r="BU295" s="124"/>
      <c r="BV295" s="124"/>
    </row>
    <row r="296" spans="72:74" x14ac:dyDescent="0.2">
      <c r="BT296" s="124"/>
      <c r="BU296" s="124"/>
      <c r="BV296" s="124"/>
    </row>
    <row r="297" spans="72:74" x14ac:dyDescent="0.2">
      <c r="BT297" s="124"/>
      <c r="BU297" s="124"/>
      <c r="BV297" s="124"/>
    </row>
    <row r="298" spans="72:74" x14ac:dyDescent="0.2">
      <c r="BT298" s="124"/>
      <c r="BU298" s="124"/>
      <c r="BV298" s="124"/>
    </row>
    <row r="299" spans="72:74" x14ac:dyDescent="0.2">
      <c r="BT299" s="124"/>
      <c r="BU299" s="124"/>
      <c r="BV299" s="124"/>
    </row>
    <row r="300" spans="72:74" x14ac:dyDescent="0.2">
      <c r="BT300" s="124"/>
      <c r="BU300" s="124"/>
      <c r="BV300" s="124"/>
    </row>
    <row r="301" spans="72:74" x14ac:dyDescent="0.2">
      <c r="BT301" s="124"/>
      <c r="BU301" s="124"/>
      <c r="BV301" s="124"/>
    </row>
    <row r="302" spans="72:74" x14ac:dyDescent="0.2">
      <c r="BT302" s="124"/>
      <c r="BU302" s="124"/>
      <c r="BV302" s="124"/>
    </row>
    <row r="303" spans="72:74" x14ac:dyDescent="0.2">
      <c r="BT303" s="124"/>
      <c r="BU303" s="124"/>
      <c r="BV303" s="124"/>
    </row>
    <row r="304" spans="72:74" x14ac:dyDescent="0.2">
      <c r="BT304" s="124"/>
      <c r="BU304" s="124"/>
      <c r="BV304" s="124"/>
    </row>
    <row r="305" spans="72:74" x14ac:dyDescent="0.2">
      <c r="BT305" s="124"/>
      <c r="BU305" s="124"/>
      <c r="BV305" s="124"/>
    </row>
    <row r="306" spans="72:74" x14ac:dyDescent="0.2">
      <c r="BT306" s="124"/>
      <c r="BU306" s="124"/>
      <c r="BV306" s="124"/>
    </row>
    <row r="307" spans="72:74" x14ac:dyDescent="0.2">
      <c r="BT307" s="124"/>
      <c r="BU307" s="124"/>
      <c r="BV307" s="124"/>
    </row>
    <row r="308" spans="72:74" x14ac:dyDescent="0.2">
      <c r="BT308" s="124"/>
      <c r="BU308" s="124"/>
      <c r="BV308" s="124"/>
    </row>
    <row r="309" spans="72:74" x14ac:dyDescent="0.2">
      <c r="BT309" s="124"/>
      <c r="BU309" s="124"/>
      <c r="BV309" s="124"/>
    </row>
    <row r="310" spans="72:74" x14ac:dyDescent="0.2">
      <c r="BT310" s="124"/>
      <c r="BU310" s="124"/>
      <c r="BV310" s="124"/>
    </row>
    <row r="311" spans="72:74" x14ac:dyDescent="0.2">
      <c r="BT311" s="124"/>
      <c r="BU311" s="124"/>
      <c r="BV311" s="124"/>
    </row>
    <row r="312" spans="72:74" x14ac:dyDescent="0.2">
      <c r="BT312" s="124"/>
      <c r="BU312" s="124"/>
      <c r="BV312" s="124"/>
    </row>
    <row r="313" spans="72:74" x14ac:dyDescent="0.2">
      <c r="BT313" s="124"/>
      <c r="BU313" s="124"/>
      <c r="BV313" s="124"/>
    </row>
    <row r="314" spans="72:74" x14ac:dyDescent="0.2">
      <c r="BT314" s="124"/>
      <c r="BU314" s="124"/>
      <c r="BV314" s="124"/>
    </row>
    <row r="315" spans="72:74" x14ac:dyDescent="0.2">
      <c r="BT315" s="124"/>
      <c r="BU315" s="124"/>
      <c r="BV315" s="124"/>
    </row>
    <row r="316" spans="72:74" x14ac:dyDescent="0.2">
      <c r="BT316" s="124"/>
      <c r="BU316" s="124"/>
      <c r="BV316" s="124"/>
    </row>
    <row r="317" spans="72:74" x14ac:dyDescent="0.2">
      <c r="BT317" s="124"/>
      <c r="BU317" s="124"/>
      <c r="BV317" s="124"/>
    </row>
    <row r="318" spans="72:74" x14ac:dyDescent="0.2">
      <c r="BT318" s="124"/>
      <c r="BU318" s="124"/>
      <c r="BV318" s="124"/>
    </row>
    <row r="319" spans="72:74" x14ac:dyDescent="0.2">
      <c r="BT319" s="124"/>
      <c r="BU319" s="124"/>
      <c r="BV319" s="124"/>
    </row>
    <row r="320" spans="72:74" x14ac:dyDescent="0.2">
      <c r="BT320" s="124"/>
      <c r="BU320" s="124"/>
      <c r="BV320" s="124"/>
    </row>
    <row r="321" spans="72:74" x14ac:dyDescent="0.2">
      <c r="BT321" s="124"/>
      <c r="BU321" s="124"/>
      <c r="BV321" s="124"/>
    </row>
    <row r="322" spans="72:74" x14ac:dyDescent="0.2">
      <c r="BT322" s="124"/>
      <c r="BU322" s="124"/>
      <c r="BV322" s="124"/>
    </row>
    <row r="323" spans="72:74" x14ac:dyDescent="0.2">
      <c r="BT323" s="124"/>
      <c r="BU323" s="124"/>
      <c r="BV323" s="124"/>
    </row>
    <row r="324" spans="72:74" x14ac:dyDescent="0.2">
      <c r="BT324" s="124"/>
      <c r="BU324" s="124"/>
      <c r="BV324" s="124"/>
    </row>
    <row r="325" spans="72:74" x14ac:dyDescent="0.2">
      <c r="BT325" s="124"/>
      <c r="BU325" s="124"/>
      <c r="BV325" s="124"/>
    </row>
    <row r="326" spans="72:74" x14ac:dyDescent="0.2">
      <c r="BT326" s="124"/>
      <c r="BU326" s="124"/>
      <c r="BV326" s="124"/>
    </row>
    <row r="327" spans="72:74" x14ac:dyDescent="0.2">
      <c r="BT327" s="124"/>
      <c r="BU327" s="124"/>
      <c r="BV327" s="124"/>
    </row>
    <row r="328" spans="72:74" x14ac:dyDescent="0.2">
      <c r="BT328" s="124"/>
      <c r="BU328" s="124"/>
      <c r="BV328" s="124"/>
    </row>
    <row r="329" spans="72:74" x14ac:dyDescent="0.2">
      <c r="BT329" s="124"/>
      <c r="BU329" s="124"/>
      <c r="BV329" s="124"/>
    </row>
    <row r="330" spans="72:74" x14ac:dyDescent="0.2">
      <c r="BT330" s="124"/>
      <c r="BU330" s="124"/>
      <c r="BV330" s="124"/>
    </row>
    <row r="331" spans="72:74" x14ac:dyDescent="0.2">
      <c r="BT331" s="124"/>
      <c r="BU331" s="124"/>
      <c r="BV331" s="124"/>
    </row>
    <row r="332" spans="72:74" x14ac:dyDescent="0.2">
      <c r="BT332" s="124"/>
      <c r="BU332" s="124"/>
      <c r="BV332" s="124"/>
    </row>
    <row r="333" spans="72:74" x14ac:dyDescent="0.2">
      <c r="BT333" s="124"/>
      <c r="BU333" s="124"/>
      <c r="BV333" s="124"/>
    </row>
    <row r="334" spans="72:74" x14ac:dyDescent="0.2">
      <c r="BT334" s="124"/>
      <c r="BU334" s="124"/>
      <c r="BV334" s="124"/>
    </row>
    <row r="335" spans="72:74" x14ac:dyDescent="0.2">
      <c r="BT335" s="124"/>
      <c r="BU335" s="124"/>
      <c r="BV335" s="124"/>
    </row>
    <row r="336" spans="72:74" x14ac:dyDescent="0.2">
      <c r="BT336" s="124"/>
      <c r="BU336" s="124"/>
      <c r="BV336" s="124"/>
    </row>
    <row r="337" spans="72:74" x14ac:dyDescent="0.2">
      <c r="BT337" s="124"/>
      <c r="BU337" s="124"/>
      <c r="BV337" s="124"/>
    </row>
    <row r="338" spans="72:74" x14ac:dyDescent="0.2">
      <c r="BT338" s="124"/>
      <c r="BU338" s="124"/>
      <c r="BV338" s="124"/>
    </row>
    <row r="339" spans="72:74" x14ac:dyDescent="0.2">
      <c r="BT339" s="124"/>
      <c r="BU339" s="124"/>
      <c r="BV339" s="124"/>
    </row>
    <row r="340" spans="72:74" x14ac:dyDescent="0.2">
      <c r="BT340" s="124"/>
      <c r="BU340" s="124"/>
      <c r="BV340" s="124"/>
    </row>
    <row r="341" spans="72:74" x14ac:dyDescent="0.2">
      <c r="BT341" s="124"/>
      <c r="BU341" s="124"/>
      <c r="BV341" s="124"/>
    </row>
    <row r="342" spans="72:74" x14ac:dyDescent="0.2">
      <c r="BT342" s="124"/>
      <c r="BU342" s="124"/>
      <c r="BV342" s="124"/>
    </row>
    <row r="343" spans="72:74" x14ac:dyDescent="0.2">
      <c r="BT343" s="124"/>
      <c r="BU343" s="124"/>
      <c r="BV343" s="124"/>
    </row>
    <row r="344" spans="72:74" x14ac:dyDescent="0.2">
      <c r="BT344" s="124"/>
      <c r="BU344" s="124"/>
      <c r="BV344" s="124"/>
    </row>
    <row r="345" spans="72:74" x14ac:dyDescent="0.2">
      <c r="BT345" s="124"/>
      <c r="BU345" s="124"/>
      <c r="BV345" s="124"/>
    </row>
    <row r="346" spans="72:74" x14ac:dyDescent="0.2">
      <c r="BT346" s="124"/>
      <c r="BU346" s="124"/>
      <c r="BV346" s="124"/>
    </row>
    <row r="347" spans="72:74" x14ac:dyDescent="0.2">
      <c r="BT347" s="124"/>
      <c r="BU347" s="124"/>
      <c r="BV347" s="124"/>
    </row>
    <row r="348" spans="72:74" x14ac:dyDescent="0.2">
      <c r="BT348" s="124"/>
      <c r="BU348" s="124"/>
      <c r="BV348" s="124"/>
    </row>
    <row r="349" spans="72:74" x14ac:dyDescent="0.2">
      <c r="BT349" s="124"/>
      <c r="BU349" s="124"/>
      <c r="BV349" s="124"/>
    </row>
    <row r="350" spans="72:74" x14ac:dyDescent="0.2">
      <c r="BT350" s="124"/>
      <c r="BU350" s="124"/>
      <c r="BV350" s="124"/>
    </row>
    <row r="351" spans="72:74" x14ac:dyDescent="0.2">
      <c r="BT351" s="124"/>
      <c r="BU351" s="124"/>
      <c r="BV351" s="124"/>
    </row>
    <row r="352" spans="72:74" x14ac:dyDescent="0.2">
      <c r="BT352" s="124"/>
      <c r="BU352" s="124"/>
      <c r="BV352" s="124"/>
    </row>
    <row r="353" spans="72:74" x14ac:dyDescent="0.2">
      <c r="BT353" s="124"/>
      <c r="BU353" s="124"/>
      <c r="BV353" s="124"/>
    </row>
    <row r="354" spans="72:74" x14ac:dyDescent="0.2">
      <c r="BT354" s="124"/>
      <c r="BU354" s="124"/>
      <c r="BV354" s="124"/>
    </row>
    <row r="355" spans="72:74" x14ac:dyDescent="0.2">
      <c r="BT355" s="124"/>
      <c r="BU355" s="124"/>
      <c r="BV355" s="124"/>
    </row>
    <row r="356" spans="72:74" x14ac:dyDescent="0.2">
      <c r="BT356" s="124"/>
      <c r="BU356" s="124"/>
      <c r="BV356" s="124"/>
    </row>
    <row r="357" spans="72:74" x14ac:dyDescent="0.2">
      <c r="BT357" s="124"/>
      <c r="BU357" s="124"/>
      <c r="BV357" s="124"/>
    </row>
    <row r="358" spans="72:74" x14ac:dyDescent="0.2">
      <c r="BT358" s="124"/>
      <c r="BU358" s="124"/>
      <c r="BV358" s="124"/>
    </row>
    <row r="359" spans="72:74" x14ac:dyDescent="0.2">
      <c r="BT359" s="124"/>
      <c r="BU359" s="124"/>
      <c r="BV359" s="124"/>
    </row>
    <row r="360" spans="72:74" x14ac:dyDescent="0.2">
      <c r="BT360" s="124"/>
      <c r="BU360" s="124"/>
      <c r="BV360" s="124"/>
    </row>
    <row r="361" spans="72:74" x14ac:dyDescent="0.2">
      <c r="BT361" s="124"/>
      <c r="BU361" s="124"/>
      <c r="BV361" s="124"/>
    </row>
    <row r="362" spans="72:74" x14ac:dyDescent="0.2">
      <c r="BT362" s="124"/>
      <c r="BU362" s="124"/>
      <c r="BV362" s="124"/>
    </row>
    <row r="363" spans="72:74" x14ac:dyDescent="0.2">
      <c r="BT363" s="124"/>
      <c r="BU363" s="124"/>
      <c r="BV363" s="124"/>
    </row>
    <row r="364" spans="72:74" x14ac:dyDescent="0.2">
      <c r="BT364" s="124"/>
      <c r="BU364" s="124"/>
      <c r="BV364" s="124"/>
    </row>
    <row r="365" spans="72:74" x14ac:dyDescent="0.2">
      <c r="BT365" s="124"/>
      <c r="BU365" s="124"/>
      <c r="BV365" s="124"/>
    </row>
    <row r="366" spans="72:74" x14ac:dyDescent="0.2">
      <c r="BT366" s="124"/>
      <c r="BU366" s="124"/>
      <c r="BV366" s="124"/>
    </row>
    <row r="367" spans="72:74" x14ac:dyDescent="0.2">
      <c r="BT367" s="124"/>
      <c r="BU367" s="124"/>
      <c r="BV367" s="124"/>
    </row>
    <row r="368" spans="72:74" x14ac:dyDescent="0.2">
      <c r="BT368" s="124"/>
      <c r="BU368" s="124"/>
      <c r="BV368" s="124"/>
    </row>
    <row r="369" spans="72:74" x14ac:dyDescent="0.2">
      <c r="BT369" s="124"/>
      <c r="BU369" s="124"/>
      <c r="BV369" s="124"/>
    </row>
    <row r="370" spans="72:74" x14ac:dyDescent="0.2">
      <c r="BT370" s="124"/>
      <c r="BU370" s="124"/>
      <c r="BV370" s="124"/>
    </row>
    <row r="371" spans="72:74" x14ac:dyDescent="0.2">
      <c r="BT371" s="124"/>
      <c r="BU371" s="124"/>
      <c r="BV371" s="124"/>
    </row>
    <row r="372" spans="72:74" x14ac:dyDescent="0.2">
      <c r="BT372" s="124"/>
      <c r="BU372" s="124"/>
      <c r="BV372" s="124"/>
    </row>
    <row r="373" spans="72:74" x14ac:dyDescent="0.2">
      <c r="BT373" s="124"/>
      <c r="BU373" s="124"/>
      <c r="BV373" s="124"/>
    </row>
    <row r="374" spans="72:74" x14ac:dyDescent="0.2">
      <c r="BT374" s="124"/>
      <c r="BU374" s="124"/>
      <c r="BV374" s="124"/>
    </row>
    <row r="375" spans="72:74" x14ac:dyDescent="0.2">
      <c r="BT375" s="124"/>
      <c r="BU375" s="124"/>
      <c r="BV375" s="124"/>
    </row>
    <row r="376" spans="72:74" x14ac:dyDescent="0.2">
      <c r="BT376" s="124"/>
      <c r="BU376" s="124"/>
      <c r="BV376" s="124"/>
    </row>
    <row r="377" spans="72:74" x14ac:dyDescent="0.2">
      <c r="BT377" s="124"/>
      <c r="BU377" s="124"/>
      <c r="BV377" s="124"/>
    </row>
    <row r="378" spans="72:74" x14ac:dyDescent="0.2">
      <c r="BT378" s="124"/>
      <c r="BU378" s="124"/>
      <c r="BV378" s="124"/>
    </row>
    <row r="379" spans="72:74" x14ac:dyDescent="0.2">
      <c r="BT379" s="124"/>
      <c r="BU379" s="124"/>
      <c r="BV379" s="124"/>
    </row>
    <row r="380" spans="72:74" x14ac:dyDescent="0.2">
      <c r="BT380" s="124"/>
      <c r="BU380" s="124"/>
      <c r="BV380" s="124"/>
    </row>
    <row r="381" spans="72:74" x14ac:dyDescent="0.2">
      <c r="BT381" s="124"/>
      <c r="BU381" s="124"/>
      <c r="BV381" s="124"/>
    </row>
    <row r="382" spans="72:74" x14ac:dyDescent="0.2">
      <c r="BT382" s="124"/>
      <c r="BU382" s="124"/>
      <c r="BV382" s="124"/>
    </row>
    <row r="383" spans="72:74" x14ac:dyDescent="0.2">
      <c r="BT383" s="124"/>
      <c r="BU383" s="124"/>
      <c r="BV383" s="124"/>
    </row>
    <row r="384" spans="72:74" x14ac:dyDescent="0.2">
      <c r="BT384" s="124"/>
      <c r="BU384" s="124"/>
      <c r="BV384" s="124"/>
    </row>
    <row r="385" spans="72:74" x14ac:dyDescent="0.2">
      <c r="BT385" s="124"/>
      <c r="BU385" s="124"/>
      <c r="BV385" s="124"/>
    </row>
    <row r="386" spans="72:74" x14ac:dyDescent="0.2">
      <c r="BT386" s="124"/>
      <c r="BU386" s="124"/>
      <c r="BV386" s="124"/>
    </row>
    <row r="387" spans="72:74" x14ac:dyDescent="0.2">
      <c r="BT387" s="124"/>
      <c r="BU387" s="124"/>
      <c r="BV387" s="124"/>
    </row>
    <row r="388" spans="72:74" x14ac:dyDescent="0.2">
      <c r="BT388" s="124"/>
      <c r="BU388" s="124"/>
      <c r="BV388" s="124"/>
    </row>
    <row r="389" spans="72:74" x14ac:dyDescent="0.2">
      <c r="BT389" s="124"/>
      <c r="BU389" s="124"/>
      <c r="BV389" s="124"/>
    </row>
    <row r="390" spans="72:74" x14ac:dyDescent="0.2">
      <c r="BT390" s="124"/>
      <c r="BU390" s="124"/>
      <c r="BV390" s="124"/>
    </row>
    <row r="391" spans="72:74" x14ac:dyDescent="0.2">
      <c r="BT391" s="124"/>
      <c r="BU391" s="124"/>
      <c r="BV391" s="124"/>
    </row>
    <row r="392" spans="72:74" x14ac:dyDescent="0.2">
      <c r="BT392" s="124"/>
      <c r="BU392" s="124"/>
      <c r="BV392" s="124"/>
    </row>
    <row r="393" spans="72:74" x14ac:dyDescent="0.2">
      <c r="BT393" s="124"/>
      <c r="BU393" s="124"/>
      <c r="BV393" s="124"/>
    </row>
    <row r="394" spans="72:74" x14ac:dyDescent="0.2">
      <c r="BT394" s="124"/>
      <c r="BU394" s="124"/>
      <c r="BV394" s="124"/>
    </row>
    <row r="395" spans="72:74" x14ac:dyDescent="0.2">
      <c r="BT395" s="124"/>
      <c r="BU395" s="124"/>
      <c r="BV395" s="124"/>
    </row>
    <row r="396" spans="72:74" x14ac:dyDescent="0.2">
      <c r="BT396" s="124"/>
      <c r="BU396" s="124"/>
      <c r="BV396" s="124"/>
    </row>
    <row r="397" spans="72:74" x14ac:dyDescent="0.2">
      <c r="BT397" s="124"/>
      <c r="BU397" s="124"/>
      <c r="BV397" s="124"/>
    </row>
    <row r="398" spans="72:74" x14ac:dyDescent="0.2">
      <c r="BT398" s="124"/>
      <c r="BU398" s="124"/>
      <c r="BV398" s="124"/>
    </row>
    <row r="399" spans="72:74" x14ac:dyDescent="0.2">
      <c r="BT399" s="124"/>
      <c r="BU399" s="124"/>
      <c r="BV399" s="124"/>
    </row>
    <row r="400" spans="72:74" x14ac:dyDescent="0.2">
      <c r="BT400" s="124"/>
      <c r="BU400" s="124"/>
      <c r="BV400" s="124"/>
    </row>
    <row r="401" spans="72:74" x14ac:dyDescent="0.2">
      <c r="BT401" s="124"/>
      <c r="BU401" s="124"/>
      <c r="BV401" s="124"/>
    </row>
    <row r="402" spans="72:74" x14ac:dyDescent="0.2">
      <c r="BT402" s="124"/>
      <c r="BU402" s="124"/>
      <c r="BV402" s="124"/>
    </row>
    <row r="403" spans="72:74" x14ac:dyDescent="0.2">
      <c r="BT403" s="124"/>
      <c r="BU403" s="124"/>
      <c r="BV403" s="124"/>
    </row>
    <row r="404" spans="72:74" x14ac:dyDescent="0.2">
      <c r="BT404" s="124"/>
      <c r="BU404" s="124"/>
      <c r="BV404" s="124"/>
    </row>
    <row r="405" spans="72:74" x14ac:dyDescent="0.2">
      <c r="BT405" s="124"/>
      <c r="BU405" s="124"/>
      <c r="BV405" s="124"/>
    </row>
    <row r="406" spans="72:74" x14ac:dyDescent="0.2">
      <c r="BT406" s="124"/>
      <c r="BU406" s="124"/>
      <c r="BV406" s="124"/>
    </row>
    <row r="407" spans="72:74" x14ac:dyDescent="0.2">
      <c r="BT407" s="124"/>
      <c r="BU407" s="124"/>
      <c r="BV407" s="124"/>
    </row>
    <row r="408" spans="72:74" x14ac:dyDescent="0.2">
      <c r="BT408" s="124"/>
      <c r="BU408" s="124"/>
      <c r="BV408" s="124"/>
    </row>
    <row r="409" spans="72:74" x14ac:dyDescent="0.2">
      <c r="BT409" s="124"/>
      <c r="BU409" s="124"/>
      <c r="BV409" s="124"/>
    </row>
    <row r="410" spans="72:74" x14ac:dyDescent="0.2">
      <c r="BT410" s="124"/>
      <c r="BU410" s="124"/>
      <c r="BV410" s="124"/>
    </row>
    <row r="411" spans="72:74" x14ac:dyDescent="0.2">
      <c r="BT411" s="124"/>
      <c r="BU411" s="124"/>
      <c r="BV411" s="124"/>
    </row>
    <row r="412" spans="72:74" x14ac:dyDescent="0.2">
      <c r="BT412" s="124"/>
      <c r="BU412" s="124"/>
      <c r="BV412" s="124"/>
    </row>
    <row r="413" spans="72:74" x14ac:dyDescent="0.2">
      <c r="BT413" s="124"/>
      <c r="BU413" s="124"/>
      <c r="BV413" s="124"/>
    </row>
    <row r="414" spans="72:74" x14ac:dyDescent="0.2">
      <c r="BT414" s="124"/>
      <c r="BU414" s="124"/>
      <c r="BV414" s="124"/>
    </row>
    <row r="415" spans="72:74" x14ac:dyDescent="0.2">
      <c r="BT415" s="124"/>
      <c r="BU415" s="124"/>
      <c r="BV415" s="124"/>
    </row>
    <row r="416" spans="72:74" x14ac:dyDescent="0.2">
      <c r="BT416" s="124"/>
      <c r="BU416" s="124"/>
      <c r="BV416" s="124"/>
    </row>
    <row r="417" spans="72:74" x14ac:dyDescent="0.2">
      <c r="BT417" s="124"/>
      <c r="BU417" s="124"/>
      <c r="BV417" s="124"/>
    </row>
    <row r="418" spans="72:74" x14ac:dyDescent="0.2">
      <c r="BT418" s="124"/>
      <c r="BU418" s="124"/>
      <c r="BV418" s="124"/>
    </row>
    <row r="419" spans="72:74" x14ac:dyDescent="0.2">
      <c r="BT419" s="124"/>
      <c r="BU419" s="124"/>
      <c r="BV419" s="124"/>
    </row>
    <row r="420" spans="72:74" x14ac:dyDescent="0.2">
      <c r="BT420" s="124"/>
      <c r="BU420" s="124"/>
      <c r="BV420" s="124"/>
    </row>
    <row r="421" spans="72:74" x14ac:dyDescent="0.2">
      <c r="BT421" s="124"/>
      <c r="BU421" s="124"/>
      <c r="BV421" s="124"/>
    </row>
    <row r="422" spans="72:74" x14ac:dyDescent="0.2">
      <c r="BT422" s="124"/>
      <c r="BU422" s="124"/>
      <c r="BV422" s="124"/>
    </row>
    <row r="423" spans="72:74" x14ac:dyDescent="0.2">
      <c r="BT423" s="124"/>
      <c r="BU423" s="124"/>
      <c r="BV423" s="124"/>
    </row>
    <row r="424" spans="72:74" x14ac:dyDescent="0.2">
      <c r="BT424" s="124"/>
      <c r="BU424" s="124"/>
      <c r="BV424" s="124"/>
    </row>
    <row r="425" spans="72:74" x14ac:dyDescent="0.2">
      <c r="BT425" s="124"/>
      <c r="BU425" s="124"/>
      <c r="BV425" s="124"/>
    </row>
    <row r="426" spans="72:74" x14ac:dyDescent="0.2">
      <c r="BT426" s="124"/>
      <c r="BU426" s="124"/>
      <c r="BV426" s="124"/>
    </row>
    <row r="427" spans="72:74" x14ac:dyDescent="0.2">
      <c r="BT427" s="124"/>
      <c r="BU427" s="124"/>
      <c r="BV427" s="124"/>
    </row>
    <row r="428" spans="72:74" x14ac:dyDescent="0.2">
      <c r="BT428" s="124"/>
      <c r="BU428" s="124"/>
      <c r="BV428" s="124"/>
    </row>
    <row r="429" spans="72:74" x14ac:dyDescent="0.2">
      <c r="BT429" s="124"/>
      <c r="BU429" s="124"/>
      <c r="BV429" s="124"/>
    </row>
    <row r="430" spans="72:74" x14ac:dyDescent="0.2">
      <c r="BT430" s="124"/>
      <c r="BU430" s="124"/>
      <c r="BV430" s="124"/>
    </row>
    <row r="431" spans="72:74" x14ac:dyDescent="0.2">
      <c r="BT431" s="124"/>
      <c r="BU431" s="124"/>
      <c r="BV431" s="124"/>
    </row>
    <row r="432" spans="72:74" x14ac:dyDescent="0.2">
      <c r="BT432" s="124"/>
      <c r="BU432" s="124"/>
      <c r="BV432" s="124"/>
    </row>
    <row r="433" spans="72:74" x14ac:dyDescent="0.2">
      <c r="BT433" s="124"/>
      <c r="BU433" s="124"/>
      <c r="BV433" s="124"/>
    </row>
    <row r="434" spans="72:74" x14ac:dyDescent="0.2">
      <c r="BT434" s="124"/>
      <c r="BU434" s="124"/>
      <c r="BV434" s="124"/>
    </row>
    <row r="435" spans="72:74" x14ac:dyDescent="0.2">
      <c r="BT435" s="124"/>
      <c r="BU435" s="124"/>
      <c r="BV435" s="124"/>
    </row>
    <row r="436" spans="72:74" x14ac:dyDescent="0.2">
      <c r="BT436" s="124"/>
      <c r="BU436" s="124"/>
      <c r="BV436" s="124"/>
    </row>
    <row r="437" spans="72:74" x14ac:dyDescent="0.2">
      <c r="BT437" s="124"/>
      <c r="BU437" s="124"/>
      <c r="BV437" s="124"/>
    </row>
    <row r="438" spans="72:74" x14ac:dyDescent="0.2">
      <c r="BT438" s="124"/>
      <c r="BU438" s="124"/>
      <c r="BV438" s="124"/>
    </row>
    <row r="439" spans="72:74" x14ac:dyDescent="0.2">
      <c r="BT439" s="124"/>
      <c r="BU439" s="124"/>
      <c r="BV439" s="124"/>
    </row>
    <row r="440" spans="72:74" x14ac:dyDescent="0.2">
      <c r="BT440" s="124"/>
      <c r="BU440" s="124"/>
      <c r="BV440" s="124"/>
    </row>
    <row r="441" spans="72:74" x14ac:dyDescent="0.2">
      <c r="BT441" s="124"/>
      <c r="BU441" s="124"/>
      <c r="BV441" s="124"/>
    </row>
    <row r="442" spans="72:74" x14ac:dyDescent="0.2">
      <c r="BT442" s="124"/>
      <c r="BU442" s="124"/>
      <c r="BV442" s="124"/>
    </row>
    <row r="443" spans="72:74" x14ac:dyDescent="0.2">
      <c r="BT443" s="124"/>
      <c r="BU443" s="124"/>
      <c r="BV443" s="124"/>
    </row>
    <row r="444" spans="72:74" x14ac:dyDescent="0.2">
      <c r="BT444" s="124"/>
      <c r="BU444" s="124"/>
      <c r="BV444" s="124"/>
    </row>
    <row r="445" spans="72:74" x14ac:dyDescent="0.2">
      <c r="BT445" s="124"/>
      <c r="BU445" s="124"/>
      <c r="BV445" s="124"/>
    </row>
    <row r="446" spans="72:74" x14ac:dyDescent="0.2">
      <c r="BT446" s="124"/>
      <c r="BU446" s="124"/>
      <c r="BV446" s="124"/>
    </row>
    <row r="447" spans="72:74" x14ac:dyDescent="0.2">
      <c r="BT447" s="124"/>
      <c r="BU447" s="124"/>
      <c r="BV447" s="124"/>
    </row>
    <row r="448" spans="72:74" x14ac:dyDescent="0.2">
      <c r="BT448" s="124"/>
      <c r="BU448" s="124"/>
      <c r="BV448" s="124"/>
    </row>
    <row r="449" spans="72:74" x14ac:dyDescent="0.2">
      <c r="BT449" s="124"/>
      <c r="BU449" s="124"/>
      <c r="BV449" s="124"/>
    </row>
    <row r="450" spans="72:74" x14ac:dyDescent="0.2">
      <c r="BT450" s="124"/>
      <c r="BU450" s="124"/>
      <c r="BV450" s="124"/>
    </row>
    <row r="451" spans="72:74" x14ac:dyDescent="0.2">
      <c r="BT451" s="124"/>
      <c r="BU451" s="124"/>
      <c r="BV451" s="124"/>
    </row>
    <row r="452" spans="72:74" x14ac:dyDescent="0.2">
      <c r="BT452" s="124"/>
      <c r="BU452" s="124"/>
      <c r="BV452" s="124"/>
    </row>
    <row r="453" spans="72:74" x14ac:dyDescent="0.2">
      <c r="BT453" s="124"/>
      <c r="BU453" s="124"/>
      <c r="BV453" s="124"/>
    </row>
    <row r="454" spans="72:74" x14ac:dyDescent="0.2">
      <c r="BT454" s="124"/>
      <c r="BU454" s="124"/>
      <c r="BV454" s="124"/>
    </row>
    <row r="455" spans="72:74" x14ac:dyDescent="0.2">
      <c r="BT455" s="124"/>
      <c r="BU455" s="124"/>
      <c r="BV455" s="124"/>
    </row>
    <row r="456" spans="72:74" x14ac:dyDescent="0.2">
      <c r="BT456" s="124"/>
      <c r="BU456" s="124"/>
      <c r="BV456" s="124"/>
    </row>
    <row r="457" spans="72:74" x14ac:dyDescent="0.2">
      <c r="BT457" s="124"/>
      <c r="BU457" s="124"/>
      <c r="BV457" s="124"/>
    </row>
    <row r="458" spans="72:74" x14ac:dyDescent="0.2">
      <c r="BT458" s="124"/>
      <c r="BU458" s="124"/>
      <c r="BV458" s="124"/>
    </row>
    <row r="459" spans="72:74" x14ac:dyDescent="0.2">
      <c r="BT459" s="124"/>
      <c r="BU459" s="124"/>
      <c r="BV459" s="124"/>
    </row>
    <row r="460" spans="72:74" x14ac:dyDescent="0.2">
      <c r="BT460" s="124"/>
      <c r="BU460" s="124"/>
      <c r="BV460" s="124"/>
    </row>
    <row r="461" spans="72:74" x14ac:dyDescent="0.2">
      <c r="BT461" s="124"/>
      <c r="BU461" s="124"/>
      <c r="BV461" s="124"/>
    </row>
    <row r="462" spans="72:74" x14ac:dyDescent="0.2">
      <c r="BT462" s="124"/>
      <c r="BU462" s="124"/>
      <c r="BV462" s="124"/>
    </row>
    <row r="463" spans="72:74" x14ac:dyDescent="0.2">
      <c r="BT463" s="124"/>
      <c r="BU463" s="124"/>
      <c r="BV463" s="124"/>
    </row>
    <row r="464" spans="72:74" x14ac:dyDescent="0.2">
      <c r="BT464" s="124"/>
      <c r="BU464" s="124"/>
      <c r="BV464" s="124"/>
    </row>
    <row r="465" spans="72:74" x14ac:dyDescent="0.2">
      <c r="BT465" s="124"/>
      <c r="BU465" s="124"/>
      <c r="BV465" s="124"/>
    </row>
    <row r="466" spans="72:74" x14ac:dyDescent="0.2">
      <c r="BT466" s="124"/>
      <c r="BU466" s="124"/>
      <c r="BV466" s="124"/>
    </row>
    <row r="467" spans="72:74" x14ac:dyDescent="0.2">
      <c r="BT467" s="124"/>
      <c r="BU467" s="124"/>
      <c r="BV467" s="124"/>
    </row>
    <row r="468" spans="72:74" x14ac:dyDescent="0.2">
      <c r="BT468" s="124"/>
      <c r="BU468" s="124"/>
      <c r="BV468" s="124"/>
    </row>
    <row r="469" spans="72:74" x14ac:dyDescent="0.2">
      <c r="BT469" s="124"/>
      <c r="BU469" s="124"/>
      <c r="BV469" s="124"/>
    </row>
    <row r="470" spans="72:74" x14ac:dyDescent="0.2">
      <c r="BT470" s="124"/>
      <c r="BU470" s="124"/>
      <c r="BV470" s="124"/>
    </row>
    <row r="471" spans="72:74" x14ac:dyDescent="0.2">
      <c r="BT471" s="124"/>
      <c r="BU471" s="124"/>
      <c r="BV471" s="124"/>
    </row>
    <row r="472" spans="72:74" x14ac:dyDescent="0.2">
      <c r="BT472" s="124"/>
      <c r="BU472" s="124"/>
      <c r="BV472" s="124"/>
    </row>
    <row r="473" spans="72:74" x14ac:dyDescent="0.2">
      <c r="BT473" s="124"/>
      <c r="BU473" s="124"/>
      <c r="BV473" s="124"/>
    </row>
    <row r="474" spans="72:74" x14ac:dyDescent="0.2">
      <c r="BT474" s="124"/>
      <c r="BU474" s="124"/>
      <c r="BV474" s="124"/>
    </row>
    <row r="475" spans="72:74" x14ac:dyDescent="0.2">
      <c r="BT475" s="124"/>
      <c r="BU475" s="124"/>
      <c r="BV475" s="124"/>
    </row>
    <row r="476" spans="72:74" x14ac:dyDescent="0.2">
      <c r="BT476" s="124"/>
      <c r="BU476" s="124"/>
      <c r="BV476" s="124"/>
    </row>
    <row r="477" spans="72:74" x14ac:dyDescent="0.2">
      <c r="BT477" s="124"/>
      <c r="BU477" s="124"/>
      <c r="BV477" s="124"/>
    </row>
    <row r="478" spans="72:74" x14ac:dyDescent="0.2">
      <c r="BT478" s="124"/>
      <c r="BU478" s="124"/>
      <c r="BV478" s="124"/>
    </row>
    <row r="479" spans="72:74" x14ac:dyDescent="0.2">
      <c r="BT479" s="124"/>
      <c r="BU479" s="124"/>
      <c r="BV479" s="124"/>
    </row>
    <row r="480" spans="72:74" x14ac:dyDescent="0.2">
      <c r="BT480" s="124"/>
      <c r="BU480" s="124"/>
      <c r="BV480" s="124"/>
    </row>
    <row r="481" spans="72:74" x14ac:dyDescent="0.2">
      <c r="BT481" s="124"/>
      <c r="BU481" s="124"/>
      <c r="BV481" s="124"/>
    </row>
    <row r="482" spans="72:74" x14ac:dyDescent="0.2">
      <c r="BT482" s="124"/>
      <c r="BU482" s="124"/>
      <c r="BV482" s="124"/>
    </row>
    <row r="483" spans="72:74" x14ac:dyDescent="0.2">
      <c r="BT483" s="124"/>
      <c r="BU483" s="124"/>
      <c r="BV483" s="124"/>
    </row>
    <row r="484" spans="72:74" x14ac:dyDescent="0.2">
      <c r="BT484" s="124"/>
      <c r="BU484" s="124"/>
      <c r="BV484" s="124"/>
    </row>
    <row r="485" spans="72:74" x14ac:dyDescent="0.2">
      <c r="BT485" s="124"/>
      <c r="BU485" s="124"/>
      <c r="BV485" s="124"/>
    </row>
    <row r="486" spans="72:74" x14ac:dyDescent="0.2">
      <c r="BT486" s="124"/>
      <c r="BU486" s="124"/>
      <c r="BV486" s="124"/>
    </row>
    <row r="487" spans="72:74" x14ac:dyDescent="0.2">
      <c r="BT487" s="124"/>
      <c r="BU487" s="124"/>
      <c r="BV487" s="124"/>
    </row>
    <row r="488" spans="72:74" x14ac:dyDescent="0.2">
      <c r="BT488" s="124"/>
      <c r="BU488" s="124"/>
      <c r="BV488" s="124"/>
    </row>
    <row r="489" spans="72:74" x14ac:dyDescent="0.2">
      <c r="BT489" s="124"/>
      <c r="BU489" s="124"/>
      <c r="BV489" s="124"/>
    </row>
    <row r="490" spans="72:74" x14ac:dyDescent="0.2">
      <c r="BT490" s="124"/>
      <c r="BU490" s="124"/>
      <c r="BV490" s="124"/>
    </row>
    <row r="491" spans="72:74" x14ac:dyDescent="0.2">
      <c r="BT491" s="124"/>
      <c r="BU491" s="124"/>
      <c r="BV491" s="124"/>
    </row>
    <row r="492" spans="72:74" x14ac:dyDescent="0.2">
      <c r="BT492" s="124"/>
      <c r="BU492" s="124"/>
      <c r="BV492" s="124"/>
    </row>
    <row r="493" spans="72:74" x14ac:dyDescent="0.2">
      <c r="BT493" s="124"/>
      <c r="BU493" s="124"/>
      <c r="BV493" s="124"/>
    </row>
    <row r="494" spans="72:74" x14ac:dyDescent="0.2">
      <c r="BT494" s="124"/>
      <c r="BU494" s="124"/>
      <c r="BV494" s="124"/>
    </row>
    <row r="495" spans="72:74" x14ac:dyDescent="0.2">
      <c r="BT495" s="124"/>
      <c r="BU495" s="124"/>
      <c r="BV495" s="124"/>
    </row>
    <row r="496" spans="72:74" x14ac:dyDescent="0.2">
      <c r="BT496" s="124"/>
      <c r="BU496" s="124"/>
      <c r="BV496" s="124"/>
    </row>
    <row r="497" spans="72:74" x14ac:dyDescent="0.2">
      <c r="BT497" s="124"/>
      <c r="BU497" s="124"/>
      <c r="BV497" s="124"/>
    </row>
    <row r="498" spans="72:74" x14ac:dyDescent="0.2">
      <c r="BT498" s="124"/>
      <c r="BU498" s="124"/>
      <c r="BV498" s="124"/>
    </row>
    <row r="499" spans="72:74" x14ac:dyDescent="0.2">
      <c r="BT499" s="124"/>
      <c r="BU499" s="124"/>
      <c r="BV499" s="124"/>
    </row>
    <row r="500" spans="72:74" x14ac:dyDescent="0.2">
      <c r="BT500" s="124"/>
      <c r="BU500" s="124"/>
      <c r="BV500" s="124"/>
    </row>
    <row r="501" spans="72:74" x14ac:dyDescent="0.2">
      <c r="BT501" s="124"/>
      <c r="BU501" s="124"/>
      <c r="BV501" s="124"/>
    </row>
    <row r="502" spans="72:74" x14ac:dyDescent="0.2">
      <c r="BT502" s="124"/>
      <c r="BU502" s="124"/>
      <c r="BV502" s="124"/>
    </row>
    <row r="503" spans="72:74" x14ac:dyDescent="0.2">
      <c r="BT503" s="124"/>
      <c r="BU503" s="124"/>
      <c r="BV503" s="124"/>
    </row>
    <row r="504" spans="72:74" x14ac:dyDescent="0.2">
      <c r="BT504" s="124"/>
      <c r="BU504" s="124"/>
      <c r="BV504" s="124"/>
    </row>
    <row r="505" spans="72:74" x14ac:dyDescent="0.2">
      <c r="BT505" s="124"/>
      <c r="BU505" s="124"/>
      <c r="BV505" s="124"/>
    </row>
    <row r="506" spans="72:74" x14ac:dyDescent="0.2">
      <c r="BT506" s="124"/>
      <c r="BU506" s="124"/>
      <c r="BV506" s="124"/>
    </row>
    <row r="507" spans="72:74" x14ac:dyDescent="0.2">
      <c r="BT507" s="124"/>
      <c r="BU507" s="124"/>
      <c r="BV507" s="124"/>
    </row>
    <row r="508" spans="72:74" x14ac:dyDescent="0.2">
      <c r="BT508" s="124"/>
      <c r="BU508" s="124"/>
      <c r="BV508" s="124"/>
    </row>
    <row r="509" spans="72:74" x14ac:dyDescent="0.2">
      <c r="BT509" s="124"/>
      <c r="BU509" s="124"/>
      <c r="BV509" s="124"/>
    </row>
    <row r="510" spans="72:74" x14ac:dyDescent="0.2">
      <c r="BT510" s="124"/>
      <c r="BU510" s="124"/>
      <c r="BV510" s="124"/>
    </row>
    <row r="511" spans="72:74" x14ac:dyDescent="0.2">
      <c r="BT511" s="124"/>
      <c r="BU511" s="124"/>
      <c r="BV511" s="124"/>
    </row>
    <row r="512" spans="72:74" x14ac:dyDescent="0.2">
      <c r="BT512" s="124"/>
      <c r="BU512" s="124"/>
      <c r="BV512" s="124"/>
    </row>
    <row r="513" spans="72:74" x14ac:dyDescent="0.2">
      <c r="BT513" s="124"/>
      <c r="BU513" s="124"/>
      <c r="BV513" s="124"/>
    </row>
    <row r="514" spans="72:74" x14ac:dyDescent="0.2">
      <c r="BT514" s="124"/>
      <c r="BU514" s="124"/>
      <c r="BV514" s="124"/>
    </row>
    <row r="515" spans="72:74" x14ac:dyDescent="0.2">
      <c r="BT515" s="124"/>
      <c r="BU515" s="124"/>
      <c r="BV515" s="124"/>
    </row>
    <row r="516" spans="72:74" x14ac:dyDescent="0.2">
      <c r="BT516" s="124"/>
      <c r="BU516" s="124"/>
      <c r="BV516" s="124"/>
    </row>
    <row r="517" spans="72:74" x14ac:dyDescent="0.2">
      <c r="BT517" s="124"/>
      <c r="BU517" s="124"/>
      <c r="BV517" s="124"/>
    </row>
    <row r="518" spans="72:74" x14ac:dyDescent="0.2">
      <c r="BT518" s="124"/>
      <c r="BU518" s="124"/>
      <c r="BV518" s="124"/>
    </row>
    <row r="519" spans="72:74" x14ac:dyDescent="0.2">
      <c r="BT519" s="124"/>
      <c r="BU519" s="124"/>
      <c r="BV519" s="124"/>
    </row>
    <row r="520" spans="72:74" x14ac:dyDescent="0.2">
      <c r="BT520" s="124"/>
      <c r="BU520" s="124"/>
      <c r="BV520" s="124"/>
    </row>
    <row r="521" spans="72:74" x14ac:dyDescent="0.2">
      <c r="BT521" s="124"/>
      <c r="BU521" s="124"/>
      <c r="BV521" s="124"/>
    </row>
    <row r="522" spans="72:74" x14ac:dyDescent="0.2">
      <c r="BT522" s="124"/>
      <c r="BU522" s="124"/>
      <c r="BV522" s="124"/>
    </row>
    <row r="523" spans="72:74" x14ac:dyDescent="0.2">
      <c r="BT523" s="124"/>
      <c r="BU523" s="124"/>
      <c r="BV523" s="124"/>
    </row>
    <row r="524" spans="72:74" x14ac:dyDescent="0.2">
      <c r="BT524" s="124"/>
      <c r="BU524" s="124"/>
      <c r="BV524" s="124"/>
    </row>
    <row r="525" spans="72:74" x14ac:dyDescent="0.2">
      <c r="BT525" s="124"/>
      <c r="BU525" s="124"/>
      <c r="BV525" s="124"/>
    </row>
    <row r="526" spans="72:74" x14ac:dyDescent="0.2">
      <c r="BT526" s="124"/>
      <c r="BU526" s="124"/>
      <c r="BV526" s="124"/>
    </row>
    <row r="527" spans="72:74" x14ac:dyDescent="0.2">
      <c r="BT527" s="124"/>
      <c r="BU527" s="124"/>
      <c r="BV527" s="124"/>
    </row>
    <row r="528" spans="72:74" x14ac:dyDescent="0.2">
      <c r="BT528" s="124"/>
      <c r="BU528" s="124"/>
      <c r="BV528" s="124"/>
    </row>
    <row r="529" spans="72:74" x14ac:dyDescent="0.2">
      <c r="BT529" s="124"/>
      <c r="BU529" s="124"/>
      <c r="BV529" s="124"/>
    </row>
    <row r="530" spans="72:74" x14ac:dyDescent="0.2">
      <c r="BT530" s="124"/>
      <c r="BU530" s="124"/>
      <c r="BV530" s="124"/>
    </row>
    <row r="531" spans="72:74" x14ac:dyDescent="0.2">
      <c r="BT531" s="124"/>
      <c r="BU531" s="124"/>
      <c r="BV531" s="124"/>
    </row>
    <row r="532" spans="72:74" x14ac:dyDescent="0.2">
      <c r="BT532" s="124"/>
      <c r="BU532" s="124"/>
      <c r="BV532" s="124"/>
    </row>
    <row r="533" spans="72:74" x14ac:dyDescent="0.2">
      <c r="BT533" s="124"/>
      <c r="BU533" s="124"/>
      <c r="BV533" s="124"/>
    </row>
    <row r="534" spans="72:74" x14ac:dyDescent="0.2">
      <c r="BT534" s="124"/>
      <c r="BU534" s="124"/>
      <c r="BV534" s="124"/>
    </row>
    <row r="535" spans="72:74" x14ac:dyDescent="0.2">
      <c r="BT535" s="124"/>
      <c r="BU535" s="124"/>
      <c r="BV535" s="124"/>
    </row>
    <row r="536" spans="72:74" x14ac:dyDescent="0.2">
      <c r="BT536" s="124"/>
      <c r="BU536" s="124"/>
      <c r="BV536" s="124"/>
    </row>
    <row r="537" spans="72:74" x14ac:dyDescent="0.2">
      <c r="BT537" s="124"/>
      <c r="BU537" s="124"/>
      <c r="BV537" s="124"/>
    </row>
    <row r="538" spans="72:74" x14ac:dyDescent="0.2">
      <c r="BT538" s="124"/>
      <c r="BU538" s="124"/>
      <c r="BV538" s="124"/>
    </row>
    <row r="539" spans="72:74" x14ac:dyDescent="0.2">
      <c r="BT539" s="124"/>
      <c r="BU539" s="124"/>
      <c r="BV539" s="124"/>
    </row>
    <row r="540" spans="72:74" x14ac:dyDescent="0.2">
      <c r="BT540" s="124"/>
      <c r="BU540" s="124"/>
      <c r="BV540" s="124"/>
    </row>
    <row r="541" spans="72:74" x14ac:dyDescent="0.2">
      <c r="BT541" s="124"/>
      <c r="BU541" s="124"/>
      <c r="BV541" s="124"/>
    </row>
    <row r="542" spans="72:74" x14ac:dyDescent="0.2">
      <c r="BT542" s="124"/>
      <c r="BU542" s="124"/>
      <c r="BV542" s="124"/>
    </row>
    <row r="543" spans="72:74" x14ac:dyDescent="0.2">
      <c r="BT543" s="124"/>
      <c r="BU543" s="124"/>
      <c r="BV543" s="124"/>
    </row>
    <row r="544" spans="72:74" x14ac:dyDescent="0.2">
      <c r="BT544" s="124"/>
      <c r="BU544" s="124"/>
      <c r="BV544" s="124"/>
    </row>
    <row r="545" spans="72:74" x14ac:dyDescent="0.2">
      <c r="BT545" s="124"/>
      <c r="BU545" s="124"/>
      <c r="BV545" s="124"/>
    </row>
    <row r="546" spans="72:74" x14ac:dyDescent="0.2">
      <c r="BT546" s="124"/>
      <c r="BU546" s="124"/>
      <c r="BV546" s="124"/>
    </row>
    <row r="547" spans="72:74" x14ac:dyDescent="0.2">
      <c r="BT547" s="124"/>
      <c r="BU547" s="124"/>
      <c r="BV547" s="124"/>
    </row>
    <row r="548" spans="72:74" x14ac:dyDescent="0.2">
      <c r="BT548" s="124"/>
      <c r="BU548" s="124"/>
      <c r="BV548" s="124"/>
    </row>
    <row r="549" spans="72:74" x14ac:dyDescent="0.2">
      <c r="BT549" s="124"/>
      <c r="BU549" s="124"/>
      <c r="BV549" s="124"/>
    </row>
    <row r="550" spans="72:74" x14ac:dyDescent="0.2">
      <c r="BT550" s="124"/>
      <c r="BU550" s="124"/>
      <c r="BV550" s="124"/>
    </row>
    <row r="551" spans="72:74" x14ac:dyDescent="0.2">
      <c r="BT551" s="124"/>
      <c r="BU551" s="124"/>
      <c r="BV551" s="124"/>
    </row>
    <row r="552" spans="72:74" x14ac:dyDescent="0.2">
      <c r="BT552" s="124"/>
      <c r="BU552" s="124"/>
      <c r="BV552" s="124"/>
    </row>
    <row r="553" spans="72:74" x14ac:dyDescent="0.2">
      <c r="BT553" s="124"/>
      <c r="BU553" s="124"/>
      <c r="BV553" s="124"/>
    </row>
    <row r="554" spans="72:74" x14ac:dyDescent="0.2">
      <c r="BT554" s="124"/>
      <c r="BU554" s="124"/>
      <c r="BV554" s="124"/>
    </row>
    <row r="555" spans="72:74" x14ac:dyDescent="0.2">
      <c r="BT555" s="124"/>
      <c r="BU555" s="124"/>
      <c r="BV555" s="124"/>
    </row>
    <row r="556" spans="72:74" x14ac:dyDescent="0.2">
      <c r="BT556" s="124"/>
      <c r="BU556" s="124"/>
      <c r="BV556" s="124"/>
    </row>
    <row r="557" spans="72:74" x14ac:dyDescent="0.2">
      <c r="BT557" s="124"/>
      <c r="BU557" s="124"/>
      <c r="BV557" s="124"/>
    </row>
    <row r="558" spans="72:74" x14ac:dyDescent="0.2">
      <c r="BT558" s="124"/>
      <c r="BU558" s="124"/>
      <c r="BV558" s="124"/>
    </row>
    <row r="559" spans="72:74" x14ac:dyDescent="0.2">
      <c r="BT559" s="124"/>
      <c r="BU559" s="124"/>
      <c r="BV559" s="124"/>
    </row>
    <row r="560" spans="72:74" x14ac:dyDescent="0.2">
      <c r="BT560" s="124"/>
      <c r="BU560" s="124"/>
      <c r="BV560" s="124"/>
    </row>
    <row r="561" spans="72:74" x14ac:dyDescent="0.2">
      <c r="BT561" s="124"/>
      <c r="BU561" s="124"/>
      <c r="BV561" s="124"/>
    </row>
    <row r="562" spans="72:74" x14ac:dyDescent="0.2">
      <c r="BT562" s="124"/>
      <c r="BU562" s="124"/>
      <c r="BV562" s="124"/>
    </row>
    <row r="563" spans="72:74" x14ac:dyDescent="0.2">
      <c r="BT563" s="124"/>
      <c r="BU563" s="124"/>
      <c r="BV563" s="124"/>
    </row>
    <row r="564" spans="72:74" x14ac:dyDescent="0.2">
      <c r="BT564" s="124"/>
      <c r="BU564" s="124"/>
      <c r="BV564" s="124"/>
    </row>
    <row r="565" spans="72:74" x14ac:dyDescent="0.2">
      <c r="BT565" s="124"/>
      <c r="BU565" s="124"/>
      <c r="BV565" s="124"/>
    </row>
    <row r="566" spans="72:74" x14ac:dyDescent="0.2">
      <c r="BT566" s="124"/>
      <c r="BU566" s="124"/>
      <c r="BV566" s="124"/>
    </row>
    <row r="567" spans="72:74" x14ac:dyDescent="0.2">
      <c r="BT567" s="124"/>
      <c r="BU567" s="124"/>
      <c r="BV567" s="124"/>
    </row>
    <row r="568" spans="72:74" x14ac:dyDescent="0.2">
      <c r="BT568" s="124"/>
      <c r="BU568" s="124"/>
      <c r="BV568" s="124"/>
    </row>
    <row r="569" spans="72:74" x14ac:dyDescent="0.2">
      <c r="BT569" s="124"/>
      <c r="BU569" s="124"/>
      <c r="BV569" s="124"/>
    </row>
    <row r="570" spans="72:74" x14ac:dyDescent="0.2">
      <c r="BT570" s="124"/>
      <c r="BU570" s="124"/>
      <c r="BV570" s="124"/>
    </row>
    <row r="571" spans="72:74" x14ac:dyDescent="0.2">
      <c r="BT571" s="124"/>
      <c r="BU571" s="124"/>
      <c r="BV571" s="124"/>
    </row>
    <row r="572" spans="72:74" x14ac:dyDescent="0.2">
      <c r="BT572" s="124"/>
      <c r="BU572" s="124"/>
      <c r="BV572" s="124"/>
    </row>
    <row r="573" spans="72:74" x14ac:dyDescent="0.2">
      <c r="BT573" s="124"/>
      <c r="BU573" s="124"/>
      <c r="BV573" s="124"/>
    </row>
    <row r="574" spans="72:74" x14ac:dyDescent="0.2">
      <c r="BT574" s="124"/>
      <c r="BU574" s="124"/>
      <c r="BV574" s="124"/>
    </row>
    <row r="575" spans="72:74" x14ac:dyDescent="0.2">
      <c r="BT575" s="124"/>
      <c r="BU575" s="124"/>
      <c r="BV575" s="124"/>
    </row>
    <row r="576" spans="72:74" x14ac:dyDescent="0.2">
      <c r="BT576" s="124"/>
      <c r="BU576" s="124"/>
      <c r="BV576" s="124"/>
    </row>
    <row r="577" spans="72:74" x14ac:dyDescent="0.2">
      <c r="BT577" s="124"/>
      <c r="BU577" s="124"/>
      <c r="BV577" s="124"/>
    </row>
    <row r="578" spans="72:74" x14ac:dyDescent="0.2">
      <c r="BT578" s="124"/>
      <c r="BU578" s="124"/>
      <c r="BV578" s="124"/>
    </row>
    <row r="579" spans="72:74" x14ac:dyDescent="0.2">
      <c r="BT579" s="124"/>
      <c r="BU579" s="124"/>
      <c r="BV579" s="124"/>
    </row>
    <row r="580" spans="72:74" x14ac:dyDescent="0.2">
      <c r="BT580" s="124"/>
      <c r="BU580" s="124"/>
      <c r="BV580" s="124"/>
    </row>
    <row r="581" spans="72:74" x14ac:dyDescent="0.2">
      <c r="BT581" s="124"/>
      <c r="BU581" s="124"/>
      <c r="BV581" s="124"/>
    </row>
    <row r="582" spans="72:74" x14ac:dyDescent="0.2">
      <c r="BT582" s="124"/>
      <c r="BU582" s="124"/>
      <c r="BV582" s="124"/>
    </row>
    <row r="583" spans="72:74" x14ac:dyDescent="0.2">
      <c r="BT583" s="124"/>
      <c r="BU583" s="124"/>
      <c r="BV583" s="124"/>
    </row>
    <row r="584" spans="72:74" x14ac:dyDescent="0.2">
      <c r="BT584" s="124"/>
      <c r="BU584" s="124"/>
      <c r="BV584" s="124"/>
    </row>
    <row r="585" spans="72:74" x14ac:dyDescent="0.2">
      <c r="BT585" s="124"/>
      <c r="BU585" s="124"/>
      <c r="BV585" s="124"/>
    </row>
    <row r="586" spans="72:74" x14ac:dyDescent="0.2">
      <c r="BT586" s="124"/>
      <c r="BU586" s="124"/>
      <c r="BV586" s="124"/>
    </row>
    <row r="587" spans="72:74" x14ac:dyDescent="0.2">
      <c r="BT587" s="124"/>
      <c r="BU587" s="124"/>
      <c r="BV587" s="124"/>
    </row>
    <row r="588" spans="72:74" x14ac:dyDescent="0.2">
      <c r="BT588" s="124"/>
      <c r="BU588" s="124"/>
      <c r="BV588" s="124"/>
    </row>
    <row r="589" spans="72:74" x14ac:dyDescent="0.2">
      <c r="BT589" s="124"/>
      <c r="BU589" s="124"/>
      <c r="BV589" s="124"/>
    </row>
    <row r="590" spans="72:74" x14ac:dyDescent="0.2">
      <c r="BT590" s="124"/>
      <c r="BU590" s="124"/>
      <c r="BV590" s="124"/>
    </row>
    <row r="591" spans="72:74" x14ac:dyDescent="0.2">
      <c r="BT591" s="124"/>
      <c r="BU591" s="124"/>
      <c r="BV591" s="124"/>
    </row>
    <row r="592" spans="72:74" x14ac:dyDescent="0.2">
      <c r="BT592" s="124"/>
      <c r="BU592" s="124"/>
      <c r="BV592" s="124"/>
    </row>
    <row r="593" spans="72:74" x14ac:dyDescent="0.2">
      <c r="BT593" s="124"/>
      <c r="BU593" s="124"/>
      <c r="BV593" s="124"/>
    </row>
    <row r="594" spans="72:74" x14ac:dyDescent="0.2">
      <c r="BT594" s="124"/>
      <c r="BU594" s="124"/>
      <c r="BV594" s="124"/>
    </row>
    <row r="595" spans="72:74" x14ac:dyDescent="0.2">
      <c r="BT595" s="124"/>
      <c r="BU595" s="124"/>
      <c r="BV595" s="124"/>
    </row>
    <row r="596" spans="72:74" x14ac:dyDescent="0.2">
      <c r="BT596" s="124"/>
      <c r="BU596" s="124"/>
      <c r="BV596" s="124"/>
    </row>
    <row r="597" spans="72:74" x14ac:dyDescent="0.2">
      <c r="BT597" s="124"/>
      <c r="BU597" s="124"/>
      <c r="BV597" s="124"/>
    </row>
    <row r="598" spans="72:74" x14ac:dyDescent="0.2">
      <c r="BT598" s="124"/>
      <c r="BU598" s="124"/>
      <c r="BV598" s="124"/>
    </row>
    <row r="599" spans="72:74" x14ac:dyDescent="0.2">
      <c r="BT599" s="124"/>
      <c r="BU599" s="124"/>
      <c r="BV599" s="124"/>
    </row>
    <row r="600" spans="72:74" x14ac:dyDescent="0.2">
      <c r="BT600" s="124"/>
      <c r="BU600" s="124"/>
      <c r="BV600" s="124"/>
    </row>
    <row r="601" spans="72:74" x14ac:dyDescent="0.2">
      <c r="BT601" s="124"/>
      <c r="BU601" s="124"/>
      <c r="BV601" s="124"/>
    </row>
    <row r="602" spans="72:74" x14ac:dyDescent="0.2">
      <c r="BT602" s="124"/>
      <c r="BU602" s="124"/>
      <c r="BV602" s="124"/>
    </row>
    <row r="603" spans="72:74" x14ac:dyDescent="0.2">
      <c r="BT603" s="124"/>
      <c r="BU603" s="124"/>
      <c r="BV603" s="124"/>
    </row>
    <row r="604" spans="72:74" x14ac:dyDescent="0.2">
      <c r="BT604" s="124"/>
      <c r="BU604" s="124"/>
      <c r="BV604" s="124"/>
    </row>
    <row r="605" spans="72:74" x14ac:dyDescent="0.2">
      <c r="BT605" s="124"/>
      <c r="BU605" s="124"/>
      <c r="BV605" s="124"/>
    </row>
    <row r="606" spans="72:74" x14ac:dyDescent="0.2">
      <c r="BT606" s="124"/>
      <c r="BU606" s="124"/>
      <c r="BV606" s="124"/>
    </row>
    <row r="607" spans="72:74" x14ac:dyDescent="0.2">
      <c r="BT607" s="124"/>
      <c r="BU607" s="124"/>
      <c r="BV607" s="124"/>
    </row>
    <row r="608" spans="72:74" x14ac:dyDescent="0.2">
      <c r="BT608" s="124"/>
      <c r="BU608" s="124"/>
      <c r="BV608" s="124"/>
    </row>
    <row r="609" spans="72:74" x14ac:dyDescent="0.2">
      <c r="BT609" s="124"/>
      <c r="BU609" s="124"/>
      <c r="BV609" s="124"/>
    </row>
    <row r="610" spans="72:74" x14ac:dyDescent="0.2">
      <c r="BT610" s="124"/>
      <c r="BU610" s="124"/>
      <c r="BV610" s="124"/>
    </row>
    <row r="611" spans="72:74" x14ac:dyDescent="0.2">
      <c r="BT611" s="124"/>
      <c r="BU611" s="124"/>
      <c r="BV611" s="124"/>
    </row>
    <row r="612" spans="72:74" x14ac:dyDescent="0.2">
      <c r="BT612" s="124"/>
      <c r="BU612" s="124"/>
      <c r="BV612" s="124"/>
    </row>
    <row r="613" spans="72:74" x14ac:dyDescent="0.2">
      <c r="BT613" s="124"/>
      <c r="BU613" s="124"/>
      <c r="BV613" s="124"/>
    </row>
    <row r="614" spans="72:74" x14ac:dyDescent="0.2">
      <c r="BT614" s="124"/>
      <c r="BU614" s="124"/>
      <c r="BV614" s="124"/>
    </row>
    <row r="615" spans="72:74" x14ac:dyDescent="0.2">
      <c r="BT615" s="124"/>
      <c r="BU615" s="124"/>
      <c r="BV615" s="124"/>
    </row>
    <row r="616" spans="72:74" x14ac:dyDescent="0.2">
      <c r="BT616" s="124"/>
      <c r="BU616" s="124"/>
      <c r="BV616" s="124"/>
    </row>
    <row r="617" spans="72:74" x14ac:dyDescent="0.2">
      <c r="BT617" s="124"/>
      <c r="BU617" s="124"/>
      <c r="BV617" s="124"/>
    </row>
    <row r="618" spans="72:74" x14ac:dyDescent="0.2">
      <c r="BT618" s="124"/>
      <c r="BU618" s="124"/>
      <c r="BV618" s="124"/>
    </row>
    <row r="619" spans="72:74" x14ac:dyDescent="0.2">
      <c r="BT619" s="124"/>
      <c r="BU619" s="124"/>
      <c r="BV619" s="124"/>
    </row>
    <row r="620" spans="72:74" x14ac:dyDescent="0.2">
      <c r="BT620" s="124"/>
      <c r="BU620" s="124"/>
      <c r="BV620" s="124"/>
    </row>
    <row r="621" spans="72:74" x14ac:dyDescent="0.2">
      <c r="BT621" s="124"/>
      <c r="BU621" s="124"/>
      <c r="BV621" s="124"/>
    </row>
    <row r="622" spans="72:74" x14ac:dyDescent="0.2">
      <c r="BT622" s="124"/>
      <c r="BU622" s="124"/>
      <c r="BV622" s="124"/>
    </row>
    <row r="623" spans="72:74" x14ac:dyDescent="0.2">
      <c r="BT623" s="124"/>
      <c r="BU623" s="124"/>
      <c r="BV623" s="124"/>
    </row>
    <row r="624" spans="72:74" x14ac:dyDescent="0.2">
      <c r="BT624" s="124"/>
      <c r="BU624" s="124"/>
      <c r="BV624" s="124"/>
    </row>
    <row r="625" spans="72:74" x14ac:dyDescent="0.2">
      <c r="BT625" s="124"/>
      <c r="BU625" s="124"/>
      <c r="BV625" s="124"/>
    </row>
    <row r="626" spans="72:74" x14ac:dyDescent="0.2">
      <c r="BT626" s="124"/>
      <c r="BU626" s="124"/>
      <c r="BV626" s="124"/>
    </row>
    <row r="627" spans="72:74" x14ac:dyDescent="0.2">
      <c r="BT627" s="124"/>
      <c r="BU627" s="124"/>
      <c r="BV627" s="124"/>
    </row>
    <row r="628" spans="72:74" x14ac:dyDescent="0.2">
      <c r="BT628" s="124"/>
      <c r="BU628" s="124"/>
      <c r="BV628" s="124"/>
    </row>
    <row r="629" spans="72:74" x14ac:dyDescent="0.2">
      <c r="BT629" s="124"/>
      <c r="BU629" s="124"/>
      <c r="BV629" s="124"/>
    </row>
    <row r="630" spans="72:74" x14ac:dyDescent="0.2">
      <c r="BT630" s="124"/>
      <c r="BU630" s="124"/>
      <c r="BV630" s="124"/>
    </row>
    <row r="631" spans="72:74" x14ac:dyDescent="0.2">
      <c r="BT631" s="124"/>
      <c r="BU631" s="124"/>
      <c r="BV631" s="124"/>
    </row>
    <row r="632" spans="72:74" x14ac:dyDescent="0.2">
      <c r="BT632" s="124"/>
      <c r="BU632" s="124"/>
      <c r="BV632" s="124"/>
    </row>
    <row r="633" spans="72:74" x14ac:dyDescent="0.2">
      <c r="BT633" s="124"/>
      <c r="BU633" s="124"/>
      <c r="BV633" s="124"/>
    </row>
    <row r="634" spans="72:74" x14ac:dyDescent="0.2">
      <c r="BT634" s="124"/>
      <c r="BU634" s="124"/>
      <c r="BV634" s="124"/>
    </row>
    <row r="635" spans="72:74" x14ac:dyDescent="0.2">
      <c r="BT635" s="124"/>
      <c r="BU635" s="124"/>
      <c r="BV635" s="124"/>
    </row>
    <row r="636" spans="72:74" x14ac:dyDescent="0.2">
      <c r="BT636" s="124"/>
      <c r="BU636" s="124"/>
      <c r="BV636" s="124"/>
    </row>
    <row r="637" spans="72:74" x14ac:dyDescent="0.2">
      <c r="BT637" s="124"/>
      <c r="BU637" s="124"/>
      <c r="BV637" s="124"/>
    </row>
    <row r="638" spans="72:74" x14ac:dyDescent="0.2">
      <c r="BT638" s="124"/>
      <c r="BU638" s="124"/>
      <c r="BV638" s="124"/>
    </row>
    <row r="639" spans="72:74" x14ac:dyDescent="0.2">
      <c r="BT639" s="124"/>
      <c r="BU639" s="124"/>
      <c r="BV639" s="124"/>
    </row>
    <row r="640" spans="72:74" x14ac:dyDescent="0.2">
      <c r="BT640" s="124"/>
      <c r="BU640" s="124"/>
      <c r="BV640" s="124"/>
    </row>
    <row r="641" spans="72:74" x14ac:dyDescent="0.2">
      <c r="BT641" s="124"/>
      <c r="BU641" s="124"/>
      <c r="BV641" s="124"/>
    </row>
    <row r="642" spans="72:74" x14ac:dyDescent="0.2">
      <c r="BT642" s="124"/>
      <c r="BU642" s="124"/>
      <c r="BV642" s="124"/>
    </row>
    <row r="643" spans="72:74" x14ac:dyDescent="0.2">
      <c r="BT643" s="124"/>
      <c r="BU643" s="124"/>
      <c r="BV643" s="124"/>
    </row>
    <row r="644" spans="72:74" x14ac:dyDescent="0.2">
      <c r="BT644" s="124"/>
      <c r="BU644" s="124"/>
      <c r="BV644" s="124"/>
    </row>
    <row r="645" spans="72:74" x14ac:dyDescent="0.2">
      <c r="BT645" s="124"/>
      <c r="BU645" s="124"/>
      <c r="BV645" s="124"/>
    </row>
    <row r="646" spans="72:74" x14ac:dyDescent="0.2">
      <c r="BT646" s="124"/>
      <c r="BU646" s="124"/>
      <c r="BV646" s="124"/>
    </row>
    <row r="647" spans="72:74" x14ac:dyDescent="0.2">
      <c r="BT647" s="124"/>
      <c r="BU647" s="124"/>
      <c r="BV647" s="124"/>
    </row>
    <row r="648" spans="72:74" x14ac:dyDescent="0.2">
      <c r="BT648" s="124"/>
      <c r="BU648" s="124"/>
      <c r="BV648" s="124"/>
    </row>
    <row r="649" spans="72:74" x14ac:dyDescent="0.2">
      <c r="BT649" s="124"/>
      <c r="BU649" s="124"/>
      <c r="BV649" s="124"/>
    </row>
    <row r="650" spans="72:74" x14ac:dyDescent="0.2">
      <c r="BT650" s="124"/>
      <c r="BU650" s="124"/>
      <c r="BV650" s="124"/>
    </row>
    <row r="651" spans="72:74" x14ac:dyDescent="0.2">
      <c r="BT651" s="124"/>
      <c r="BU651" s="124"/>
      <c r="BV651" s="124"/>
    </row>
    <row r="652" spans="72:74" x14ac:dyDescent="0.2">
      <c r="BT652" s="124"/>
      <c r="BU652" s="124"/>
      <c r="BV652" s="124"/>
    </row>
    <row r="653" spans="72:74" x14ac:dyDescent="0.2">
      <c r="BT653" s="124"/>
      <c r="BU653" s="124"/>
      <c r="BV653" s="124"/>
    </row>
    <row r="654" spans="72:74" x14ac:dyDescent="0.2">
      <c r="BT654" s="124"/>
      <c r="BU654" s="124"/>
      <c r="BV654" s="124"/>
    </row>
    <row r="655" spans="72:74" x14ac:dyDescent="0.2">
      <c r="BT655" s="124"/>
      <c r="BU655" s="124"/>
      <c r="BV655" s="124"/>
    </row>
    <row r="656" spans="72:74" x14ac:dyDescent="0.2">
      <c r="BT656" s="124"/>
      <c r="BU656" s="124"/>
      <c r="BV656" s="124"/>
    </row>
    <row r="657" spans="72:74" x14ac:dyDescent="0.2">
      <c r="BT657" s="124"/>
      <c r="BU657" s="124"/>
      <c r="BV657" s="124"/>
    </row>
    <row r="658" spans="72:74" x14ac:dyDescent="0.2">
      <c r="BT658" s="124"/>
      <c r="BU658" s="124"/>
      <c r="BV658" s="124"/>
    </row>
    <row r="659" spans="72:74" x14ac:dyDescent="0.2">
      <c r="BT659" s="124"/>
      <c r="BU659" s="124"/>
      <c r="BV659" s="124"/>
    </row>
    <row r="660" spans="72:74" x14ac:dyDescent="0.2">
      <c r="BT660" s="124"/>
      <c r="BU660" s="124"/>
      <c r="BV660" s="124"/>
    </row>
    <row r="661" spans="72:74" x14ac:dyDescent="0.2">
      <c r="BT661" s="124"/>
      <c r="BU661" s="124"/>
      <c r="BV661" s="124"/>
    </row>
    <row r="662" spans="72:74" x14ac:dyDescent="0.2">
      <c r="BT662" s="124"/>
      <c r="BU662" s="124"/>
      <c r="BV662" s="124"/>
    </row>
    <row r="663" spans="72:74" x14ac:dyDescent="0.2">
      <c r="BT663" s="124"/>
      <c r="BU663" s="124"/>
      <c r="BV663" s="124"/>
    </row>
    <row r="664" spans="72:74" x14ac:dyDescent="0.2">
      <c r="BT664" s="124"/>
      <c r="BU664" s="124"/>
      <c r="BV664" s="124"/>
    </row>
    <row r="665" spans="72:74" x14ac:dyDescent="0.2">
      <c r="BT665" s="124"/>
      <c r="BU665" s="124"/>
      <c r="BV665" s="124"/>
    </row>
    <row r="666" spans="72:74" x14ac:dyDescent="0.2">
      <c r="BT666" s="124"/>
      <c r="BU666" s="124"/>
      <c r="BV666" s="124"/>
    </row>
    <row r="667" spans="72:74" x14ac:dyDescent="0.2">
      <c r="BT667" s="124"/>
      <c r="BU667" s="124"/>
      <c r="BV667" s="124"/>
    </row>
    <row r="668" spans="72:74" x14ac:dyDescent="0.2">
      <c r="BT668" s="124"/>
      <c r="BU668" s="124"/>
      <c r="BV668" s="124"/>
    </row>
    <row r="669" spans="72:74" x14ac:dyDescent="0.2">
      <c r="BT669" s="124"/>
      <c r="BU669" s="124"/>
      <c r="BV669" s="124"/>
    </row>
    <row r="670" spans="72:74" x14ac:dyDescent="0.2">
      <c r="BT670" s="124"/>
      <c r="BU670" s="124"/>
      <c r="BV670" s="124"/>
    </row>
    <row r="671" spans="72:74" x14ac:dyDescent="0.2">
      <c r="BT671" s="124"/>
      <c r="BU671" s="124"/>
      <c r="BV671" s="124"/>
    </row>
    <row r="672" spans="72:74" x14ac:dyDescent="0.2">
      <c r="BT672" s="124"/>
      <c r="BU672" s="124"/>
      <c r="BV672" s="124"/>
    </row>
    <row r="673" spans="72:74" x14ac:dyDescent="0.2">
      <c r="BT673" s="124"/>
      <c r="BU673" s="124"/>
      <c r="BV673" s="124"/>
    </row>
    <row r="674" spans="72:74" x14ac:dyDescent="0.2">
      <c r="BT674" s="124"/>
      <c r="BU674" s="124"/>
      <c r="BV674" s="124"/>
    </row>
    <row r="675" spans="72:74" x14ac:dyDescent="0.2">
      <c r="BT675" s="124"/>
      <c r="BU675" s="124"/>
      <c r="BV675" s="124"/>
    </row>
    <row r="676" spans="72:74" x14ac:dyDescent="0.2">
      <c r="BT676" s="124"/>
      <c r="BU676" s="124"/>
      <c r="BV676" s="124"/>
    </row>
    <row r="677" spans="72:74" x14ac:dyDescent="0.2">
      <c r="BT677" s="124"/>
      <c r="BU677" s="124"/>
      <c r="BV677" s="124"/>
    </row>
    <row r="678" spans="72:74" x14ac:dyDescent="0.2">
      <c r="BT678" s="124"/>
      <c r="BU678" s="124"/>
      <c r="BV678" s="124"/>
    </row>
    <row r="679" spans="72:74" x14ac:dyDescent="0.2">
      <c r="BT679" s="124"/>
      <c r="BU679" s="124"/>
      <c r="BV679" s="124"/>
    </row>
    <row r="680" spans="72:74" x14ac:dyDescent="0.2">
      <c r="BT680" s="124"/>
      <c r="BU680" s="124"/>
      <c r="BV680" s="124"/>
    </row>
    <row r="681" spans="72:74" x14ac:dyDescent="0.2">
      <c r="BT681" s="124"/>
      <c r="BU681" s="124"/>
      <c r="BV681" s="124"/>
    </row>
    <row r="682" spans="72:74" x14ac:dyDescent="0.2">
      <c r="BT682" s="124"/>
      <c r="BU682" s="124"/>
      <c r="BV682" s="124"/>
    </row>
    <row r="683" spans="72:74" x14ac:dyDescent="0.2">
      <c r="BT683" s="124"/>
      <c r="BU683" s="124"/>
      <c r="BV683" s="124"/>
    </row>
    <row r="684" spans="72:74" x14ac:dyDescent="0.2">
      <c r="BT684" s="124"/>
      <c r="BU684" s="124"/>
      <c r="BV684" s="124"/>
    </row>
    <row r="685" spans="72:74" x14ac:dyDescent="0.2">
      <c r="BT685" s="124"/>
      <c r="BU685" s="124"/>
      <c r="BV685" s="124"/>
    </row>
    <row r="686" spans="72:74" x14ac:dyDescent="0.2">
      <c r="BT686" s="124"/>
      <c r="BU686" s="124"/>
      <c r="BV686" s="124"/>
    </row>
    <row r="687" spans="72:74" x14ac:dyDescent="0.2">
      <c r="BT687" s="124"/>
      <c r="BU687" s="124"/>
      <c r="BV687" s="124"/>
    </row>
    <row r="688" spans="72:74" x14ac:dyDescent="0.2">
      <c r="BT688" s="124"/>
      <c r="BU688" s="124"/>
      <c r="BV688" s="124"/>
    </row>
    <row r="689" spans="72:74" x14ac:dyDescent="0.2">
      <c r="BT689" s="124"/>
      <c r="BU689" s="124"/>
      <c r="BV689" s="124"/>
    </row>
    <row r="690" spans="72:74" x14ac:dyDescent="0.2">
      <c r="BT690" s="124"/>
      <c r="BU690" s="124"/>
      <c r="BV690" s="124"/>
    </row>
    <row r="691" spans="72:74" x14ac:dyDescent="0.2">
      <c r="BT691" s="124"/>
      <c r="BU691" s="124"/>
      <c r="BV691" s="124"/>
    </row>
    <row r="692" spans="72:74" x14ac:dyDescent="0.2">
      <c r="BT692" s="124"/>
      <c r="BU692" s="124"/>
      <c r="BV692" s="124"/>
    </row>
    <row r="693" spans="72:74" x14ac:dyDescent="0.2">
      <c r="BT693" s="124"/>
      <c r="BU693" s="124"/>
      <c r="BV693" s="124"/>
    </row>
    <row r="694" spans="72:74" x14ac:dyDescent="0.2">
      <c r="BT694" s="124"/>
      <c r="BU694" s="124"/>
      <c r="BV694" s="124"/>
    </row>
    <row r="695" spans="72:74" x14ac:dyDescent="0.2">
      <c r="BT695" s="124"/>
      <c r="BU695" s="124"/>
      <c r="BV695" s="124"/>
    </row>
    <row r="696" spans="72:74" x14ac:dyDescent="0.2">
      <c r="BT696" s="124"/>
      <c r="BU696" s="124"/>
      <c r="BV696" s="124"/>
    </row>
    <row r="697" spans="72:74" x14ac:dyDescent="0.2">
      <c r="BT697" s="124"/>
      <c r="BU697" s="124"/>
      <c r="BV697" s="124"/>
    </row>
    <row r="698" spans="72:74" x14ac:dyDescent="0.2">
      <c r="BT698" s="124"/>
      <c r="BU698" s="124"/>
      <c r="BV698" s="124"/>
    </row>
    <row r="699" spans="72:74" x14ac:dyDescent="0.2">
      <c r="BT699" s="124"/>
      <c r="BU699" s="124"/>
      <c r="BV699" s="124"/>
    </row>
    <row r="700" spans="72:74" x14ac:dyDescent="0.2">
      <c r="BT700" s="124"/>
      <c r="BU700" s="124"/>
      <c r="BV700" s="124"/>
    </row>
    <row r="701" spans="72:74" x14ac:dyDescent="0.2">
      <c r="BT701" s="124"/>
      <c r="BU701" s="124"/>
      <c r="BV701" s="124"/>
    </row>
    <row r="702" spans="72:74" x14ac:dyDescent="0.2">
      <c r="BT702" s="124"/>
      <c r="BU702" s="124"/>
      <c r="BV702" s="124"/>
    </row>
    <row r="703" spans="72:74" x14ac:dyDescent="0.2">
      <c r="BT703" s="124"/>
      <c r="BU703" s="124"/>
      <c r="BV703" s="124"/>
    </row>
    <row r="704" spans="72:74" x14ac:dyDescent="0.2">
      <c r="BT704" s="124"/>
      <c r="BU704" s="124"/>
      <c r="BV704" s="124"/>
    </row>
    <row r="705" spans="72:74" x14ac:dyDescent="0.2">
      <c r="BT705" s="124"/>
      <c r="BU705" s="124"/>
      <c r="BV705" s="124"/>
    </row>
    <row r="706" spans="72:74" x14ac:dyDescent="0.2">
      <c r="BT706" s="124"/>
      <c r="BU706" s="124"/>
      <c r="BV706" s="124"/>
    </row>
    <row r="707" spans="72:74" x14ac:dyDescent="0.2">
      <c r="BT707" s="124"/>
      <c r="BU707" s="124"/>
      <c r="BV707" s="124"/>
    </row>
    <row r="708" spans="72:74" x14ac:dyDescent="0.2">
      <c r="BT708" s="124"/>
      <c r="BU708" s="124"/>
      <c r="BV708" s="124"/>
    </row>
    <row r="709" spans="72:74" x14ac:dyDescent="0.2">
      <c r="BT709" s="124"/>
      <c r="BU709" s="124"/>
      <c r="BV709" s="124"/>
    </row>
    <row r="710" spans="72:74" x14ac:dyDescent="0.2">
      <c r="BT710" s="124"/>
      <c r="BU710" s="124"/>
      <c r="BV710" s="124"/>
    </row>
    <row r="711" spans="72:74" x14ac:dyDescent="0.2">
      <c r="BT711" s="124"/>
      <c r="BU711" s="124"/>
      <c r="BV711" s="124"/>
    </row>
    <row r="712" spans="72:74" x14ac:dyDescent="0.2">
      <c r="BT712" s="124"/>
      <c r="BU712" s="124"/>
      <c r="BV712" s="124"/>
    </row>
    <row r="713" spans="72:74" x14ac:dyDescent="0.2">
      <c r="BT713" s="124"/>
      <c r="BU713" s="124"/>
      <c r="BV713" s="124"/>
    </row>
    <row r="714" spans="72:74" x14ac:dyDescent="0.2">
      <c r="BT714" s="124"/>
      <c r="BU714" s="124"/>
      <c r="BV714" s="124"/>
    </row>
    <row r="715" spans="72:74" x14ac:dyDescent="0.2">
      <c r="BT715" s="124"/>
      <c r="BU715" s="124"/>
      <c r="BV715" s="124"/>
    </row>
    <row r="716" spans="72:74" x14ac:dyDescent="0.2">
      <c r="BT716" s="124"/>
      <c r="BU716" s="124"/>
      <c r="BV716" s="124"/>
    </row>
    <row r="717" spans="72:74" x14ac:dyDescent="0.2">
      <c r="BT717" s="124"/>
      <c r="BU717" s="124"/>
      <c r="BV717" s="124"/>
    </row>
    <row r="718" spans="72:74" x14ac:dyDescent="0.2">
      <c r="BT718" s="124"/>
      <c r="BU718" s="124"/>
      <c r="BV718" s="124"/>
    </row>
    <row r="719" spans="72:74" x14ac:dyDescent="0.2">
      <c r="BT719" s="124"/>
      <c r="BU719" s="124"/>
      <c r="BV719" s="124"/>
    </row>
    <row r="720" spans="72:74" x14ac:dyDescent="0.2">
      <c r="BT720" s="124"/>
      <c r="BU720" s="124"/>
      <c r="BV720" s="124"/>
    </row>
    <row r="721" spans="72:74" x14ac:dyDescent="0.2">
      <c r="BT721" s="124"/>
      <c r="BU721" s="124"/>
      <c r="BV721" s="124"/>
    </row>
    <row r="722" spans="72:74" x14ac:dyDescent="0.2">
      <c r="BT722" s="124"/>
      <c r="BU722" s="124"/>
      <c r="BV722" s="124"/>
    </row>
    <row r="723" spans="72:74" x14ac:dyDescent="0.2">
      <c r="BT723" s="124"/>
      <c r="BU723" s="124"/>
      <c r="BV723" s="124"/>
    </row>
    <row r="724" spans="72:74" x14ac:dyDescent="0.2">
      <c r="BT724" s="124"/>
      <c r="BU724" s="124"/>
      <c r="BV724" s="124"/>
    </row>
    <row r="725" spans="72:74" x14ac:dyDescent="0.2">
      <c r="BT725" s="124"/>
      <c r="BU725" s="124"/>
      <c r="BV725" s="124"/>
    </row>
    <row r="726" spans="72:74" x14ac:dyDescent="0.2">
      <c r="BT726" s="124"/>
      <c r="BU726" s="124"/>
      <c r="BV726" s="124"/>
    </row>
    <row r="727" spans="72:74" x14ac:dyDescent="0.2">
      <c r="BT727" s="124"/>
      <c r="BU727" s="124"/>
      <c r="BV727" s="124"/>
    </row>
    <row r="728" spans="72:74" x14ac:dyDescent="0.2">
      <c r="BT728" s="124"/>
      <c r="BU728" s="124"/>
      <c r="BV728" s="124"/>
    </row>
    <row r="729" spans="72:74" x14ac:dyDescent="0.2">
      <c r="BT729" s="124"/>
      <c r="BU729" s="124"/>
      <c r="BV729" s="124"/>
    </row>
    <row r="730" spans="72:74" x14ac:dyDescent="0.2">
      <c r="BT730" s="124"/>
      <c r="BU730" s="124"/>
      <c r="BV730" s="124"/>
    </row>
    <row r="731" spans="72:74" x14ac:dyDescent="0.2">
      <c r="BT731" s="124"/>
      <c r="BU731" s="124"/>
      <c r="BV731" s="124"/>
    </row>
    <row r="732" spans="72:74" x14ac:dyDescent="0.2">
      <c r="BT732" s="124"/>
      <c r="BU732" s="124"/>
      <c r="BV732" s="124"/>
    </row>
    <row r="733" spans="72:74" x14ac:dyDescent="0.2">
      <c r="BT733" s="124"/>
      <c r="BU733" s="124"/>
      <c r="BV733" s="124"/>
    </row>
    <row r="734" spans="72:74" x14ac:dyDescent="0.2">
      <c r="BT734" s="124"/>
      <c r="BU734" s="124"/>
      <c r="BV734" s="124"/>
    </row>
    <row r="735" spans="72:74" x14ac:dyDescent="0.2">
      <c r="BT735" s="124"/>
      <c r="BU735" s="124"/>
      <c r="BV735" s="124"/>
    </row>
    <row r="736" spans="72:74" x14ac:dyDescent="0.2">
      <c r="BT736" s="124"/>
      <c r="BU736" s="124"/>
      <c r="BV736" s="124"/>
    </row>
    <row r="737" spans="72:74" x14ac:dyDescent="0.2">
      <c r="BT737" s="124"/>
      <c r="BU737" s="124"/>
      <c r="BV737" s="124"/>
    </row>
    <row r="738" spans="72:74" x14ac:dyDescent="0.2">
      <c r="BT738" s="124"/>
      <c r="BU738" s="124"/>
      <c r="BV738" s="124"/>
    </row>
    <row r="739" spans="72:74" x14ac:dyDescent="0.2">
      <c r="BT739" s="124"/>
      <c r="BU739" s="124"/>
      <c r="BV739" s="124"/>
    </row>
    <row r="740" spans="72:74" x14ac:dyDescent="0.2">
      <c r="BT740" s="124"/>
      <c r="BU740" s="124"/>
      <c r="BV740" s="124"/>
    </row>
    <row r="741" spans="72:74" x14ac:dyDescent="0.2">
      <c r="BT741" s="124"/>
      <c r="BU741" s="124"/>
      <c r="BV741" s="124"/>
    </row>
    <row r="742" spans="72:74" x14ac:dyDescent="0.2">
      <c r="BT742" s="124"/>
      <c r="BU742" s="124"/>
      <c r="BV742" s="124"/>
    </row>
    <row r="743" spans="72:74" x14ac:dyDescent="0.2">
      <c r="BT743" s="124"/>
      <c r="BU743" s="124"/>
      <c r="BV743" s="124"/>
    </row>
    <row r="744" spans="72:74" x14ac:dyDescent="0.2">
      <c r="BT744" s="124"/>
      <c r="BU744" s="124"/>
      <c r="BV744" s="124"/>
    </row>
    <row r="745" spans="72:74" x14ac:dyDescent="0.2">
      <c r="BT745" s="124"/>
      <c r="BU745" s="124"/>
      <c r="BV745" s="124"/>
    </row>
    <row r="746" spans="72:74" x14ac:dyDescent="0.2">
      <c r="BT746" s="124"/>
      <c r="BU746" s="124"/>
      <c r="BV746" s="124"/>
    </row>
    <row r="747" spans="72:74" x14ac:dyDescent="0.2">
      <c r="BT747" s="124"/>
      <c r="BU747" s="124"/>
      <c r="BV747" s="124"/>
    </row>
    <row r="748" spans="72:74" x14ac:dyDescent="0.2">
      <c r="BT748" s="124"/>
      <c r="BU748" s="124"/>
      <c r="BV748" s="124"/>
    </row>
    <row r="749" spans="72:74" x14ac:dyDescent="0.2">
      <c r="BT749" s="124"/>
      <c r="BU749" s="124"/>
      <c r="BV749" s="124"/>
    </row>
    <row r="750" spans="72:74" x14ac:dyDescent="0.2">
      <c r="BT750" s="124"/>
      <c r="BU750" s="124"/>
      <c r="BV750" s="124"/>
    </row>
    <row r="751" spans="72:74" x14ac:dyDescent="0.2">
      <c r="BT751" s="124"/>
      <c r="BU751" s="124"/>
      <c r="BV751" s="124"/>
    </row>
    <row r="752" spans="72:74" x14ac:dyDescent="0.2">
      <c r="BT752" s="124"/>
      <c r="BU752" s="124"/>
      <c r="BV752" s="124"/>
    </row>
    <row r="753" spans="72:74" x14ac:dyDescent="0.2">
      <c r="BT753" s="124"/>
      <c r="BU753" s="124"/>
      <c r="BV753" s="124"/>
    </row>
    <row r="754" spans="72:74" x14ac:dyDescent="0.2">
      <c r="BT754" s="124"/>
      <c r="BU754" s="124"/>
      <c r="BV754" s="124"/>
    </row>
    <row r="755" spans="72:74" x14ac:dyDescent="0.2">
      <c r="BT755" s="124"/>
      <c r="BU755" s="124"/>
      <c r="BV755" s="124"/>
    </row>
    <row r="756" spans="72:74" x14ac:dyDescent="0.2">
      <c r="BT756" s="124"/>
      <c r="BU756" s="124"/>
      <c r="BV756" s="124"/>
    </row>
    <row r="757" spans="72:74" x14ac:dyDescent="0.2">
      <c r="BT757" s="124"/>
      <c r="BU757" s="124"/>
      <c r="BV757" s="124"/>
    </row>
    <row r="758" spans="72:74" x14ac:dyDescent="0.2">
      <c r="BT758" s="124"/>
      <c r="BU758" s="124"/>
      <c r="BV758" s="124"/>
    </row>
    <row r="759" spans="72:74" x14ac:dyDescent="0.2">
      <c r="BT759" s="124"/>
      <c r="BU759" s="124"/>
      <c r="BV759" s="124"/>
    </row>
    <row r="760" spans="72:74" x14ac:dyDescent="0.2">
      <c r="BT760" s="124"/>
      <c r="BU760" s="124"/>
      <c r="BV760" s="124"/>
    </row>
    <row r="761" spans="72:74" x14ac:dyDescent="0.2">
      <c r="BT761" s="124"/>
      <c r="BU761" s="124"/>
      <c r="BV761" s="124"/>
    </row>
    <row r="762" spans="72:74" x14ac:dyDescent="0.2">
      <c r="BT762" s="124"/>
      <c r="BU762" s="124"/>
      <c r="BV762" s="124"/>
    </row>
    <row r="763" spans="72:74" x14ac:dyDescent="0.2">
      <c r="BT763" s="124"/>
      <c r="BU763" s="124"/>
      <c r="BV763" s="124"/>
    </row>
    <row r="764" spans="72:74" x14ac:dyDescent="0.2">
      <c r="BT764" s="124"/>
      <c r="BU764" s="124"/>
      <c r="BV764" s="124"/>
    </row>
    <row r="765" spans="72:74" x14ac:dyDescent="0.2">
      <c r="BT765" s="124"/>
      <c r="BU765" s="124"/>
      <c r="BV765" s="124"/>
    </row>
    <row r="766" spans="72:74" x14ac:dyDescent="0.2">
      <c r="BT766" s="124"/>
      <c r="BU766" s="124"/>
      <c r="BV766" s="124"/>
    </row>
    <row r="767" spans="72:74" x14ac:dyDescent="0.2">
      <c r="BT767" s="124"/>
      <c r="BU767" s="124"/>
      <c r="BV767" s="124"/>
    </row>
    <row r="768" spans="72:74" x14ac:dyDescent="0.2">
      <c r="BT768" s="124"/>
      <c r="BU768" s="124"/>
      <c r="BV768" s="124"/>
    </row>
    <row r="769" spans="72:74" x14ac:dyDescent="0.2">
      <c r="BT769" s="124"/>
      <c r="BU769" s="124"/>
      <c r="BV769" s="124"/>
    </row>
    <row r="770" spans="72:74" x14ac:dyDescent="0.2">
      <c r="BT770" s="124"/>
      <c r="BU770" s="124"/>
      <c r="BV770" s="124"/>
    </row>
    <row r="771" spans="72:74" x14ac:dyDescent="0.2">
      <c r="BT771" s="124"/>
      <c r="BU771" s="124"/>
      <c r="BV771" s="124"/>
    </row>
    <row r="772" spans="72:74" x14ac:dyDescent="0.2">
      <c r="BT772" s="124"/>
      <c r="BU772" s="124"/>
      <c r="BV772" s="124"/>
    </row>
    <row r="773" spans="72:74" x14ac:dyDescent="0.2">
      <c r="BT773" s="124"/>
      <c r="BU773" s="124"/>
      <c r="BV773" s="124"/>
    </row>
    <row r="774" spans="72:74" x14ac:dyDescent="0.2">
      <c r="BT774" s="124"/>
      <c r="BU774" s="124"/>
      <c r="BV774" s="124"/>
    </row>
    <row r="775" spans="72:74" x14ac:dyDescent="0.2">
      <c r="BT775" s="124"/>
      <c r="BU775" s="124"/>
      <c r="BV775" s="124"/>
    </row>
    <row r="776" spans="72:74" x14ac:dyDescent="0.2">
      <c r="BT776" s="124"/>
      <c r="BU776" s="124"/>
      <c r="BV776" s="124"/>
    </row>
    <row r="777" spans="72:74" x14ac:dyDescent="0.2">
      <c r="BT777" s="124"/>
      <c r="BU777" s="124"/>
      <c r="BV777" s="124"/>
    </row>
    <row r="778" spans="72:74" x14ac:dyDescent="0.2">
      <c r="BT778" s="124"/>
      <c r="BU778" s="124"/>
      <c r="BV778" s="124"/>
    </row>
    <row r="779" spans="72:74" x14ac:dyDescent="0.2">
      <c r="BT779" s="124"/>
      <c r="BU779" s="124"/>
      <c r="BV779" s="124"/>
    </row>
    <row r="780" spans="72:74" x14ac:dyDescent="0.2">
      <c r="BT780" s="124"/>
      <c r="BU780" s="124"/>
      <c r="BV780" s="124"/>
    </row>
    <row r="781" spans="72:74" x14ac:dyDescent="0.2">
      <c r="BT781" s="124"/>
      <c r="BU781" s="124"/>
      <c r="BV781" s="124"/>
    </row>
    <row r="782" spans="72:74" x14ac:dyDescent="0.2">
      <c r="BT782" s="124"/>
      <c r="BU782" s="124"/>
      <c r="BV782" s="124"/>
    </row>
    <row r="783" spans="72:74" x14ac:dyDescent="0.2">
      <c r="BT783" s="124"/>
      <c r="BU783" s="124"/>
      <c r="BV783" s="124"/>
    </row>
    <row r="784" spans="72:74" x14ac:dyDescent="0.2">
      <c r="BT784" s="124"/>
      <c r="BU784" s="124"/>
      <c r="BV784" s="124"/>
    </row>
    <row r="785" spans="72:74" x14ac:dyDescent="0.2">
      <c r="BT785" s="124"/>
      <c r="BU785" s="124"/>
      <c r="BV785" s="124"/>
    </row>
    <row r="786" spans="72:74" x14ac:dyDescent="0.2">
      <c r="BT786" s="124"/>
      <c r="BU786" s="124"/>
      <c r="BV786" s="124"/>
    </row>
    <row r="787" spans="72:74" x14ac:dyDescent="0.2">
      <c r="BT787" s="124"/>
      <c r="BU787" s="124"/>
      <c r="BV787" s="124"/>
    </row>
    <row r="788" spans="72:74" x14ac:dyDescent="0.2">
      <c r="BT788" s="124"/>
      <c r="BU788" s="124"/>
      <c r="BV788" s="124"/>
    </row>
    <row r="789" spans="72:74" x14ac:dyDescent="0.2">
      <c r="BT789" s="124"/>
      <c r="BU789" s="124"/>
      <c r="BV789" s="124"/>
    </row>
    <row r="790" spans="72:74" x14ac:dyDescent="0.2">
      <c r="BT790" s="124"/>
      <c r="BU790" s="124"/>
      <c r="BV790" s="124"/>
    </row>
    <row r="791" spans="72:74" x14ac:dyDescent="0.2">
      <c r="BT791" s="124"/>
      <c r="BU791" s="124"/>
      <c r="BV791" s="124"/>
    </row>
    <row r="792" spans="72:74" x14ac:dyDescent="0.2">
      <c r="BT792" s="124"/>
      <c r="BU792" s="124"/>
      <c r="BV792" s="124"/>
    </row>
    <row r="793" spans="72:74" x14ac:dyDescent="0.2">
      <c r="BT793" s="124"/>
      <c r="BU793" s="124"/>
      <c r="BV793" s="124"/>
    </row>
    <row r="794" spans="72:74" x14ac:dyDescent="0.2">
      <c r="BT794" s="124"/>
      <c r="BU794" s="124"/>
      <c r="BV794" s="124"/>
    </row>
    <row r="795" spans="72:74" x14ac:dyDescent="0.2">
      <c r="BT795" s="124"/>
      <c r="BU795" s="124"/>
      <c r="BV795" s="124"/>
    </row>
    <row r="796" spans="72:74" x14ac:dyDescent="0.2">
      <c r="BT796" s="124"/>
      <c r="BU796" s="124"/>
      <c r="BV796" s="124"/>
    </row>
    <row r="797" spans="72:74" x14ac:dyDescent="0.2">
      <c r="BT797" s="124"/>
      <c r="BU797" s="124"/>
      <c r="BV797" s="124"/>
    </row>
    <row r="798" spans="72:74" x14ac:dyDescent="0.2">
      <c r="BT798" s="124"/>
      <c r="BU798" s="124"/>
      <c r="BV798" s="124"/>
    </row>
    <row r="799" spans="72:74" x14ac:dyDescent="0.2">
      <c r="BT799" s="124"/>
      <c r="BU799" s="124"/>
      <c r="BV799" s="124"/>
    </row>
    <row r="800" spans="72:74" x14ac:dyDescent="0.2">
      <c r="BT800" s="124"/>
      <c r="BU800" s="124"/>
      <c r="BV800" s="124"/>
    </row>
    <row r="801" spans="72:74" x14ac:dyDescent="0.2">
      <c r="BT801" s="124"/>
      <c r="BU801" s="124"/>
      <c r="BV801" s="124"/>
    </row>
    <row r="802" spans="72:74" x14ac:dyDescent="0.2">
      <c r="BT802" s="124"/>
      <c r="BU802" s="124"/>
      <c r="BV802" s="124"/>
    </row>
    <row r="803" spans="72:74" x14ac:dyDescent="0.2">
      <c r="BT803" s="124"/>
      <c r="BU803" s="124"/>
      <c r="BV803" s="124"/>
    </row>
    <row r="804" spans="72:74" x14ac:dyDescent="0.2">
      <c r="BT804" s="124"/>
      <c r="BU804" s="124"/>
      <c r="BV804" s="124"/>
    </row>
    <row r="805" spans="72:74" x14ac:dyDescent="0.2">
      <c r="BT805" s="124"/>
      <c r="BU805" s="124"/>
      <c r="BV805" s="124"/>
    </row>
    <row r="806" spans="72:74" x14ac:dyDescent="0.2">
      <c r="BT806" s="124"/>
      <c r="BU806" s="124"/>
      <c r="BV806" s="124"/>
    </row>
    <row r="807" spans="72:74" x14ac:dyDescent="0.2">
      <c r="BT807" s="124"/>
      <c r="BU807" s="124"/>
      <c r="BV807" s="124"/>
    </row>
    <row r="808" spans="72:74" x14ac:dyDescent="0.2">
      <c r="BT808" s="124"/>
      <c r="BU808" s="124"/>
      <c r="BV808" s="124"/>
    </row>
    <row r="809" spans="72:74" x14ac:dyDescent="0.2">
      <c r="BT809" s="124"/>
      <c r="BU809" s="124"/>
      <c r="BV809" s="124"/>
    </row>
    <row r="810" spans="72:74" x14ac:dyDescent="0.2">
      <c r="BT810" s="124"/>
      <c r="BU810" s="124"/>
      <c r="BV810" s="124"/>
    </row>
    <row r="811" spans="72:74" x14ac:dyDescent="0.2">
      <c r="BT811" s="124"/>
      <c r="BU811" s="124"/>
      <c r="BV811" s="124"/>
    </row>
    <row r="812" spans="72:74" x14ac:dyDescent="0.2">
      <c r="BT812" s="124"/>
      <c r="BU812" s="124"/>
      <c r="BV812" s="124"/>
    </row>
    <row r="813" spans="72:74" x14ac:dyDescent="0.2">
      <c r="BT813" s="124"/>
      <c r="BU813" s="124"/>
      <c r="BV813" s="124"/>
    </row>
    <row r="814" spans="72:74" x14ac:dyDescent="0.2">
      <c r="BT814" s="124"/>
      <c r="BU814" s="124"/>
      <c r="BV814" s="124"/>
    </row>
    <row r="815" spans="72:74" x14ac:dyDescent="0.2">
      <c r="BT815" s="124"/>
      <c r="BU815" s="124"/>
      <c r="BV815" s="124"/>
    </row>
    <row r="816" spans="72:74" x14ac:dyDescent="0.2">
      <c r="BT816" s="124"/>
      <c r="BU816" s="124"/>
      <c r="BV816" s="124"/>
    </row>
    <row r="817" spans="72:74" x14ac:dyDescent="0.2">
      <c r="BT817" s="124"/>
      <c r="BU817" s="124"/>
      <c r="BV817" s="124"/>
    </row>
    <row r="818" spans="72:74" x14ac:dyDescent="0.2">
      <c r="BT818" s="124"/>
      <c r="BU818" s="124"/>
      <c r="BV818" s="124"/>
    </row>
    <row r="819" spans="72:74" x14ac:dyDescent="0.2">
      <c r="BT819" s="124"/>
      <c r="BU819" s="124"/>
      <c r="BV819" s="124"/>
    </row>
    <row r="820" spans="72:74" x14ac:dyDescent="0.2">
      <c r="BT820" s="124"/>
      <c r="BU820" s="124"/>
      <c r="BV820" s="124"/>
    </row>
    <row r="821" spans="72:74" x14ac:dyDescent="0.2">
      <c r="BT821" s="124"/>
      <c r="BU821" s="124"/>
      <c r="BV821" s="124"/>
    </row>
    <row r="822" spans="72:74" x14ac:dyDescent="0.2">
      <c r="BT822" s="124"/>
      <c r="BU822" s="124"/>
      <c r="BV822" s="124"/>
    </row>
    <row r="823" spans="72:74" x14ac:dyDescent="0.2">
      <c r="BT823" s="124"/>
      <c r="BU823" s="124"/>
      <c r="BV823" s="124"/>
    </row>
    <row r="824" spans="72:74" x14ac:dyDescent="0.2">
      <c r="BT824" s="124"/>
      <c r="BU824" s="124"/>
      <c r="BV824" s="124"/>
    </row>
    <row r="825" spans="72:74" x14ac:dyDescent="0.2">
      <c r="BT825" s="124"/>
      <c r="BU825" s="124"/>
      <c r="BV825" s="124"/>
    </row>
    <row r="826" spans="72:74" x14ac:dyDescent="0.2">
      <c r="BT826" s="124"/>
      <c r="BU826" s="124"/>
      <c r="BV826" s="124"/>
    </row>
    <row r="827" spans="72:74" x14ac:dyDescent="0.2">
      <c r="BT827" s="124"/>
      <c r="BU827" s="124"/>
      <c r="BV827" s="124"/>
    </row>
    <row r="828" spans="72:74" x14ac:dyDescent="0.2">
      <c r="BT828" s="124"/>
      <c r="BU828" s="124"/>
      <c r="BV828" s="124"/>
    </row>
    <row r="829" spans="72:74" x14ac:dyDescent="0.2">
      <c r="BT829" s="124"/>
      <c r="BU829" s="124"/>
      <c r="BV829" s="124"/>
    </row>
    <row r="830" spans="72:74" x14ac:dyDescent="0.2">
      <c r="BT830" s="124"/>
      <c r="BU830" s="124"/>
      <c r="BV830" s="124"/>
    </row>
    <row r="831" spans="72:74" x14ac:dyDescent="0.2">
      <c r="BT831" s="124"/>
      <c r="BU831" s="124"/>
      <c r="BV831" s="124"/>
    </row>
    <row r="832" spans="72:74" x14ac:dyDescent="0.2">
      <c r="BT832" s="124"/>
      <c r="BU832" s="124"/>
      <c r="BV832" s="124"/>
    </row>
    <row r="833" spans="72:74" x14ac:dyDescent="0.2">
      <c r="BT833" s="124"/>
      <c r="BU833" s="124"/>
      <c r="BV833" s="124"/>
    </row>
    <row r="834" spans="72:74" x14ac:dyDescent="0.2">
      <c r="BT834" s="124"/>
      <c r="BU834" s="124"/>
      <c r="BV834" s="124"/>
    </row>
    <row r="835" spans="72:74" x14ac:dyDescent="0.2">
      <c r="BT835" s="124"/>
      <c r="BU835" s="124"/>
      <c r="BV835" s="124"/>
    </row>
    <row r="836" spans="72:74" x14ac:dyDescent="0.2">
      <c r="BT836" s="124"/>
      <c r="BU836" s="124"/>
      <c r="BV836" s="124"/>
    </row>
    <row r="837" spans="72:74" x14ac:dyDescent="0.2">
      <c r="BT837" s="124"/>
      <c r="BU837" s="124"/>
      <c r="BV837" s="124"/>
    </row>
    <row r="838" spans="72:74" x14ac:dyDescent="0.2">
      <c r="BT838" s="124"/>
      <c r="BU838" s="124"/>
      <c r="BV838" s="124"/>
    </row>
    <row r="839" spans="72:74" x14ac:dyDescent="0.2">
      <c r="BT839" s="124"/>
      <c r="BU839" s="124"/>
      <c r="BV839" s="124"/>
    </row>
    <row r="840" spans="72:74" x14ac:dyDescent="0.2">
      <c r="BT840" s="124"/>
      <c r="BU840" s="124"/>
      <c r="BV840" s="124"/>
    </row>
    <row r="841" spans="72:74" x14ac:dyDescent="0.2">
      <c r="BT841" s="124"/>
      <c r="BU841" s="124"/>
      <c r="BV841" s="124"/>
    </row>
    <row r="842" spans="72:74" x14ac:dyDescent="0.2">
      <c r="BT842" s="124"/>
      <c r="BU842" s="124"/>
      <c r="BV842" s="124"/>
    </row>
    <row r="843" spans="72:74" x14ac:dyDescent="0.2">
      <c r="BT843" s="124"/>
      <c r="BU843" s="124"/>
      <c r="BV843" s="124"/>
    </row>
    <row r="844" spans="72:74" x14ac:dyDescent="0.2">
      <c r="BT844" s="124"/>
      <c r="BU844" s="124"/>
      <c r="BV844" s="124"/>
    </row>
    <row r="845" spans="72:74" x14ac:dyDescent="0.2">
      <c r="BT845" s="124"/>
      <c r="BU845" s="124"/>
      <c r="BV845" s="124"/>
    </row>
    <row r="846" spans="72:74" x14ac:dyDescent="0.2">
      <c r="BT846" s="124"/>
      <c r="BU846" s="124"/>
      <c r="BV846" s="124"/>
    </row>
    <row r="847" spans="72:74" x14ac:dyDescent="0.2">
      <c r="BT847" s="124"/>
      <c r="BU847" s="124"/>
      <c r="BV847" s="124"/>
    </row>
    <row r="848" spans="72:74" x14ac:dyDescent="0.2">
      <c r="BT848" s="124"/>
      <c r="BU848" s="124"/>
      <c r="BV848" s="124"/>
    </row>
    <row r="849" spans="72:74" x14ac:dyDescent="0.2">
      <c r="BT849" s="124"/>
      <c r="BU849" s="124"/>
      <c r="BV849" s="124"/>
    </row>
    <row r="850" spans="72:74" x14ac:dyDescent="0.2">
      <c r="BT850" s="124"/>
      <c r="BU850" s="124"/>
      <c r="BV850" s="124"/>
    </row>
    <row r="851" spans="72:74" x14ac:dyDescent="0.2">
      <c r="BT851" s="124"/>
      <c r="BU851" s="124"/>
      <c r="BV851" s="124"/>
    </row>
    <row r="852" spans="72:74" x14ac:dyDescent="0.2">
      <c r="BT852" s="124"/>
      <c r="BU852" s="124"/>
      <c r="BV852" s="124"/>
    </row>
    <row r="853" spans="72:74" x14ac:dyDescent="0.2">
      <c r="BT853" s="124"/>
      <c r="BU853" s="124"/>
      <c r="BV853" s="124"/>
    </row>
    <row r="854" spans="72:74" x14ac:dyDescent="0.2">
      <c r="BT854" s="124"/>
      <c r="BU854" s="124"/>
      <c r="BV854" s="124"/>
    </row>
    <row r="855" spans="72:74" x14ac:dyDescent="0.2">
      <c r="BT855" s="124"/>
      <c r="BU855" s="124"/>
      <c r="BV855" s="124"/>
    </row>
    <row r="856" spans="72:74" x14ac:dyDescent="0.2">
      <c r="BT856" s="124"/>
      <c r="BU856" s="124"/>
      <c r="BV856" s="124"/>
    </row>
    <row r="857" spans="72:74" x14ac:dyDescent="0.2">
      <c r="BT857" s="124"/>
      <c r="BU857" s="124"/>
      <c r="BV857" s="124"/>
    </row>
    <row r="858" spans="72:74" x14ac:dyDescent="0.2">
      <c r="BT858" s="124"/>
      <c r="BU858" s="124"/>
      <c r="BV858" s="124"/>
    </row>
    <row r="859" spans="72:74" x14ac:dyDescent="0.2">
      <c r="BT859" s="124"/>
      <c r="BU859" s="124"/>
      <c r="BV859" s="124"/>
    </row>
    <row r="860" spans="72:74" x14ac:dyDescent="0.2">
      <c r="BT860" s="124"/>
      <c r="BU860" s="124"/>
      <c r="BV860" s="124"/>
    </row>
    <row r="861" spans="72:74" x14ac:dyDescent="0.2">
      <c r="BT861" s="124"/>
      <c r="BU861" s="124"/>
      <c r="BV861" s="124"/>
    </row>
    <row r="862" spans="72:74" x14ac:dyDescent="0.2">
      <c r="BT862" s="124"/>
      <c r="BU862" s="124"/>
      <c r="BV862" s="124"/>
    </row>
    <row r="863" spans="72:74" x14ac:dyDescent="0.2">
      <c r="BT863" s="124"/>
      <c r="BU863" s="124"/>
      <c r="BV863" s="124"/>
    </row>
    <row r="864" spans="72:74" x14ac:dyDescent="0.2">
      <c r="BT864" s="124"/>
      <c r="BU864" s="124"/>
      <c r="BV864" s="124"/>
    </row>
    <row r="865" spans="72:74" x14ac:dyDescent="0.2">
      <c r="BT865" s="124"/>
      <c r="BU865" s="124"/>
      <c r="BV865" s="124"/>
    </row>
    <row r="866" spans="72:74" x14ac:dyDescent="0.2">
      <c r="BT866" s="124"/>
      <c r="BU866" s="124"/>
      <c r="BV866" s="124"/>
    </row>
    <row r="867" spans="72:74" x14ac:dyDescent="0.2">
      <c r="BT867" s="124"/>
      <c r="BU867" s="124"/>
      <c r="BV867" s="124"/>
    </row>
    <row r="868" spans="72:74" x14ac:dyDescent="0.2">
      <c r="BT868" s="124"/>
      <c r="BU868" s="124"/>
      <c r="BV868" s="124"/>
    </row>
    <row r="869" spans="72:74" x14ac:dyDescent="0.2">
      <c r="BT869" s="124"/>
      <c r="BU869" s="124"/>
      <c r="BV869" s="124"/>
    </row>
    <row r="870" spans="72:74" x14ac:dyDescent="0.2">
      <c r="BT870" s="124"/>
      <c r="BU870" s="124"/>
      <c r="BV870" s="124"/>
    </row>
    <row r="871" spans="72:74" x14ac:dyDescent="0.2">
      <c r="BT871" s="124"/>
      <c r="BU871" s="124"/>
      <c r="BV871" s="124"/>
    </row>
    <row r="872" spans="72:74" x14ac:dyDescent="0.2">
      <c r="BT872" s="124"/>
      <c r="BU872" s="124"/>
      <c r="BV872" s="124"/>
    </row>
    <row r="873" spans="72:74" x14ac:dyDescent="0.2">
      <c r="BT873" s="124"/>
      <c r="BU873" s="124"/>
      <c r="BV873" s="124"/>
    </row>
    <row r="874" spans="72:74" x14ac:dyDescent="0.2">
      <c r="BT874" s="124"/>
      <c r="BU874" s="124"/>
      <c r="BV874" s="124"/>
    </row>
    <row r="875" spans="72:74" x14ac:dyDescent="0.2">
      <c r="BT875" s="124"/>
      <c r="BU875" s="124"/>
      <c r="BV875" s="124"/>
    </row>
    <row r="876" spans="72:74" x14ac:dyDescent="0.2">
      <c r="BT876" s="124"/>
      <c r="BU876" s="124"/>
      <c r="BV876" s="124"/>
    </row>
    <row r="877" spans="72:74" x14ac:dyDescent="0.2">
      <c r="BT877" s="124"/>
      <c r="BU877" s="124"/>
      <c r="BV877" s="124"/>
    </row>
    <row r="878" spans="72:74" x14ac:dyDescent="0.2">
      <c r="BT878" s="124"/>
      <c r="BU878" s="124"/>
      <c r="BV878" s="124"/>
    </row>
    <row r="879" spans="72:74" x14ac:dyDescent="0.2">
      <c r="BT879" s="124"/>
      <c r="BU879" s="124"/>
      <c r="BV879" s="124"/>
    </row>
    <row r="880" spans="72:74" x14ac:dyDescent="0.2">
      <c r="BT880" s="124"/>
      <c r="BU880" s="124"/>
      <c r="BV880" s="124"/>
    </row>
    <row r="881" spans="72:74" x14ac:dyDescent="0.2">
      <c r="BT881" s="124"/>
      <c r="BU881" s="124"/>
      <c r="BV881" s="124"/>
    </row>
    <row r="882" spans="72:74" x14ac:dyDescent="0.2">
      <c r="BT882" s="124"/>
      <c r="BU882" s="124"/>
      <c r="BV882" s="124"/>
    </row>
    <row r="883" spans="72:74" x14ac:dyDescent="0.2">
      <c r="BT883" s="124"/>
      <c r="BU883" s="124"/>
      <c r="BV883" s="124"/>
    </row>
    <row r="884" spans="72:74" x14ac:dyDescent="0.2">
      <c r="BT884" s="124"/>
      <c r="BU884" s="124"/>
      <c r="BV884" s="124"/>
    </row>
    <row r="885" spans="72:74" x14ac:dyDescent="0.2">
      <c r="BT885" s="124"/>
      <c r="BU885" s="124"/>
      <c r="BV885" s="124"/>
    </row>
    <row r="886" spans="72:74" x14ac:dyDescent="0.2">
      <c r="BT886" s="124"/>
      <c r="BU886" s="124"/>
      <c r="BV886" s="124"/>
    </row>
    <row r="887" spans="72:74" x14ac:dyDescent="0.2">
      <c r="BT887" s="124"/>
      <c r="BU887" s="124"/>
      <c r="BV887" s="124"/>
    </row>
    <row r="888" spans="72:74" x14ac:dyDescent="0.2">
      <c r="BT888" s="124"/>
      <c r="BU888" s="124"/>
      <c r="BV888" s="124"/>
    </row>
    <row r="889" spans="72:74" x14ac:dyDescent="0.2">
      <c r="BT889" s="124"/>
      <c r="BU889" s="124"/>
      <c r="BV889" s="124"/>
    </row>
    <row r="890" spans="72:74" x14ac:dyDescent="0.2">
      <c r="BT890" s="124"/>
      <c r="BU890" s="124"/>
      <c r="BV890" s="124"/>
    </row>
    <row r="891" spans="72:74" x14ac:dyDescent="0.2">
      <c r="BT891" s="124"/>
      <c r="BU891" s="124"/>
      <c r="BV891" s="124"/>
    </row>
    <row r="892" spans="72:74" x14ac:dyDescent="0.2">
      <c r="BT892" s="124"/>
      <c r="BU892" s="124"/>
      <c r="BV892" s="124"/>
    </row>
    <row r="893" spans="72:74" x14ac:dyDescent="0.2">
      <c r="BT893" s="124"/>
      <c r="BU893" s="124"/>
      <c r="BV893" s="124"/>
    </row>
    <row r="894" spans="72:74" x14ac:dyDescent="0.2">
      <c r="BT894" s="124"/>
      <c r="BU894" s="124"/>
      <c r="BV894" s="124"/>
    </row>
    <row r="895" spans="72:74" x14ac:dyDescent="0.2">
      <c r="BT895" s="124"/>
      <c r="BU895" s="124"/>
      <c r="BV895" s="124"/>
    </row>
    <row r="896" spans="72:74" x14ac:dyDescent="0.2">
      <c r="BT896" s="124"/>
      <c r="BU896" s="124"/>
      <c r="BV896" s="124"/>
    </row>
    <row r="897" spans="72:74" x14ac:dyDescent="0.2">
      <c r="BT897" s="124"/>
      <c r="BU897" s="124"/>
      <c r="BV897" s="124"/>
    </row>
    <row r="898" spans="72:74" x14ac:dyDescent="0.2">
      <c r="BT898" s="124"/>
      <c r="BU898" s="124"/>
      <c r="BV898" s="124"/>
    </row>
    <row r="899" spans="72:74" x14ac:dyDescent="0.2">
      <c r="BT899" s="124"/>
      <c r="BU899" s="124"/>
      <c r="BV899" s="124"/>
    </row>
    <row r="900" spans="72:74" x14ac:dyDescent="0.2">
      <c r="BT900" s="124"/>
      <c r="BU900" s="124"/>
      <c r="BV900" s="124"/>
    </row>
    <row r="901" spans="72:74" x14ac:dyDescent="0.2">
      <c r="BT901" s="124"/>
      <c r="BU901" s="124"/>
      <c r="BV901" s="124"/>
    </row>
    <row r="902" spans="72:74" x14ac:dyDescent="0.2">
      <c r="BT902" s="124"/>
      <c r="BU902" s="124"/>
      <c r="BV902" s="124"/>
    </row>
    <row r="903" spans="72:74" x14ac:dyDescent="0.2">
      <c r="BT903" s="124"/>
      <c r="BU903" s="124"/>
      <c r="BV903" s="124"/>
    </row>
    <row r="904" spans="72:74" x14ac:dyDescent="0.2">
      <c r="BT904" s="124"/>
      <c r="BU904" s="124"/>
      <c r="BV904" s="124"/>
    </row>
    <row r="905" spans="72:74" x14ac:dyDescent="0.2">
      <c r="BT905" s="124"/>
      <c r="BU905" s="124"/>
      <c r="BV905" s="124"/>
    </row>
    <row r="906" spans="72:74" x14ac:dyDescent="0.2">
      <c r="BT906" s="124"/>
      <c r="BU906" s="124"/>
      <c r="BV906" s="124"/>
    </row>
    <row r="907" spans="72:74" x14ac:dyDescent="0.2">
      <c r="BT907" s="124"/>
      <c r="BU907" s="124"/>
      <c r="BV907" s="124"/>
    </row>
    <row r="908" spans="72:74" x14ac:dyDescent="0.2">
      <c r="BT908" s="124"/>
      <c r="BU908" s="124"/>
      <c r="BV908" s="124"/>
    </row>
    <row r="909" spans="72:74" x14ac:dyDescent="0.2">
      <c r="BT909" s="124"/>
      <c r="BU909" s="124"/>
      <c r="BV909" s="124"/>
    </row>
    <row r="910" spans="72:74" x14ac:dyDescent="0.2">
      <c r="BT910" s="124"/>
      <c r="BU910" s="124"/>
      <c r="BV910" s="124"/>
    </row>
    <row r="911" spans="72:74" x14ac:dyDescent="0.2">
      <c r="BT911" s="124"/>
      <c r="BU911" s="124"/>
      <c r="BV911" s="124"/>
    </row>
    <row r="912" spans="72:74" x14ac:dyDescent="0.2">
      <c r="BT912" s="124"/>
      <c r="BU912" s="124"/>
      <c r="BV912" s="124"/>
    </row>
    <row r="913" spans="72:74" x14ac:dyDescent="0.2">
      <c r="BT913" s="124"/>
      <c r="BU913" s="124"/>
      <c r="BV913" s="124"/>
    </row>
    <row r="914" spans="72:74" x14ac:dyDescent="0.2">
      <c r="BT914" s="124"/>
      <c r="BU914" s="124"/>
      <c r="BV914" s="124"/>
    </row>
    <row r="915" spans="72:74" x14ac:dyDescent="0.2">
      <c r="BT915" s="124"/>
      <c r="BU915" s="124"/>
      <c r="BV915" s="124"/>
    </row>
    <row r="916" spans="72:74" x14ac:dyDescent="0.2">
      <c r="BT916" s="124"/>
      <c r="BU916" s="124"/>
      <c r="BV916" s="124"/>
    </row>
    <row r="917" spans="72:74" x14ac:dyDescent="0.2">
      <c r="BT917" s="124"/>
      <c r="BU917" s="124"/>
      <c r="BV917" s="124"/>
    </row>
    <row r="918" spans="72:74" x14ac:dyDescent="0.2">
      <c r="BT918" s="124"/>
      <c r="BU918" s="124"/>
      <c r="BV918" s="124"/>
    </row>
    <row r="919" spans="72:74" x14ac:dyDescent="0.2">
      <c r="BT919" s="124"/>
      <c r="BU919" s="124"/>
      <c r="BV919" s="124"/>
    </row>
    <row r="920" spans="72:74" x14ac:dyDescent="0.2">
      <c r="BT920" s="124"/>
      <c r="BU920" s="124"/>
      <c r="BV920" s="124"/>
    </row>
    <row r="921" spans="72:74" x14ac:dyDescent="0.2">
      <c r="BT921" s="124"/>
      <c r="BU921" s="124"/>
      <c r="BV921" s="124"/>
    </row>
    <row r="922" spans="72:74" x14ac:dyDescent="0.2">
      <c r="BT922" s="124"/>
      <c r="BU922" s="124"/>
      <c r="BV922" s="124"/>
    </row>
    <row r="923" spans="72:74" x14ac:dyDescent="0.2">
      <c r="BT923" s="124"/>
      <c r="BU923" s="124"/>
      <c r="BV923" s="124"/>
    </row>
    <row r="924" spans="72:74" x14ac:dyDescent="0.2">
      <c r="BT924" s="124"/>
      <c r="BU924" s="124"/>
      <c r="BV924" s="124"/>
    </row>
    <row r="925" spans="72:74" x14ac:dyDescent="0.2">
      <c r="BT925" s="124"/>
      <c r="BU925" s="124"/>
      <c r="BV925" s="124"/>
    </row>
    <row r="926" spans="72:74" x14ac:dyDescent="0.2">
      <c r="BT926" s="124"/>
      <c r="BU926" s="124"/>
      <c r="BV926" s="124"/>
    </row>
    <row r="927" spans="72:74" x14ac:dyDescent="0.2">
      <c r="BT927" s="124"/>
      <c r="BU927" s="124"/>
      <c r="BV927" s="124"/>
    </row>
    <row r="928" spans="72:74" x14ac:dyDescent="0.2">
      <c r="BT928" s="124"/>
      <c r="BU928" s="124"/>
      <c r="BV928" s="124"/>
    </row>
    <row r="929" spans="72:74" x14ac:dyDescent="0.2">
      <c r="BT929" s="124"/>
      <c r="BU929" s="124"/>
      <c r="BV929" s="124"/>
    </row>
    <row r="930" spans="72:74" x14ac:dyDescent="0.2">
      <c r="BT930" s="124"/>
      <c r="BU930" s="124"/>
      <c r="BV930" s="124"/>
    </row>
    <row r="931" spans="72:74" x14ac:dyDescent="0.2">
      <c r="BT931" s="124"/>
      <c r="BU931" s="124"/>
      <c r="BV931" s="124"/>
    </row>
    <row r="932" spans="72:74" x14ac:dyDescent="0.2">
      <c r="BT932" s="124"/>
      <c r="BU932" s="124"/>
      <c r="BV932" s="124"/>
    </row>
    <row r="933" spans="72:74" x14ac:dyDescent="0.2">
      <c r="BT933" s="124"/>
      <c r="BU933" s="124"/>
      <c r="BV933" s="124"/>
    </row>
    <row r="934" spans="72:74" x14ac:dyDescent="0.2">
      <c r="BT934" s="124"/>
      <c r="BU934" s="124"/>
      <c r="BV934" s="124"/>
    </row>
    <row r="935" spans="72:74" x14ac:dyDescent="0.2">
      <c r="BT935" s="124"/>
      <c r="BU935" s="124"/>
      <c r="BV935" s="124"/>
    </row>
    <row r="936" spans="72:74" x14ac:dyDescent="0.2">
      <c r="BT936" s="124"/>
      <c r="BU936" s="124"/>
      <c r="BV936" s="124"/>
    </row>
    <row r="937" spans="72:74" x14ac:dyDescent="0.2">
      <c r="BT937" s="124"/>
      <c r="BU937" s="124"/>
      <c r="BV937" s="124"/>
    </row>
    <row r="938" spans="72:74" x14ac:dyDescent="0.2">
      <c r="BT938" s="124"/>
      <c r="BU938" s="124"/>
      <c r="BV938" s="124"/>
    </row>
    <row r="939" spans="72:74" x14ac:dyDescent="0.2">
      <c r="BT939" s="124"/>
      <c r="BU939" s="124"/>
      <c r="BV939" s="124"/>
    </row>
    <row r="940" spans="72:74" x14ac:dyDescent="0.2">
      <c r="BT940" s="124"/>
      <c r="BU940" s="124"/>
      <c r="BV940" s="124"/>
    </row>
    <row r="941" spans="72:74" x14ac:dyDescent="0.2">
      <c r="BT941" s="124"/>
      <c r="BU941" s="124"/>
      <c r="BV941" s="124"/>
    </row>
    <row r="942" spans="72:74" x14ac:dyDescent="0.2">
      <c r="BT942" s="124"/>
      <c r="BU942" s="124"/>
      <c r="BV942" s="124"/>
    </row>
    <row r="943" spans="72:74" x14ac:dyDescent="0.2">
      <c r="BT943" s="124"/>
      <c r="BU943" s="124"/>
      <c r="BV943" s="124"/>
    </row>
    <row r="944" spans="72:74" x14ac:dyDescent="0.2">
      <c r="BT944" s="124"/>
      <c r="BU944" s="124"/>
      <c r="BV944" s="124"/>
    </row>
    <row r="945" spans="72:74" x14ac:dyDescent="0.2">
      <c r="BT945" s="124"/>
      <c r="BU945" s="124"/>
      <c r="BV945" s="124"/>
    </row>
    <row r="946" spans="72:74" x14ac:dyDescent="0.2">
      <c r="BT946" s="124"/>
      <c r="BU946" s="124"/>
      <c r="BV946" s="124"/>
    </row>
    <row r="947" spans="72:74" x14ac:dyDescent="0.2">
      <c r="BT947" s="124"/>
      <c r="BU947" s="124"/>
      <c r="BV947" s="124"/>
    </row>
    <row r="948" spans="72:74" x14ac:dyDescent="0.2">
      <c r="BT948" s="124"/>
      <c r="BU948" s="124"/>
      <c r="BV948" s="124"/>
    </row>
    <row r="949" spans="72:74" x14ac:dyDescent="0.2">
      <c r="BT949" s="124"/>
      <c r="BU949" s="124"/>
      <c r="BV949" s="124"/>
    </row>
    <row r="950" spans="72:74" x14ac:dyDescent="0.2">
      <c r="BT950" s="124"/>
      <c r="BU950" s="124"/>
      <c r="BV950" s="124"/>
    </row>
    <row r="951" spans="72:74" x14ac:dyDescent="0.2">
      <c r="BT951" s="124"/>
      <c r="BU951" s="124"/>
      <c r="BV951" s="124"/>
    </row>
    <row r="952" spans="72:74" x14ac:dyDescent="0.2">
      <c r="BT952" s="124"/>
      <c r="BU952" s="124"/>
      <c r="BV952" s="124"/>
    </row>
    <row r="953" spans="72:74" x14ac:dyDescent="0.2">
      <c r="BT953" s="124"/>
      <c r="BU953" s="124"/>
      <c r="BV953" s="124"/>
    </row>
    <row r="954" spans="72:74" x14ac:dyDescent="0.2">
      <c r="BT954" s="124"/>
      <c r="BU954" s="124"/>
      <c r="BV954" s="124"/>
    </row>
    <row r="955" spans="72:74" x14ac:dyDescent="0.2">
      <c r="BT955" s="124"/>
      <c r="BU955" s="124"/>
      <c r="BV955" s="124"/>
    </row>
    <row r="956" spans="72:74" x14ac:dyDescent="0.2">
      <c r="BT956" s="124"/>
      <c r="BU956" s="124"/>
      <c r="BV956" s="124"/>
    </row>
    <row r="957" spans="72:74" x14ac:dyDescent="0.2">
      <c r="BT957" s="124"/>
      <c r="BU957" s="124"/>
      <c r="BV957" s="124"/>
    </row>
    <row r="958" spans="72:74" x14ac:dyDescent="0.2">
      <c r="BT958" s="124"/>
      <c r="BU958" s="124"/>
      <c r="BV958" s="124"/>
    </row>
    <row r="959" spans="72:74" x14ac:dyDescent="0.2">
      <c r="BT959" s="124"/>
      <c r="BU959" s="124"/>
      <c r="BV959" s="124"/>
    </row>
    <row r="960" spans="72:74" x14ac:dyDescent="0.2">
      <c r="BT960" s="124"/>
      <c r="BU960" s="124"/>
      <c r="BV960" s="124"/>
    </row>
    <row r="961" spans="72:74" x14ac:dyDescent="0.2">
      <c r="BT961" s="124"/>
      <c r="BU961" s="124"/>
      <c r="BV961" s="124"/>
    </row>
    <row r="962" spans="72:74" x14ac:dyDescent="0.2">
      <c r="BT962" s="124"/>
      <c r="BU962" s="124"/>
      <c r="BV962" s="124"/>
    </row>
    <row r="963" spans="72:74" x14ac:dyDescent="0.2">
      <c r="BT963" s="124"/>
      <c r="BU963" s="124"/>
      <c r="BV963" s="124"/>
    </row>
    <row r="964" spans="72:74" x14ac:dyDescent="0.2">
      <c r="BT964" s="124"/>
      <c r="BU964" s="124"/>
      <c r="BV964" s="124"/>
    </row>
    <row r="965" spans="72:74" x14ac:dyDescent="0.2">
      <c r="BT965" s="124"/>
      <c r="BU965" s="124"/>
      <c r="BV965" s="124"/>
    </row>
    <row r="966" spans="72:74" x14ac:dyDescent="0.2">
      <c r="BT966" s="124"/>
      <c r="BU966" s="124"/>
      <c r="BV966" s="124"/>
    </row>
    <row r="967" spans="72:74" x14ac:dyDescent="0.2">
      <c r="BT967" s="124"/>
      <c r="BU967" s="124"/>
      <c r="BV967" s="124"/>
    </row>
    <row r="968" spans="72:74" x14ac:dyDescent="0.2">
      <c r="BT968" s="124"/>
      <c r="BU968" s="124"/>
      <c r="BV968" s="124"/>
    </row>
    <row r="969" spans="72:74" x14ac:dyDescent="0.2">
      <c r="BT969" s="124"/>
      <c r="BU969" s="124"/>
      <c r="BV969" s="124"/>
    </row>
    <row r="970" spans="72:74" x14ac:dyDescent="0.2">
      <c r="BT970" s="124"/>
      <c r="BU970" s="124"/>
      <c r="BV970" s="124"/>
    </row>
    <row r="971" spans="72:74" x14ac:dyDescent="0.2">
      <c r="BT971" s="124"/>
      <c r="BU971" s="124"/>
      <c r="BV971" s="124"/>
    </row>
    <row r="972" spans="72:74" x14ac:dyDescent="0.2">
      <c r="BT972" s="124"/>
      <c r="BU972" s="124"/>
      <c r="BV972" s="124"/>
    </row>
    <row r="973" spans="72:74" x14ac:dyDescent="0.2">
      <c r="BT973" s="124"/>
      <c r="BU973" s="124"/>
      <c r="BV973" s="124"/>
    </row>
    <row r="974" spans="72:74" x14ac:dyDescent="0.2">
      <c r="BT974" s="124"/>
      <c r="BU974" s="124"/>
      <c r="BV974" s="124"/>
    </row>
    <row r="975" spans="72:74" x14ac:dyDescent="0.2">
      <c r="BT975" s="124"/>
      <c r="BU975" s="124"/>
      <c r="BV975" s="124"/>
    </row>
    <row r="976" spans="72:74" x14ac:dyDescent="0.2">
      <c r="BT976" s="124"/>
      <c r="BU976" s="124"/>
      <c r="BV976" s="124"/>
    </row>
    <row r="977" spans="72:74" x14ac:dyDescent="0.2">
      <c r="BT977" s="124"/>
      <c r="BU977" s="124"/>
      <c r="BV977" s="124"/>
    </row>
    <row r="978" spans="72:74" x14ac:dyDescent="0.2">
      <c r="BT978" s="124"/>
      <c r="BU978" s="124"/>
      <c r="BV978" s="124"/>
    </row>
    <row r="979" spans="72:74" x14ac:dyDescent="0.2">
      <c r="BT979" s="124"/>
      <c r="BU979" s="124"/>
      <c r="BV979" s="124"/>
    </row>
    <row r="980" spans="72:74" x14ac:dyDescent="0.2">
      <c r="BT980" s="124"/>
      <c r="BU980" s="124"/>
      <c r="BV980" s="124"/>
    </row>
    <row r="981" spans="72:74" x14ac:dyDescent="0.2">
      <c r="BT981" s="124"/>
      <c r="BU981" s="124"/>
      <c r="BV981" s="124"/>
    </row>
    <row r="982" spans="72:74" x14ac:dyDescent="0.2">
      <c r="BT982" s="124"/>
      <c r="BU982" s="124"/>
      <c r="BV982" s="124"/>
    </row>
    <row r="983" spans="72:74" x14ac:dyDescent="0.2">
      <c r="BT983" s="124"/>
      <c r="BU983" s="124"/>
      <c r="BV983" s="124"/>
    </row>
    <row r="984" spans="72:74" x14ac:dyDescent="0.2">
      <c r="BT984" s="124"/>
      <c r="BU984" s="124"/>
      <c r="BV984" s="124"/>
    </row>
    <row r="985" spans="72:74" x14ac:dyDescent="0.2">
      <c r="BT985" s="124"/>
      <c r="BU985" s="124"/>
      <c r="BV985" s="124"/>
    </row>
    <row r="986" spans="72:74" x14ac:dyDescent="0.2">
      <c r="BT986" s="124"/>
      <c r="BU986" s="124"/>
      <c r="BV986" s="124"/>
    </row>
    <row r="987" spans="72:74" x14ac:dyDescent="0.2">
      <c r="BT987" s="124"/>
      <c r="BU987" s="124"/>
      <c r="BV987" s="124"/>
    </row>
    <row r="988" spans="72:74" x14ac:dyDescent="0.2">
      <c r="BT988" s="124"/>
      <c r="BU988" s="124"/>
      <c r="BV988" s="124"/>
    </row>
    <row r="989" spans="72:74" x14ac:dyDescent="0.2">
      <c r="BT989" s="124"/>
      <c r="BU989" s="124"/>
      <c r="BV989" s="124"/>
    </row>
    <row r="990" spans="72:74" x14ac:dyDescent="0.2">
      <c r="BT990" s="124"/>
      <c r="BU990" s="124"/>
      <c r="BV990" s="124"/>
    </row>
    <row r="991" spans="72:74" x14ac:dyDescent="0.2">
      <c r="BT991" s="124"/>
      <c r="BU991" s="124"/>
      <c r="BV991" s="124"/>
    </row>
    <row r="992" spans="72:74" x14ac:dyDescent="0.2">
      <c r="BT992" s="124"/>
      <c r="BU992" s="124"/>
      <c r="BV992" s="124"/>
    </row>
    <row r="993" spans="72:74" x14ac:dyDescent="0.2">
      <c r="BT993" s="124"/>
      <c r="BU993" s="124"/>
      <c r="BV993" s="124"/>
    </row>
    <row r="994" spans="72:74" x14ac:dyDescent="0.2">
      <c r="BT994" s="124"/>
      <c r="BU994" s="124"/>
      <c r="BV994" s="124"/>
    </row>
    <row r="995" spans="72:74" x14ac:dyDescent="0.2">
      <c r="BT995" s="124"/>
      <c r="BU995" s="124"/>
      <c r="BV995" s="124"/>
    </row>
    <row r="996" spans="72:74" x14ac:dyDescent="0.2">
      <c r="BT996" s="124"/>
      <c r="BU996" s="124"/>
      <c r="BV996" s="124"/>
    </row>
    <row r="997" spans="72:74" x14ac:dyDescent="0.2">
      <c r="BT997" s="124"/>
      <c r="BU997" s="124"/>
      <c r="BV997" s="124"/>
    </row>
    <row r="998" spans="72:74" x14ac:dyDescent="0.2">
      <c r="BT998" s="124"/>
      <c r="BU998" s="124"/>
      <c r="BV998" s="124"/>
    </row>
    <row r="999" spans="72:74" x14ac:dyDescent="0.2">
      <c r="BT999" s="124"/>
      <c r="BU999" s="124"/>
      <c r="BV999" s="124"/>
    </row>
    <row r="1000" spans="72:74" x14ac:dyDescent="0.2">
      <c r="BT1000" s="124"/>
      <c r="BU1000" s="124"/>
      <c r="BV1000" s="124"/>
    </row>
    <row r="1001" spans="72:74" x14ac:dyDescent="0.2">
      <c r="BT1001" s="124"/>
      <c r="BU1001" s="124"/>
      <c r="BV1001" s="124"/>
    </row>
    <row r="1002" spans="72:74" x14ac:dyDescent="0.2">
      <c r="BT1002" s="124"/>
      <c r="BU1002" s="124"/>
      <c r="BV1002" s="124"/>
    </row>
    <row r="1003" spans="72:74" x14ac:dyDescent="0.2">
      <c r="BT1003" s="124"/>
      <c r="BU1003" s="124"/>
      <c r="BV1003" s="124"/>
    </row>
    <row r="1004" spans="72:74" x14ac:dyDescent="0.2">
      <c r="BT1004" s="124"/>
      <c r="BU1004" s="124"/>
      <c r="BV1004" s="124"/>
    </row>
    <row r="1005" spans="72:74" x14ac:dyDescent="0.2">
      <c r="BT1005" s="124"/>
      <c r="BU1005" s="124"/>
      <c r="BV1005" s="124"/>
    </row>
    <row r="1006" spans="72:74" x14ac:dyDescent="0.2">
      <c r="BT1006" s="124"/>
      <c r="BU1006" s="124"/>
      <c r="BV1006" s="124"/>
    </row>
    <row r="1007" spans="72:74" x14ac:dyDescent="0.2">
      <c r="BT1007" s="124"/>
      <c r="BU1007" s="124"/>
      <c r="BV1007" s="124"/>
    </row>
    <row r="1008" spans="72:74" x14ac:dyDescent="0.2">
      <c r="BT1008" s="124"/>
      <c r="BU1008" s="124"/>
      <c r="BV1008" s="124"/>
    </row>
    <row r="1009" spans="72:74" x14ac:dyDescent="0.2">
      <c r="BT1009" s="124"/>
      <c r="BU1009" s="124"/>
      <c r="BV1009" s="124"/>
    </row>
    <row r="1010" spans="72:74" x14ac:dyDescent="0.2">
      <c r="BT1010" s="124"/>
      <c r="BU1010" s="124"/>
      <c r="BV1010" s="124"/>
    </row>
    <row r="1011" spans="72:74" x14ac:dyDescent="0.2">
      <c r="BT1011" s="124"/>
      <c r="BU1011" s="124"/>
      <c r="BV1011" s="124"/>
    </row>
    <row r="1012" spans="72:74" x14ac:dyDescent="0.2">
      <c r="BT1012" s="124"/>
      <c r="BU1012" s="124"/>
      <c r="BV1012" s="124"/>
    </row>
    <row r="1013" spans="72:74" x14ac:dyDescent="0.2">
      <c r="BT1013" s="124"/>
      <c r="BU1013" s="124"/>
      <c r="BV1013" s="124"/>
    </row>
    <row r="1014" spans="72:74" x14ac:dyDescent="0.2">
      <c r="BT1014" s="124"/>
      <c r="BU1014" s="124"/>
      <c r="BV1014" s="124"/>
    </row>
    <row r="1015" spans="72:74" x14ac:dyDescent="0.2">
      <c r="BT1015" s="124"/>
      <c r="BU1015" s="124"/>
      <c r="BV1015" s="124"/>
    </row>
    <row r="1016" spans="72:74" x14ac:dyDescent="0.2">
      <c r="BT1016" s="124"/>
      <c r="BU1016" s="124"/>
      <c r="BV1016" s="124"/>
    </row>
    <row r="1017" spans="72:74" x14ac:dyDescent="0.2">
      <c r="BT1017" s="124"/>
      <c r="BU1017" s="124"/>
      <c r="BV1017" s="124"/>
    </row>
    <row r="1018" spans="72:74" x14ac:dyDescent="0.2">
      <c r="BT1018" s="124"/>
      <c r="BU1018" s="124"/>
      <c r="BV1018" s="124"/>
    </row>
    <row r="1019" spans="72:74" x14ac:dyDescent="0.2">
      <c r="BT1019" s="124"/>
      <c r="BU1019" s="124"/>
      <c r="BV1019" s="124"/>
    </row>
    <row r="1020" spans="72:74" x14ac:dyDescent="0.2">
      <c r="BT1020" s="124"/>
      <c r="BU1020" s="124"/>
      <c r="BV1020" s="124"/>
    </row>
    <row r="1021" spans="72:74" x14ac:dyDescent="0.2">
      <c r="BT1021" s="124"/>
      <c r="BU1021" s="124"/>
      <c r="BV1021" s="124"/>
    </row>
    <row r="1022" spans="72:74" x14ac:dyDescent="0.2">
      <c r="BT1022" s="124"/>
      <c r="BU1022" s="124"/>
      <c r="BV1022" s="124"/>
    </row>
    <row r="1023" spans="72:74" x14ac:dyDescent="0.2">
      <c r="BT1023" s="124"/>
      <c r="BU1023" s="124"/>
      <c r="BV1023" s="124"/>
    </row>
    <row r="1024" spans="72:74" x14ac:dyDescent="0.2">
      <c r="BT1024" s="124"/>
      <c r="BU1024" s="124"/>
      <c r="BV1024" s="124"/>
    </row>
    <row r="1025" spans="72:74" x14ac:dyDescent="0.2">
      <c r="BT1025" s="124"/>
      <c r="BU1025" s="124"/>
      <c r="BV1025" s="124"/>
    </row>
    <row r="1026" spans="72:74" x14ac:dyDescent="0.2">
      <c r="BT1026" s="124"/>
      <c r="BU1026" s="124"/>
      <c r="BV1026" s="124"/>
    </row>
    <row r="1027" spans="72:74" x14ac:dyDescent="0.2">
      <c r="BT1027" s="124"/>
      <c r="BU1027" s="124"/>
      <c r="BV1027" s="124"/>
    </row>
    <row r="1028" spans="72:74" x14ac:dyDescent="0.2">
      <c r="BT1028" s="124"/>
      <c r="BU1028" s="124"/>
      <c r="BV1028" s="124"/>
    </row>
    <row r="1029" spans="72:74" x14ac:dyDescent="0.2">
      <c r="BT1029" s="124"/>
      <c r="BU1029" s="124"/>
      <c r="BV1029" s="124"/>
    </row>
    <row r="1030" spans="72:74" x14ac:dyDescent="0.2">
      <c r="BT1030" s="124"/>
      <c r="BU1030" s="124"/>
      <c r="BV1030" s="124"/>
    </row>
    <row r="1031" spans="72:74" x14ac:dyDescent="0.2">
      <c r="BT1031" s="124"/>
      <c r="BU1031" s="124"/>
      <c r="BV1031" s="124"/>
    </row>
    <row r="1032" spans="72:74" x14ac:dyDescent="0.2">
      <c r="BT1032" s="124"/>
      <c r="BU1032" s="124"/>
      <c r="BV1032" s="124"/>
    </row>
    <row r="1033" spans="72:74" x14ac:dyDescent="0.2">
      <c r="BT1033" s="124"/>
      <c r="BU1033" s="124"/>
      <c r="BV1033" s="124"/>
    </row>
    <row r="1034" spans="72:74" x14ac:dyDescent="0.2">
      <c r="BT1034" s="124"/>
      <c r="BU1034" s="124"/>
      <c r="BV1034" s="124"/>
    </row>
    <row r="1035" spans="72:74" x14ac:dyDescent="0.2">
      <c r="BT1035" s="124"/>
      <c r="BU1035" s="124"/>
      <c r="BV1035" s="124"/>
    </row>
    <row r="1036" spans="72:74" x14ac:dyDescent="0.2">
      <c r="BT1036" s="124"/>
      <c r="BU1036" s="124"/>
      <c r="BV1036" s="124"/>
    </row>
    <row r="1037" spans="72:74" x14ac:dyDescent="0.2">
      <c r="BT1037" s="124"/>
      <c r="BU1037" s="124"/>
      <c r="BV1037" s="124"/>
    </row>
    <row r="1038" spans="72:74" x14ac:dyDescent="0.2">
      <c r="BT1038" s="124"/>
      <c r="BU1038" s="124"/>
      <c r="BV1038" s="124"/>
    </row>
    <row r="1039" spans="72:74" x14ac:dyDescent="0.2">
      <c r="BT1039" s="124"/>
      <c r="BU1039" s="124"/>
      <c r="BV1039" s="124"/>
    </row>
    <row r="1040" spans="72:74" x14ac:dyDescent="0.2">
      <c r="BT1040" s="124"/>
      <c r="BU1040" s="124"/>
      <c r="BV1040" s="124"/>
    </row>
    <row r="1041" spans="72:74" x14ac:dyDescent="0.2">
      <c r="BT1041" s="124"/>
      <c r="BU1041" s="124"/>
      <c r="BV1041" s="124"/>
    </row>
    <row r="1042" spans="72:74" x14ac:dyDescent="0.2">
      <c r="BT1042" s="124"/>
      <c r="BU1042" s="124"/>
      <c r="BV1042" s="124"/>
    </row>
    <row r="1043" spans="72:74" x14ac:dyDescent="0.2">
      <c r="BT1043" s="124"/>
      <c r="BU1043" s="124"/>
      <c r="BV1043" s="124"/>
    </row>
    <row r="1044" spans="72:74" x14ac:dyDescent="0.2">
      <c r="BT1044" s="124"/>
      <c r="BU1044" s="124"/>
      <c r="BV1044" s="124"/>
    </row>
    <row r="1045" spans="72:74" x14ac:dyDescent="0.2">
      <c r="BT1045" s="124"/>
      <c r="BU1045" s="124"/>
      <c r="BV1045" s="124"/>
    </row>
    <row r="1046" spans="72:74" x14ac:dyDescent="0.2">
      <c r="BT1046" s="124"/>
      <c r="BU1046" s="124"/>
      <c r="BV1046" s="124"/>
    </row>
    <row r="1047" spans="72:74" x14ac:dyDescent="0.2">
      <c r="BT1047" s="124"/>
      <c r="BU1047" s="124"/>
      <c r="BV1047" s="124"/>
    </row>
    <row r="1048" spans="72:74" x14ac:dyDescent="0.2">
      <c r="BT1048" s="124"/>
      <c r="BU1048" s="124"/>
      <c r="BV1048" s="124"/>
    </row>
    <row r="1049" spans="72:74" x14ac:dyDescent="0.2">
      <c r="BT1049" s="124"/>
      <c r="BU1049" s="124"/>
      <c r="BV1049" s="124"/>
    </row>
    <row r="1050" spans="72:74" x14ac:dyDescent="0.2">
      <c r="BT1050" s="124"/>
      <c r="BU1050" s="124"/>
      <c r="BV1050" s="124"/>
    </row>
    <row r="1051" spans="72:74" x14ac:dyDescent="0.2">
      <c r="BT1051" s="124"/>
      <c r="BU1051" s="124"/>
      <c r="BV1051" s="124"/>
    </row>
    <row r="1052" spans="72:74" x14ac:dyDescent="0.2">
      <c r="BT1052" s="124"/>
      <c r="BU1052" s="124"/>
      <c r="BV1052" s="124"/>
    </row>
    <row r="1053" spans="72:74" x14ac:dyDescent="0.2">
      <c r="BT1053" s="124"/>
      <c r="BU1053" s="124"/>
      <c r="BV1053" s="124"/>
    </row>
    <row r="1054" spans="72:74" x14ac:dyDescent="0.2">
      <c r="BT1054" s="124"/>
      <c r="BU1054" s="124"/>
      <c r="BV1054" s="124"/>
    </row>
    <row r="1055" spans="72:74" x14ac:dyDescent="0.2">
      <c r="BT1055" s="124"/>
      <c r="BU1055" s="124"/>
      <c r="BV1055" s="124"/>
    </row>
    <row r="1056" spans="72:74" x14ac:dyDescent="0.2">
      <c r="BT1056" s="124"/>
      <c r="BU1056" s="124"/>
      <c r="BV1056" s="124"/>
    </row>
    <row r="1057" spans="72:74" x14ac:dyDescent="0.2">
      <c r="BT1057" s="124"/>
      <c r="BU1057" s="124"/>
      <c r="BV1057" s="124"/>
    </row>
    <row r="1058" spans="72:74" x14ac:dyDescent="0.2">
      <c r="BT1058" s="124"/>
      <c r="BU1058" s="124"/>
      <c r="BV1058" s="124"/>
    </row>
    <row r="1059" spans="72:74" x14ac:dyDescent="0.2">
      <c r="BT1059" s="124"/>
      <c r="BU1059" s="124"/>
      <c r="BV1059" s="124"/>
    </row>
    <row r="1060" spans="72:74" x14ac:dyDescent="0.2">
      <c r="BT1060" s="124"/>
      <c r="BU1060" s="124"/>
      <c r="BV1060" s="124"/>
    </row>
    <row r="1061" spans="72:74" x14ac:dyDescent="0.2">
      <c r="BT1061" s="124"/>
      <c r="BU1061" s="124"/>
      <c r="BV1061" s="124"/>
    </row>
    <row r="1062" spans="72:74" x14ac:dyDescent="0.2">
      <c r="BT1062" s="124"/>
      <c r="BU1062" s="124"/>
      <c r="BV1062" s="124"/>
    </row>
    <row r="1063" spans="72:74" x14ac:dyDescent="0.2">
      <c r="BT1063" s="124"/>
      <c r="BU1063" s="124"/>
      <c r="BV1063" s="124"/>
    </row>
    <row r="1064" spans="72:74" x14ac:dyDescent="0.2">
      <c r="BT1064" s="124"/>
      <c r="BU1064" s="124"/>
      <c r="BV1064" s="124"/>
    </row>
    <row r="1065" spans="72:74" x14ac:dyDescent="0.2">
      <c r="BT1065" s="124"/>
      <c r="BU1065" s="124"/>
      <c r="BV1065" s="124"/>
    </row>
    <row r="1066" spans="72:74" x14ac:dyDescent="0.2">
      <c r="BT1066" s="124"/>
      <c r="BU1066" s="124"/>
      <c r="BV1066" s="124"/>
    </row>
    <row r="1067" spans="72:74" x14ac:dyDescent="0.2">
      <c r="BT1067" s="124"/>
      <c r="BU1067" s="124"/>
      <c r="BV1067" s="124"/>
    </row>
    <row r="1068" spans="72:74" x14ac:dyDescent="0.2">
      <c r="BT1068" s="124"/>
      <c r="BU1068" s="124"/>
      <c r="BV1068" s="124"/>
    </row>
    <row r="1069" spans="72:74" x14ac:dyDescent="0.2">
      <c r="BT1069" s="124"/>
      <c r="BU1069" s="124"/>
      <c r="BV1069" s="124"/>
    </row>
    <row r="1070" spans="72:74" x14ac:dyDescent="0.2">
      <c r="BT1070" s="124"/>
      <c r="BU1070" s="124"/>
      <c r="BV1070" s="124"/>
    </row>
    <row r="1071" spans="72:74" x14ac:dyDescent="0.2">
      <c r="BT1071" s="124"/>
      <c r="BU1071" s="124"/>
      <c r="BV1071" s="124"/>
    </row>
    <row r="1072" spans="72:74" x14ac:dyDescent="0.2">
      <c r="BT1072" s="124"/>
      <c r="BU1072" s="124"/>
      <c r="BV1072" s="124"/>
    </row>
    <row r="1073" spans="72:74" x14ac:dyDescent="0.2">
      <c r="BT1073" s="124"/>
      <c r="BU1073" s="124"/>
      <c r="BV1073" s="124"/>
    </row>
    <row r="1074" spans="72:74" x14ac:dyDescent="0.2">
      <c r="BT1074" s="124"/>
      <c r="BU1074" s="124"/>
      <c r="BV1074" s="124"/>
    </row>
    <row r="1075" spans="72:74" x14ac:dyDescent="0.2">
      <c r="BT1075" s="124"/>
      <c r="BU1075" s="124"/>
      <c r="BV1075" s="124"/>
    </row>
    <row r="1076" spans="72:74" x14ac:dyDescent="0.2">
      <c r="BT1076" s="124"/>
      <c r="BU1076" s="124"/>
      <c r="BV1076" s="124"/>
    </row>
    <row r="1077" spans="72:74" x14ac:dyDescent="0.2">
      <c r="BT1077" s="124"/>
      <c r="BU1077" s="124"/>
      <c r="BV1077" s="124"/>
    </row>
    <row r="1078" spans="72:74" x14ac:dyDescent="0.2">
      <c r="BT1078" s="124"/>
      <c r="BU1078" s="124"/>
      <c r="BV1078" s="124"/>
    </row>
    <row r="1079" spans="72:74" x14ac:dyDescent="0.2">
      <c r="BT1079" s="124"/>
      <c r="BU1079" s="124"/>
      <c r="BV1079" s="124"/>
    </row>
    <row r="1080" spans="72:74" x14ac:dyDescent="0.2">
      <c r="BT1080" s="124"/>
      <c r="BU1080" s="124"/>
      <c r="BV1080" s="124"/>
    </row>
    <row r="1081" spans="72:74" x14ac:dyDescent="0.2">
      <c r="BT1081" s="124"/>
      <c r="BU1081" s="124"/>
      <c r="BV1081" s="124"/>
    </row>
    <row r="1082" spans="72:74" x14ac:dyDescent="0.2">
      <c r="BT1082" s="124"/>
      <c r="BU1082" s="124"/>
      <c r="BV1082" s="124"/>
    </row>
    <row r="1083" spans="72:74" x14ac:dyDescent="0.2">
      <c r="BT1083" s="124"/>
      <c r="BU1083" s="124"/>
      <c r="BV1083" s="124"/>
    </row>
    <row r="1084" spans="72:74" x14ac:dyDescent="0.2">
      <c r="BT1084" s="124"/>
      <c r="BU1084" s="124"/>
      <c r="BV1084" s="124"/>
    </row>
    <row r="1085" spans="72:74" x14ac:dyDescent="0.2">
      <c r="BT1085" s="124"/>
      <c r="BU1085" s="124"/>
      <c r="BV1085" s="124"/>
    </row>
    <row r="1086" spans="72:74" x14ac:dyDescent="0.2">
      <c r="BT1086" s="124"/>
      <c r="BU1086" s="124"/>
      <c r="BV1086" s="124"/>
    </row>
    <row r="1087" spans="72:74" x14ac:dyDescent="0.2">
      <c r="BT1087" s="124"/>
      <c r="BU1087" s="124"/>
      <c r="BV1087" s="124"/>
    </row>
    <row r="1088" spans="72:74" x14ac:dyDescent="0.2">
      <c r="BT1088" s="124"/>
      <c r="BU1088" s="124"/>
      <c r="BV1088" s="124"/>
    </row>
    <row r="1089" spans="72:74" x14ac:dyDescent="0.2">
      <c r="BT1089" s="124"/>
      <c r="BU1089" s="124"/>
      <c r="BV1089" s="124"/>
    </row>
    <row r="1090" spans="72:74" x14ac:dyDescent="0.2">
      <c r="BT1090" s="124"/>
      <c r="BU1090" s="124"/>
      <c r="BV1090" s="124"/>
    </row>
    <row r="1091" spans="72:74" x14ac:dyDescent="0.2">
      <c r="BT1091" s="124"/>
      <c r="BU1091" s="124"/>
      <c r="BV1091" s="124"/>
    </row>
    <row r="1092" spans="72:74" x14ac:dyDescent="0.2">
      <c r="BT1092" s="124"/>
      <c r="BU1092" s="124"/>
      <c r="BV1092" s="124"/>
    </row>
    <row r="1093" spans="72:74" x14ac:dyDescent="0.2">
      <c r="BT1093" s="124"/>
      <c r="BU1093" s="124"/>
      <c r="BV1093" s="124"/>
    </row>
    <row r="1094" spans="72:74" x14ac:dyDescent="0.2">
      <c r="BT1094" s="124"/>
      <c r="BU1094" s="124"/>
      <c r="BV1094" s="124"/>
    </row>
    <row r="1095" spans="72:74" x14ac:dyDescent="0.2">
      <c r="BT1095" s="124"/>
      <c r="BU1095" s="124"/>
      <c r="BV1095" s="124"/>
    </row>
    <row r="1096" spans="72:74" x14ac:dyDescent="0.2">
      <c r="BT1096" s="124"/>
      <c r="BU1096" s="124"/>
      <c r="BV1096" s="124"/>
    </row>
    <row r="1097" spans="72:74" x14ac:dyDescent="0.2">
      <c r="BT1097" s="124"/>
      <c r="BU1097" s="124"/>
      <c r="BV1097" s="124"/>
    </row>
    <row r="1098" spans="72:74" x14ac:dyDescent="0.2">
      <c r="BT1098" s="124"/>
      <c r="BU1098" s="124"/>
      <c r="BV1098" s="124"/>
    </row>
    <row r="1099" spans="72:74" x14ac:dyDescent="0.2">
      <c r="BT1099" s="124"/>
      <c r="BU1099" s="124"/>
      <c r="BV1099" s="124"/>
    </row>
    <row r="1100" spans="72:74" x14ac:dyDescent="0.2">
      <c r="BT1100" s="124"/>
      <c r="BU1100" s="124"/>
      <c r="BV1100" s="124"/>
    </row>
    <row r="1101" spans="72:74" x14ac:dyDescent="0.2">
      <c r="BT1101" s="124"/>
      <c r="BU1101" s="124"/>
      <c r="BV1101" s="124"/>
    </row>
    <row r="1102" spans="72:74" x14ac:dyDescent="0.2">
      <c r="BT1102" s="124"/>
      <c r="BU1102" s="124"/>
      <c r="BV1102" s="124"/>
    </row>
    <row r="1103" spans="72:74" x14ac:dyDescent="0.2">
      <c r="BT1103" s="124"/>
      <c r="BU1103" s="124"/>
      <c r="BV1103" s="124"/>
    </row>
    <row r="1104" spans="72:74" x14ac:dyDescent="0.2">
      <c r="BT1104" s="124"/>
      <c r="BU1104" s="124"/>
      <c r="BV1104" s="124"/>
    </row>
    <row r="1105" spans="72:74" x14ac:dyDescent="0.2">
      <c r="BT1105" s="124"/>
      <c r="BU1105" s="124"/>
      <c r="BV1105" s="124"/>
    </row>
    <row r="1106" spans="72:74" x14ac:dyDescent="0.2">
      <c r="BT1106" s="124"/>
      <c r="BU1106" s="124"/>
      <c r="BV1106" s="124"/>
    </row>
    <row r="1107" spans="72:74" x14ac:dyDescent="0.2">
      <c r="BT1107" s="124"/>
      <c r="BU1107" s="124"/>
      <c r="BV1107" s="124"/>
    </row>
    <row r="1108" spans="72:74" x14ac:dyDescent="0.2">
      <c r="BT1108" s="124"/>
      <c r="BU1108" s="124"/>
      <c r="BV1108" s="124"/>
    </row>
    <row r="1109" spans="72:74" x14ac:dyDescent="0.2">
      <c r="BT1109" s="124"/>
      <c r="BU1109" s="124"/>
      <c r="BV1109" s="124"/>
    </row>
    <row r="1110" spans="72:74" x14ac:dyDescent="0.2">
      <c r="BT1110" s="124"/>
      <c r="BU1110" s="124"/>
      <c r="BV1110" s="124"/>
    </row>
    <row r="1111" spans="72:74" x14ac:dyDescent="0.2">
      <c r="BT1111" s="124"/>
      <c r="BU1111" s="124"/>
      <c r="BV1111" s="124"/>
    </row>
    <row r="1112" spans="72:74" x14ac:dyDescent="0.2">
      <c r="BT1112" s="124"/>
      <c r="BU1112" s="124"/>
      <c r="BV1112" s="124"/>
    </row>
    <row r="1113" spans="72:74" x14ac:dyDescent="0.2">
      <c r="BT1113" s="124"/>
      <c r="BU1113" s="124"/>
      <c r="BV1113" s="124"/>
    </row>
    <row r="1114" spans="72:74" x14ac:dyDescent="0.2">
      <c r="BT1114" s="124"/>
      <c r="BU1114" s="124"/>
      <c r="BV1114" s="124"/>
    </row>
    <row r="1115" spans="72:74" x14ac:dyDescent="0.2">
      <c r="BT1115" s="124"/>
      <c r="BU1115" s="124"/>
      <c r="BV1115" s="124"/>
    </row>
    <row r="1116" spans="72:74" x14ac:dyDescent="0.2">
      <c r="BT1116" s="124"/>
      <c r="BU1116" s="124"/>
      <c r="BV1116" s="124"/>
    </row>
    <row r="1117" spans="72:74" x14ac:dyDescent="0.2">
      <c r="BT1117" s="124"/>
      <c r="BU1117" s="124"/>
      <c r="BV1117" s="124"/>
    </row>
    <row r="1118" spans="72:74" x14ac:dyDescent="0.2">
      <c r="BT1118" s="124"/>
      <c r="BU1118" s="124"/>
      <c r="BV1118" s="124"/>
    </row>
    <row r="1119" spans="72:74" x14ac:dyDescent="0.2">
      <c r="BT1119" s="124"/>
      <c r="BU1119" s="124"/>
      <c r="BV1119" s="124"/>
    </row>
    <row r="1120" spans="72:74" x14ac:dyDescent="0.2">
      <c r="BT1120" s="124"/>
      <c r="BU1120" s="124"/>
      <c r="BV1120" s="124"/>
    </row>
    <row r="1121" spans="72:74" x14ac:dyDescent="0.2">
      <c r="BT1121" s="124"/>
      <c r="BU1121" s="124"/>
      <c r="BV1121" s="124"/>
    </row>
    <row r="1122" spans="72:74" x14ac:dyDescent="0.2">
      <c r="BT1122" s="124"/>
      <c r="BU1122" s="124"/>
      <c r="BV1122" s="124"/>
    </row>
    <row r="1123" spans="72:74" x14ac:dyDescent="0.2">
      <c r="BT1123" s="124"/>
      <c r="BU1123" s="124"/>
      <c r="BV1123" s="124"/>
    </row>
    <row r="1124" spans="72:74" x14ac:dyDescent="0.2">
      <c r="BT1124" s="124"/>
      <c r="BU1124" s="124"/>
      <c r="BV1124" s="124"/>
    </row>
    <row r="1125" spans="72:74" x14ac:dyDescent="0.2">
      <c r="BT1125" s="124"/>
      <c r="BU1125" s="124"/>
      <c r="BV1125" s="124"/>
    </row>
    <row r="1126" spans="72:74" x14ac:dyDescent="0.2">
      <c r="BT1126" s="124"/>
      <c r="BU1126" s="124"/>
      <c r="BV1126" s="124"/>
    </row>
    <row r="1127" spans="72:74" x14ac:dyDescent="0.2">
      <c r="BT1127" s="124"/>
      <c r="BU1127" s="124"/>
      <c r="BV1127" s="124"/>
    </row>
    <row r="1128" spans="72:74" x14ac:dyDescent="0.2">
      <c r="BT1128" s="124"/>
      <c r="BU1128" s="124"/>
      <c r="BV1128" s="124"/>
    </row>
    <row r="1129" spans="72:74" x14ac:dyDescent="0.2">
      <c r="BT1129" s="124"/>
      <c r="BU1129" s="124"/>
      <c r="BV1129" s="124"/>
    </row>
    <row r="1130" spans="72:74" x14ac:dyDescent="0.2">
      <c r="BT1130" s="124"/>
      <c r="BU1130" s="124"/>
      <c r="BV1130" s="124"/>
    </row>
    <row r="1131" spans="72:74" x14ac:dyDescent="0.2">
      <c r="BT1131" s="124"/>
      <c r="BU1131" s="124"/>
      <c r="BV1131" s="124"/>
    </row>
    <row r="1132" spans="72:74" x14ac:dyDescent="0.2">
      <c r="BT1132" s="124"/>
      <c r="BU1132" s="124"/>
      <c r="BV1132" s="124"/>
    </row>
    <row r="1133" spans="72:74" x14ac:dyDescent="0.2">
      <c r="BT1133" s="124"/>
      <c r="BU1133" s="124"/>
      <c r="BV1133" s="124"/>
    </row>
    <row r="1134" spans="72:74" x14ac:dyDescent="0.2">
      <c r="BT1134" s="124"/>
      <c r="BU1134" s="124"/>
      <c r="BV1134" s="124"/>
    </row>
    <row r="1135" spans="72:74" x14ac:dyDescent="0.2">
      <c r="BT1135" s="124"/>
      <c r="BU1135" s="124"/>
      <c r="BV1135" s="124"/>
    </row>
    <row r="1136" spans="72:74" x14ac:dyDescent="0.2">
      <c r="BT1136" s="124"/>
      <c r="BU1136" s="124"/>
      <c r="BV1136" s="124"/>
    </row>
    <row r="1137" spans="72:74" x14ac:dyDescent="0.2">
      <c r="BT1137" s="124"/>
      <c r="BU1137" s="124"/>
      <c r="BV1137" s="124"/>
    </row>
    <row r="1138" spans="72:74" x14ac:dyDescent="0.2">
      <c r="BT1138" s="124"/>
      <c r="BU1138" s="124"/>
      <c r="BV1138" s="124"/>
    </row>
    <row r="1139" spans="72:74" x14ac:dyDescent="0.2">
      <c r="BT1139" s="124"/>
      <c r="BU1139" s="124"/>
      <c r="BV1139" s="124"/>
    </row>
    <row r="1140" spans="72:74" x14ac:dyDescent="0.2">
      <c r="BT1140" s="124"/>
      <c r="BU1140" s="124"/>
      <c r="BV1140" s="124"/>
    </row>
    <row r="1141" spans="72:74" x14ac:dyDescent="0.2">
      <c r="BT1141" s="124"/>
      <c r="BU1141" s="124"/>
      <c r="BV1141" s="124"/>
    </row>
    <row r="1142" spans="72:74" x14ac:dyDescent="0.2">
      <c r="BT1142" s="124"/>
      <c r="BU1142" s="124"/>
      <c r="BV1142" s="124"/>
    </row>
    <row r="1143" spans="72:74" x14ac:dyDescent="0.2">
      <c r="BT1143" s="124"/>
      <c r="BU1143" s="124"/>
      <c r="BV1143" s="124"/>
    </row>
    <row r="1144" spans="72:74" x14ac:dyDescent="0.2">
      <c r="BT1144" s="124"/>
      <c r="BU1144" s="124"/>
      <c r="BV1144" s="124"/>
    </row>
    <row r="1145" spans="72:74" x14ac:dyDescent="0.2">
      <c r="BT1145" s="124"/>
      <c r="BU1145" s="124"/>
      <c r="BV1145" s="124"/>
    </row>
    <row r="1146" spans="72:74" x14ac:dyDescent="0.2">
      <c r="BT1146" s="124"/>
      <c r="BU1146" s="124"/>
      <c r="BV1146" s="124"/>
    </row>
    <row r="1147" spans="72:74" x14ac:dyDescent="0.2">
      <c r="BT1147" s="124"/>
      <c r="BU1147" s="124"/>
      <c r="BV1147" s="124"/>
    </row>
    <row r="1148" spans="72:74" x14ac:dyDescent="0.2">
      <c r="BT1148" s="124"/>
      <c r="BU1148" s="124"/>
      <c r="BV1148" s="124"/>
    </row>
    <row r="1149" spans="72:74" x14ac:dyDescent="0.2">
      <c r="BT1149" s="124"/>
      <c r="BU1149" s="124"/>
      <c r="BV1149" s="124"/>
    </row>
    <row r="1150" spans="72:74" x14ac:dyDescent="0.2">
      <c r="BT1150" s="124"/>
      <c r="BU1150" s="124"/>
      <c r="BV1150" s="124"/>
    </row>
    <row r="1151" spans="72:74" x14ac:dyDescent="0.2">
      <c r="BT1151" s="124"/>
      <c r="BU1151" s="124"/>
      <c r="BV1151" s="124"/>
    </row>
    <row r="1152" spans="72:74" x14ac:dyDescent="0.2">
      <c r="BT1152" s="124"/>
      <c r="BU1152" s="124"/>
      <c r="BV1152" s="124"/>
    </row>
    <row r="1153" spans="72:74" x14ac:dyDescent="0.2">
      <c r="BT1153" s="124"/>
      <c r="BU1153" s="124"/>
      <c r="BV1153" s="124"/>
    </row>
    <row r="1154" spans="72:74" x14ac:dyDescent="0.2">
      <c r="BT1154" s="124"/>
      <c r="BU1154" s="124"/>
      <c r="BV1154" s="124"/>
    </row>
    <row r="1155" spans="72:74" x14ac:dyDescent="0.2">
      <c r="BT1155" s="124"/>
      <c r="BU1155" s="124"/>
      <c r="BV1155" s="124"/>
    </row>
    <row r="1156" spans="72:74" x14ac:dyDescent="0.2">
      <c r="BT1156" s="124"/>
      <c r="BU1156" s="124"/>
      <c r="BV1156" s="124"/>
    </row>
    <row r="1157" spans="72:74" x14ac:dyDescent="0.2">
      <c r="BT1157" s="124"/>
      <c r="BU1157" s="124"/>
      <c r="BV1157" s="124"/>
    </row>
    <row r="1158" spans="72:74" x14ac:dyDescent="0.2">
      <c r="BT1158" s="124"/>
      <c r="BU1158" s="124"/>
      <c r="BV1158" s="124"/>
    </row>
    <row r="1159" spans="72:74" x14ac:dyDescent="0.2">
      <c r="BT1159" s="124"/>
      <c r="BU1159" s="124"/>
      <c r="BV1159" s="124"/>
    </row>
    <row r="1160" spans="72:74" x14ac:dyDescent="0.2">
      <c r="BT1160" s="124"/>
      <c r="BU1160" s="124"/>
      <c r="BV1160" s="124"/>
    </row>
    <row r="1161" spans="72:74" x14ac:dyDescent="0.2">
      <c r="BT1161" s="124"/>
      <c r="BU1161" s="124"/>
      <c r="BV1161" s="124"/>
    </row>
    <row r="1162" spans="72:74" x14ac:dyDescent="0.2">
      <c r="BT1162" s="124"/>
      <c r="BU1162" s="124"/>
      <c r="BV1162" s="124"/>
    </row>
    <row r="1163" spans="72:74" x14ac:dyDescent="0.2">
      <c r="BT1163" s="124"/>
      <c r="BU1163" s="124"/>
      <c r="BV1163" s="124"/>
    </row>
    <row r="1164" spans="72:74" x14ac:dyDescent="0.2">
      <c r="BT1164" s="124"/>
      <c r="BU1164" s="124"/>
      <c r="BV1164" s="124"/>
    </row>
    <row r="1165" spans="72:74" x14ac:dyDescent="0.2">
      <c r="BT1165" s="124"/>
      <c r="BU1165" s="124"/>
      <c r="BV1165" s="124"/>
    </row>
    <row r="1166" spans="72:74" x14ac:dyDescent="0.2">
      <c r="BT1166" s="124"/>
      <c r="BU1166" s="124"/>
      <c r="BV1166" s="124"/>
    </row>
    <row r="1167" spans="72:74" x14ac:dyDescent="0.2">
      <c r="BT1167" s="124"/>
      <c r="BU1167" s="124"/>
      <c r="BV1167" s="124"/>
    </row>
    <row r="1168" spans="72:74" x14ac:dyDescent="0.2">
      <c r="BT1168" s="124"/>
      <c r="BU1168" s="124"/>
      <c r="BV1168" s="124"/>
    </row>
    <row r="1169" spans="72:74" x14ac:dyDescent="0.2">
      <c r="BT1169" s="124"/>
      <c r="BU1169" s="124"/>
      <c r="BV1169" s="124"/>
    </row>
    <row r="1170" spans="72:74" x14ac:dyDescent="0.2">
      <c r="BT1170" s="124"/>
      <c r="BU1170" s="124"/>
      <c r="BV1170" s="124"/>
    </row>
    <row r="1171" spans="72:74" x14ac:dyDescent="0.2">
      <c r="BT1171" s="124"/>
      <c r="BU1171" s="124"/>
      <c r="BV1171" s="124"/>
    </row>
    <row r="1172" spans="72:74" x14ac:dyDescent="0.2">
      <c r="BT1172" s="124"/>
      <c r="BU1172" s="124"/>
      <c r="BV1172" s="124"/>
    </row>
    <row r="1173" spans="72:74" x14ac:dyDescent="0.2">
      <c r="BT1173" s="124"/>
      <c r="BU1173" s="124"/>
      <c r="BV1173" s="124"/>
    </row>
    <row r="1174" spans="72:74" x14ac:dyDescent="0.2">
      <c r="BT1174" s="124"/>
      <c r="BU1174" s="124"/>
      <c r="BV1174" s="124"/>
    </row>
    <row r="1175" spans="72:74" x14ac:dyDescent="0.2">
      <c r="BT1175" s="124"/>
      <c r="BU1175" s="124"/>
      <c r="BV1175" s="124"/>
    </row>
    <row r="1176" spans="72:74" x14ac:dyDescent="0.2">
      <c r="BT1176" s="124"/>
      <c r="BU1176" s="124"/>
      <c r="BV1176" s="124"/>
    </row>
    <row r="1177" spans="72:74" x14ac:dyDescent="0.2">
      <c r="BT1177" s="124"/>
      <c r="BU1177" s="124"/>
      <c r="BV1177" s="124"/>
    </row>
    <row r="1178" spans="72:74" x14ac:dyDescent="0.2">
      <c r="BT1178" s="124"/>
      <c r="BU1178" s="124"/>
      <c r="BV1178" s="124"/>
    </row>
    <row r="1179" spans="72:74" x14ac:dyDescent="0.2">
      <c r="BT1179" s="124"/>
      <c r="BU1179" s="124"/>
      <c r="BV1179" s="124"/>
    </row>
    <row r="1180" spans="72:74" x14ac:dyDescent="0.2">
      <c r="BT1180" s="124"/>
      <c r="BU1180" s="124"/>
      <c r="BV1180" s="124"/>
    </row>
    <row r="1181" spans="72:74" x14ac:dyDescent="0.2">
      <c r="BT1181" s="124"/>
      <c r="BU1181" s="124"/>
      <c r="BV1181" s="124"/>
    </row>
    <row r="1182" spans="72:74" x14ac:dyDescent="0.2">
      <c r="BT1182" s="124"/>
      <c r="BU1182" s="124"/>
      <c r="BV1182" s="124"/>
    </row>
    <row r="1183" spans="72:74" x14ac:dyDescent="0.2">
      <c r="BT1183" s="124"/>
      <c r="BU1183" s="124"/>
      <c r="BV1183" s="124"/>
    </row>
    <row r="1184" spans="72:74" x14ac:dyDescent="0.2">
      <c r="BT1184" s="124"/>
      <c r="BU1184" s="124"/>
      <c r="BV1184" s="124"/>
    </row>
    <row r="1185" spans="72:74" x14ac:dyDescent="0.2">
      <c r="BT1185" s="124"/>
      <c r="BU1185" s="124"/>
      <c r="BV1185" s="124"/>
    </row>
    <row r="1186" spans="72:74" x14ac:dyDescent="0.2">
      <c r="BT1186" s="124"/>
      <c r="BU1186" s="124"/>
      <c r="BV1186" s="124"/>
    </row>
    <row r="1187" spans="72:74" x14ac:dyDescent="0.2">
      <c r="BT1187" s="124"/>
      <c r="BU1187" s="124"/>
      <c r="BV1187" s="124"/>
    </row>
    <row r="1188" spans="72:74" x14ac:dyDescent="0.2">
      <c r="BT1188" s="124"/>
      <c r="BU1188" s="124"/>
      <c r="BV1188" s="124"/>
    </row>
    <row r="1189" spans="72:74" x14ac:dyDescent="0.2">
      <c r="BT1189" s="124"/>
      <c r="BU1189" s="124"/>
      <c r="BV1189" s="124"/>
    </row>
    <row r="1190" spans="72:74" x14ac:dyDescent="0.2">
      <c r="BT1190" s="124"/>
      <c r="BU1190" s="124"/>
      <c r="BV1190" s="124"/>
    </row>
    <row r="1191" spans="72:74" x14ac:dyDescent="0.2">
      <c r="BT1191" s="124"/>
      <c r="BU1191" s="124"/>
      <c r="BV1191" s="124"/>
    </row>
    <row r="1192" spans="72:74" x14ac:dyDescent="0.2">
      <c r="BT1192" s="124"/>
      <c r="BU1192" s="124"/>
      <c r="BV1192" s="124"/>
    </row>
    <row r="1193" spans="72:74" x14ac:dyDescent="0.2">
      <c r="BT1193" s="124"/>
      <c r="BU1193" s="124"/>
      <c r="BV1193" s="124"/>
    </row>
    <row r="1194" spans="72:74" x14ac:dyDescent="0.2">
      <c r="BT1194" s="124"/>
      <c r="BU1194" s="124"/>
      <c r="BV1194" s="124"/>
    </row>
    <row r="1195" spans="72:74" x14ac:dyDescent="0.2">
      <c r="BT1195" s="124"/>
      <c r="BU1195" s="124"/>
      <c r="BV1195" s="124"/>
    </row>
    <row r="1196" spans="72:74" x14ac:dyDescent="0.2">
      <c r="BT1196" s="124"/>
      <c r="BU1196" s="124"/>
      <c r="BV1196" s="124"/>
    </row>
    <row r="1197" spans="72:74" x14ac:dyDescent="0.2">
      <c r="BT1197" s="124"/>
      <c r="BU1197" s="124"/>
      <c r="BV1197" s="124"/>
    </row>
    <row r="1198" spans="72:74" x14ac:dyDescent="0.2">
      <c r="BT1198" s="124"/>
      <c r="BU1198" s="124"/>
      <c r="BV1198" s="124"/>
    </row>
    <row r="1199" spans="72:74" x14ac:dyDescent="0.2">
      <c r="BT1199" s="124"/>
      <c r="BU1199" s="124"/>
      <c r="BV1199" s="124"/>
    </row>
    <row r="1200" spans="72:74" x14ac:dyDescent="0.2">
      <c r="BT1200" s="124"/>
      <c r="BU1200" s="124"/>
      <c r="BV1200" s="124"/>
    </row>
    <row r="1201" spans="72:74" x14ac:dyDescent="0.2">
      <c r="BT1201" s="124"/>
      <c r="BU1201" s="124"/>
      <c r="BV1201" s="124"/>
    </row>
    <row r="1202" spans="72:74" x14ac:dyDescent="0.2">
      <c r="BT1202" s="124"/>
      <c r="BU1202" s="124"/>
      <c r="BV1202" s="124"/>
    </row>
    <row r="1203" spans="72:74" x14ac:dyDescent="0.2">
      <c r="BT1203" s="124"/>
      <c r="BU1203" s="124"/>
      <c r="BV1203" s="124"/>
    </row>
    <row r="1204" spans="72:74" x14ac:dyDescent="0.2">
      <c r="BT1204" s="124"/>
      <c r="BU1204" s="124"/>
      <c r="BV1204" s="124"/>
    </row>
    <row r="1205" spans="72:74" x14ac:dyDescent="0.2">
      <c r="BT1205" s="124"/>
      <c r="BU1205" s="124"/>
      <c r="BV1205" s="124"/>
    </row>
    <row r="1206" spans="72:74" x14ac:dyDescent="0.2">
      <c r="BT1206" s="124"/>
      <c r="BU1206" s="124"/>
      <c r="BV1206" s="124"/>
    </row>
    <row r="1207" spans="72:74" x14ac:dyDescent="0.2">
      <c r="BT1207" s="124"/>
      <c r="BU1207" s="124"/>
      <c r="BV1207" s="124"/>
    </row>
    <row r="1208" spans="72:74" x14ac:dyDescent="0.2">
      <c r="BT1208" s="124"/>
      <c r="BU1208" s="124"/>
      <c r="BV1208" s="124"/>
    </row>
    <row r="1209" spans="72:74" x14ac:dyDescent="0.2">
      <c r="BT1209" s="124"/>
      <c r="BU1209" s="124"/>
      <c r="BV1209" s="124"/>
    </row>
    <row r="1210" spans="72:74" x14ac:dyDescent="0.2">
      <c r="BT1210" s="124"/>
      <c r="BU1210" s="124"/>
      <c r="BV1210" s="124"/>
    </row>
    <row r="1211" spans="72:74" x14ac:dyDescent="0.2">
      <c r="BT1211" s="124"/>
      <c r="BU1211" s="124"/>
      <c r="BV1211" s="124"/>
    </row>
    <row r="1212" spans="72:74" x14ac:dyDescent="0.2">
      <c r="BT1212" s="124"/>
      <c r="BU1212" s="124"/>
      <c r="BV1212" s="124"/>
    </row>
    <row r="1213" spans="72:74" x14ac:dyDescent="0.2">
      <c r="BT1213" s="124"/>
      <c r="BU1213" s="124"/>
      <c r="BV1213" s="124"/>
    </row>
    <row r="1214" spans="72:74" x14ac:dyDescent="0.2">
      <c r="BT1214" s="124"/>
      <c r="BU1214" s="124"/>
      <c r="BV1214" s="124"/>
    </row>
    <row r="1215" spans="72:74" x14ac:dyDescent="0.2">
      <c r="BT1215" s="124"/>
      <c r="BU1215" s="124"/>
      <c r="BV1215" s="124"/>
    </row>
    <row r="1216" spans="72:74" x14ac:dyDescent="0.2">
      <c r="BT1216" s="124"/>
      <c r="BU1216" s="124"/>
      <c r="BV1216" s="124"/>
    </row>
    <row r="1217" spans="72:74" x14ac:dyDescent="0.2">
      <c r="BT1217" s="124"/>
      <c r="BU1217" s="124"/>
      <c r="BV1217" s="124"/>
    </row>
    <row r="1218" spans="72:74" x14ac:dyDescent="0.2">
      <c r="BT1218" s="124"/>
      <c r="BU1218" s="124"/>
      <c r="BV1218" s="124"/>
    </row>
    <row r="1219" spans="72:74" x14ac:dyDescent="0.2">
      <c r="BT1219" s="124"/>
      <c r="BU1219" s="124"/>
      <c r="BV1219" s="124"/>
    </row>
    <row r="1220" spans="72:74" x14ac:dyDescent="0.2">
      <c r="BT1220" s="124"/>
      <c r="BU1220" s="124"/>
      <c r="BV1220" s="124"/>
    </row>
    <row r="1221" spans="72:74" x14ac:dyDescent="0.2">
      <c r="BT1221" s="124"/>
      <c r="BU1221" s="124"/>
      <c r="BV1221" s="124"/>
    </row>
    <row r="1222" spans="72:74" x14ac:dyDescent="0.2">
      <c r="BT1222" s="124"/>
      <c r="BU1222" s="124"/>
      <c r="BV1222" s="124"/>
    </row>
    <row r="1223" spans="72:74" x14ac:dyDescent="0.2">
      <c r="BT1223" s="124"/>
      <c r="BU1223" s="124"/>
      <c r="BV1223" s="124"/>
    </row>
    <row r="1224" spans="72:74" x14ac:dyDescent="0.2">
      <c r="BT1224" s="124"/>
      <c r="BU1224" s="124"/>
      <c r="BV1224" s="124"/>
    </row>
    <row r="1225" spans="72:74" x14ac:dyDescent="0.2">
      <c r="BT1225" s="124"/>
      <c r="BU1225" s="124"/>
      <c r="BV1225" s="124"/>
    </row>
    <row r="1226" spans="72:74" x14ac:dyDescent="0.2">
      <c r="BT1226" s="124"/>
      <c r="BU1226" s="124"/>
      <c r="BV1226" s="124"/>
    </row>
    <row r="1227" spans="72:74" x14ac:dyDescent="0.2">
      <c r="BT1227" s="124"/>
      <c r="BU1227" s="124"/>
      <c r="BV1227" s="124"/>
    </row>
    <row r="1228" spans="72:74" x14ac:dyDescent="0.2">
      <c r="BT1228" s="124"/>
      <c r="BU1228" s="124"/>
      <c r="BV1228" s="124"/>
    </row>
    <row r="1229" spans="72:74" x14ac:dyDescent="0.2">
      <c r="BT1229" s="124"/>
      <c r="BU1229" s="124"/>
      <c r="BV1229" s="124"/>
    </row>
    <row r="1230" spans="72:74" x14ac:dyDescent="0.2">
      <c r="BT1230" s="124"/>
      <c r="BU1230" s="124"/>
      <c r="BV1230" s="124"/>
    </row>
    <row r="1231" spans="72:74" x14ac:dyDescent="0.2">
      <c r="BT1231" s="124"/>
      <c r="BU1231" s="124"/>
      <c r="BV1231" s="124"/>
    </row>
    <row r="1232" spans="72:74" x14ac:dyDescent="0.2">
      <c r="BT1232" s="124"/>
      <c r="BU1232" s="124"/>
      <c r="BV1232" s="124"/>
    </row>
    <row r="1233" spans="72:74" x14ac:dyDescent="0.2">
      <c r="BT1233" s="124"/>
      <c r="BU1233" s="124"/>
      <c r="BV1233" s="124"/>
    </row>
    <row r="1234" spans="72:74" x14ac:dyDescent="0.2">
      <c r="BT1234" s="124"/>
      <c r="BU1234" s="124"/>
      <c r="BV1234" s="124"/>
    </row>
    <row r="1235" spans="72:74" x14ac:dyDescent="0.2">
      <c r="BT1235" s="124"/>
      <c r="BU1235" s="124"/>
      <c r="BV1235" s="124"/>
    </row>
    <row r="1236" spans="72:74" x14ac:dyDescent="0.2">
      <c r="BT1236" s="124"/>
      <c r="BU1236" s="124"/>
      <c r="BV1236" s="124"/>
    </row>
    <row r="1237" spans="72:74" x14ac:dyDescent="0.2">
      <c r="BT1237" s="124"/>
      <c r="BU1237" s="124"/>
      <c r="BV1237" s="124"/>
    </row>
    <row r="1238" spans="72:74" x14ac:dyDescent="0.2">
      <c r="BT1238" s="124"/>
      <c r="BU1238" s="124"/>
      <c r="BV1238" s="124"/>
    </row>
    <row r="1239" spans="72:74" x14ac:dyDescent="0.2">
      <c r="BT1239" s="124"/>
      <c r="BU1239" s="124"/>
      <c r="BV1239" s="124"/>
    </row>
    <row r="1240" spans="72:74" x14ac:dyDescent="0.2">
      <c r="BT1240" s="124"/>
      <c r="BU1240" s="124"/>
      <c r="BV1240" s="124"/>
    </row>
    <row r="1241" spans="72:74" x14ac:dyDescent="0.2">
      <c r="BT1241" s="124"/>
      <c r="BU1241" s="124"/>
      <c r="BV1241" s="124"/>
    </row>
    <row r="1242" spans="72:74" x14ac:dyDescent="0.2">
      <c r="BT1242" s="124"/>
      <c r="BU1242" s="124"/>
      <c r="BV1242" s="124"/>
    </row>
    <row r="1243" spans="72:74" x14ac:dyDescent="0.2">
      <c r="BT1243" s="124"/>
      <c r="BU1243" s="124"/>
      <c r="BV1243" s="124"/>
    </row>
    <row r="1244" spans="72:74" x14ac:dyDescent="0.2">
      <c r="BT1244" s="124"/>
      <c r="BU1244" s="124"/>
      <c r="BV1244" s="124"/>
    </row>
    <row r="1245" spans="72:74" x14ac:dyDescent="0.2">
      <c r="BT1245" s="124"/>
      <c r="BU1245" s="124"/>
      <c r="BV1245" s="124"/>
    </row>
    <row r="1246" spans="72:74" x14ac:dyDescent="0.2">
      <c r="BT1246" s="124"/>
      <c r="BU1246" s="124"/>
      <c r="BV1246" s="124"/>
    </row>
    <row r="1247" spans="72:74" x14ac:dyDescent="0.2">
      <c r="BT1247" s="124"/>
      <c r="BU1247" s="124"/>
      <c r="BV1247" s="124"/>
    </row>
    <row r="1248" spans="72:74" x14ac:dyDescent="0.2">
      <c r="BT1248" s="124"/>
      <c r="BU1248" s="124"/>
      <c r="BV1248" s="124"/>
    </row>
    <row r="1249" spans="72:74" x14ac:dyDescent="0.2">
      <c r="BT1249" s="124"/>
      <c r="BU1249" s="124"/>
      <c r="BV1249" s="124"/>
    </row>
    <row r="1250" spans="72:74" x14ac:dyDescent="0.2">
      <c r="BT1250" s="124"/>
      <c r="BU1250" s="124"/>
      <c r="BV1250" s="124"/>
    </row>
    <row r="1251" spans="72:74" x14ac:dyDescent="0.2">
      <c r="BT1251" s="124"/>
      <c r="BU1251" s="124"/>
      <c r="BV1251" s="124"/>
    </row>
    <row r="1252" spans="72:74" x14ac:dyDescent="0.2">
      <c r="BT1252" s="124"/>
      <c r="BU1252" s="124"/>
      <c r="BV1252" s="124"/>
    </row>
    <row r="1253" spans="72:74" x14ac:dyDescent="0.2">
      <c r="BT1253" s="124"/>
      <c r="BU1253" s="124"/>
      <c r="BV1253" s="124"/>
    </row>
    <row r="1254" spans="72:74" x14ac:dyDescent="0.2">
      <c r="BT1254" s="124"/>
      <c r="BU1254" s="124"/>
      <c r="BV1254" s="124"/>
    </row>
    <row r="1255" spans="72:74" x14ac:dyDescent="0.2">
      <c r="BT1255" s="124"/>
      <c r="BU1255" s="124"/>
      <c r="BV1255" s="124"/>
    </row>
    <row r="1256" spans="72:74" x14ac:dyDescent="0.2">
      <c r="BT1256" s="124"/>
      <c r="BU1256" s="124"/>
      <c r="BV1256" s="124"/>
    </row>
    <row r="1257" spans="72:74" x14ac:dyDescent="0.2">
      <c r="BT1257" s="124"/>
      <c r="BU1257" s="124"/>
      <c r="BV1257" s="124"/>
    </row>
    <row r="1258" spans="72:74" x14ac:dyDescent="0.2">
      <c r="BT1258" s="124"/>
      <c r="BU1258" s="124"/>
      <c r="BV1258" s="124"/>
    </row>
    <row r="1259" spans="72:74" x14ac:dyDescent="0.2">
      <c r="BT1259" s="124"/>
      <c r="BU1259" s="124"/>
      <c r="BV1259" s="124"/>
    </row>
    <row r="1260" spans="72:74" x14ac:dyDescent="0.2">
      <c r="BT1260" s="124"/>
      <c r="BU1260" s="124"/>
      <c r="BV1260" s="124"/>
    </row>
    <row r="1261" spans="72:74" x14ac:dyDescent="0.2">
      <c r="BT1261" s="124"/>
      <c r="BU1261" s="124"/>
      <c r="BV1261" s="124"/>
    </row>
    <row r="1262" spans="72:74" x14ac:dyDescent="0.2">
      <c r="BT1262" s="124"/>
      <c r="BU1262" s="124"/>
      <c r="BV1262" s="124"/>
    </row>
    <row r="1263" spans="72:74" x14ac:dyDescent="0.2">
      <c r="BT1263" s="124"/>
      <c r="BU1263" s="124"/>
      <c r="BV1263" s="124"/>
    </row>
    <row r="1264" spans="72:74" x14ac:dyDescent="0.2">
      <c r="BT1264" s="124"/>
      <c r="BU1264" s="124"/>
      <c r="BV1264" s="124"/>
    </row>
    <row r="1265" spans="72:74" x14ac:dyDescent="0.2">
      <c r="BT1265" s="124"/>
      <c r="BU1265" s="124"/>
      <c r="BV1265" s="124"/>
    </row>
    <row r="1266" spans="72:74" x14ac:dyDescent="0.2">
      <c r="BT1266" s="124"/>
      <c r="BU1266" s="124"/>
      <c r="BV1266" s="124"/>
    </row>
    <row r="1267" spans="72:74" x14ac:dyDescent="0.2">
      <c r="BT1267" s="124"/>
      <c r="BU1267" s="124"/>
      <c r="BV1267" s="124"/>
    </row>
    <row r="1268" spans="72:74" x14ac:dyDescent="0.2">
      <c r="BT1268" s="124"/>
      <c r="BU1268" s="124"/>
      <c r="BV1268" s="124"/>
    </row>
    <row r="1269" spans="72:74" x14ac:dyDescent="0.2">
      <c r="BT1269" s="124"/>
      <c r="BU1269" s="124"/>
      <c r="BV1269" s="124"/>
    </row>
    <row r="1270" spans="72:74" x14ac:dyDescent="0.2">
      <c r="BT1270" s="124"/>
      <c r="BU1270" s="124"/>
      <c r="BV1270" s="124"/>
    </row>
    <row r="1271" spans="72:74" x14ac:dyDescent="0.2">
      <c r="BT1271" s="124"/>
      <c r="BU1271" s="124"/>
      <c r="BV1271" s="124"/>
    </row>
    <row r="1272" spans="72:74" x14ac:dyDescent="0.2">
      <c r="BT1272" s="124"/>
      <c r="BU1272" s="124"/>
      <c r="BV1272" s="124"/>
    </row>
    <row r="1273" spans="72:74" x14ac:dyDescent="0.2">
      <c r="BT1273" s="124"/>
      <c r="BU1273" s="124"/>
      <c r="BV1273" s="124"/>
    </row>
    <row r="1274" spans="72:74" x14ac:dyDescent="0.2">
      <c r="BT1274" s="124"/>
      <c r="BU1274" s="124"/>
      <c r="BV1274" s="124"/>
    </row>
    <row r="1275" spans="72:74" x14ac:dyDescent="0.2">
      <c r="BT1275" s="124"/>
      <c r="BU1275" s="124"/>
      <c r="BV1275" s="124"/>
    </row>
    <row r="1276" spans="72:74" x14ac:dyDescent="0.2">
      <c r="BT1276" s="124"/>
      <c r="BU1276" s="124"/>
      <c r="BV1276" s="124"/>
    </row>
    <row r="1277" spans="72:74" x14ac:dyDescent="0.2">
      <c r="BT1277" s="124"/>
      <c r="BU1277" s="124"/>
      <c r="BV1277" s="124"/>
    </row>
    <row r="1278" spans="72:74" x14ac:dyDescent="0.2">
      <c r="BT1278" s="124"/>
      <c r="BU1278" s="124"/>
      <c r="BV1278" s="124"/>
    </row>
    <row r="1279" spans="72:74" x14ac:dyDescent="0.2">
      <c r="BT1279" s="124"/>
      <c r="BU1279" s="124"/>
      <c r="BV1279" s="124"/>
    </row>
    <row r="1280" spans="72:74" x14ac:dyDescent="0.2">
      <c r="BT1280" s="124"/>
      <c r="BU1280" s="124"/>
      <c r="BV1280" s="124"/>
    </row>
    <row r="1281" spans="72:74" x14ac:dyDescent="0.2">
      <c r="BT1281" s="124"/>
      <c r="BU1281" s="124"/>
      <c r="BV1281" s="124"/>
    </row>
    <row r="1282" spans="72:74" x14ac:dyDescent="0.2">
      <c r="BT1282" s="124"/>
      <c r="BU1282" s="124"/>
      <c r="BV1282" s="124"/>
    </row>
    <row r="1283" spans="72:74" x14ac:dyDescent="0.2">
      <c r="BT1283" s="124"/>
      <c r="BU1283" s="124"/>
      <c r="BV1283" s="124"/>
    </row>
    <row r="1284" spans="72:74" x14ac:dyDescent="0.2">
      <c r="BT1284" s="124"/>
      <c r="BU1284" s="124"/>
      <c r="BV1284" s="124"/>
    </row>
    <row r="1285" spans="72:74" x14ac:dyDescent="0.2">
      <c r="BT1285" s="124"/>
      <c r="BU1285" s="124"/>
      <c r="BV1285" s="124"/>
    </row>
    <row r="1286" spans="72:74" x14ac:dyDescent="0.2">
      <c r="BT1286" s="124"/>
      <c r="BU1286" s="124"/>
      <c r="BV1286" s="124"/>
    </row>
    <row r="1287" spans="72:74" x14ac:dyDescent="0.2">
      <c r="BT1287" s="124"/>
      <c r="BU1287" s="124"/>
      <c r="BV1287" s="124"/>
    </row>
    <row r="1288" spans="72:74" x14ac:dyDescent="0.2">
      <c r="BT1288" s="124"/>
      <c r="BU1288" s="124"/>
      <c r="BV1288" s="124"/>
    </row>
    <row r="1289" spans="72:74" x14ac:dyDescent="0.2">
      <c r="BT1289" s="124"/>
      <c r="BU1289" s="124"/>
      <c r="BV1289" s="124"/>
    </row>
    <row r="1290" spans="72:74" x14ac:dyDescent="0.2">
      <c r="BT1290" s="124"/>
      <c r="BU1290" s="124"/>
      <c r="BV1290" s="124"/>
    </row>
    <row r="1291" spans="72:74" x14ac:dyDescent="0.2">
      <c r="BT1291" s="124"/>
      <c r="BU1291" s="124"/>
      <c r="BV1291" s="124"/>
    </row>
    <row r="1292" spans="72:74" x14ac:dyDescent="0.2">
      <c r="BT1292" s="124"/>
      <c r="BU1292" s="124"/>
      <c r="BV1292" s="124"/>
    </row>
    <row r="1293" spans="72:74" x14ac:dyDescent="0.2">
      <c r="BT1293" s="124"/>
      <c r="BU1293" s="124"/>
      <c r="BV1293" s="124"/>
    </row>
    <row r="1294" spans="72:74" x14ac:dyDescent="0.2">
      <c r="BT1294" s="124"/>
      <c r="BU1294" s="124"/>
      <c r="BV1294" s="124"/>
    </row>
    <row r="1295" spans="72:74" x14ac:dyDescent="0.2">
      <c r="BT1295" s="124"/>
      <c r="BU1295" s="124"/>
      <c r="BV1295" s="124"/>
    </row>
    <row r="1296" spans="72:74" x14ac:dyDescent="0.2">
      <c r="BT1296" s="124"/>
      <c r="BU1296" s="124"/>
      <c r="BV1296" s="124"/>
    </row>
    <row r="1297" spans="72:74" x14ac:dyDescent="0.2">
      <c r="BT1297" s="124"/>
      <c r="BU1297" s="124"/>
      <c r="BV1297" s="124"/>
    </row>
    <row r="1298" spans="72:74" x14ac:dyDescent="0.2">
      <c r="BT1298" s="124"/>
      <c r="BU1298" s="124"/>
      <c r="BV1298" s="124"/>
    </row>
    <row r="1299" spans="72:74" x14ac:dyDescent="0.2">
      <c r="BT1299" s="124"/>
      <c r="BU1299" s="124"/>
      <c r="BV1299" s="124"/>
    </row>
    <row r="1300" spans="72:74" x14ac:dyDescent="0.2">
      <c r="BT1300" s="124"/>
      <c r="BU1300" s="124"/>
      <c r="BV1300" s="124"/>
    </row>
    <row r="1301" spans="72:74" x14ac:dyDescent="0.2">
      <c r="BT1301" s="124"/>
      <c r="BU1301" s="124"/>
      <c r="BV1301" s="124"/>
    </row>
    <row r="1302" spans="72:74" x14ac:dyDescent="0.2">
      <c r="BT1302" s="124"/>
      <c r="BU1302" s="124"/>
      <c r="BV1302" s="124"/>
    </row>
    <row r="1303" spans="72:74" x14ac:dyDescent="0.2">
      <c r="BT1303" s="124"/>
      <c r="BU1303" s="124"/>
      <c r="BV1303" s="124"/>
    </row>
    <row r="1304" spans="72:74" x14ac:dyDescent="0.2">
      <c r="BT1304" s="124"/>
      <c r="BU1304" s="124"/>
      <c r="BV1304" s="124"/>
    </row>
    <row r="1305" spans="72:74" x14ac:dyDescent="0.2">
      <c r="BT1305" s="124"/>
      <c r="BU1305" s="124"/>
      <c r="BV1305" s="124"/>
    </row>
    <row r="1306" spans="72:74" x14ac:dyDescent="0.2">
      <c r="BT1306" s="124"/>
      <c r="BU1306" s="124"/>
      <c r="BV1306" s="124"/>
    </row>
    <row r="1307" spans="72:74" x14ac:dyDescent="0.2">
      <c r="BT1307" s="124"/>
      <c r="BU1307" s="124"/>
      <c r="BV1307" s="124"/>
    </row>
    <row r="1308" spans="72:74" x14ac:dyDescent="0.2">
      <c r="BT1308" s="124"/>
      <c r="BU1308" s="124"/>
      <c r="BV1308" s="124"/>
    </row>
    <row r="1309" spans="72:74" x14ac:dyDescent="0.2">
      <c r="BT1309" s="124"/>
      <c r="BU1309" s="124"/>
      <c r="BV1309" s="124"/>
    </row>
    <row r="1310" spans="72:74" x14ac:dyDescent="0.2">
      <c r="BT1310" s="124"/>
      <c r="BU1310" s="124"/>
      <c r="BV1310" s="124"/>
    </row>
    <row r="1311" spans="72:74" x14ac:dyDescent="0.2">
      <c r="BT1311" s="124"/>
      <c r="BU1311" s="124"/>
      <c r="BV1311" s="124"/>
    </row>
    <row r="1312" spans="72:74" x14ac:dyDescent="0.2">
      <c r="BT1312" s="124"/>
      <c r="BU1312" s="124"/>
      <c r="BV1312" s="124"/>
    </row>
    <row r="1313" spans="72:74" x14ac:dyDescent="0.2">
      <c r="BT1313" s="124"/>
      <c r="BU1313" s="124"/>
      <c r="BV1313" s="124"/>
    </row>
    <row r="1314" spans="72:74" x14ac:dyDescent="0.2">
      <c r="BT1314" s="124"/>
      <c r="BU1314" s="124"/>
      <c r="BV1314" s="124"/>
    </row>
    <row r="1315" spans="72:74" x14ac:dyDescent="0.2">
      <c r="BT1315" s="124"/>
      <c r="BU1315" s="124"/>
      <c r="BV1315" s="124"/>
    </row>
    <row r="1316" spans="72:74" x14ac:dyDescent="0.2">
      <c r="BT1316" s="124"/>
      <c r="BU1316" s="124"/>
      <c r="BV1316" s="124"/>
    </row>
    <row r="1317" spans="72:74" x14ac:dyDescent="0.2">
      <c r="BT1317" s="124"/>
      <c r="BU1317" s="124"/>
      <c r="BV1317" s="124"/>
    </row>
    <row r="1318" spans="72:74" x14ac:dyDescent="0.2">
      <c r="BT1318" s="124"/>
      <c r="BU1318" s="124"/>
      <c r="BV1318" s="124"/>
    </row>
    <row r="1319" spans="72:74" x14ac:dyDescent="0.2">
      <c r="BT1319" s="124"/>
      <c r="BU1319" s="124"/>
      <c r="BV1319" s="124"/>
    </row>
    <row r="1320" spans="72:74" x14ac:dyDescent="0.2">
      <c r="BT1320" s="124"/>
      <c r="BU1320" s="124"/>
      <c r="BV1320" s="124"/>
    </row>
    <row r="1321" spans="72:74" x14ac:dyDescent="0.2">
      <c r="BT1321" s="124"/>
      <c r="BU1321" s="124"/>
      <c r="BV1321" s="124"/>
    </row>
    <row r="1322" spans="72:74" x14ac:dyDescent="0.2">
      <c r="BT1322" s="124"/>
      <c r="BU1322" s="124"/>
      <c r="BV1322" s="124"/>
    </row>
    <row r="1323" spans="72:74" x14ac:dyDescent="0.2">
      <c r="BT1323" s="124"/>
      <c r="BU1323" s="124"/>
      <c r="BV1323" s="124"/>
    </row>
    <row r="1324" spans="72:74" x14ac:dyDescent="0.2">
      <c r="BT1324" s="124"/>
      <c r="BU1324" s="124"/>
      <c r="BV1324" s="124"/>
    </row>
    <row r="1325" spans="72:74" x14ac:dyDescent="0.2">
      <c r="BT1325" s="124"/>
      <c r="BU1325" s="124"/>
      <c r="BV1325" s="124"/>
    </row>
    <row r="1326" spans="72:74" x14ac:dyDescent="0.2">
      <c r="BT1326" s="124"/>
      <c r="BU1326" s="124"/>
      <c r="BV1326" s="124"/>
    </row>
    <row r="1327" spans="72:74" x14ac:dyDescent="0.2">
      <c r="BT1327" s="124"/>
      <c r="BU1327" s="124"/>
      <c r="BV1327" s="124"/>
    </row>
    <row r="1328" spans="72:74" x14ac:dyDescent="0.2">
      <c r="BT1328" s="124"/>
      <c r="BU1328" s="124"/>
      <c r="BV1328" s="124"/>
    </row>
    <row r="1329" spans="72:74" x14ac:dyDescent="0.2">
      <c r="BT1329" s="124"/>
      <c r="BU1329" s="124"/>
      <c r="BV1329" s="124"/>
    </row>
    <row r="1330" spans="72:74" x14ac:dyDescent="0.2">
      <c r="BT1330" s="124"/>
      <c r="BU1330" s="124"/>
      <c r="BV1330" s="124"/>
    </row>
    <row r="1331" spans="72:74" x14ac:dyDescent="0.2">
      <c r="BT1331" s="124"/>
      <c r="BU1331" s="124"/>
      <c r="BV1331" s="124"/>
    </row>
    <row r="1332" spans="72:74" x14ac:dyDescent="0.2">
      <c r="BT1332" s="124"/>
      <c r="BU1332" s="124"/>
      <c r="BV1332" s="124"/>
    </row>
    <row r="1333" spans="72:74" x14ac:dyDescent="0.2">
      <c r="BT1333" s="124"/>
      <c r="BU1333" s="124"/>
      <c r="BV1333" s="124"/>
    </row>
    <row r="1334" spans="72:74" x14ac:dyDescent="0.2">
      <c r="BT1334" s="124"/>
      <c r="BU1334" s="124"/>
      <c r="BV1334" s="124"/>
    </row>
    <row r="1335" spans="72:74" x14ac:dyDescent="0.2">
      <c r="BT1335" s="124"/>
      <c r="BU1335" s="124"/>
      <c r="BV1335" s="124"/>
    </row>
    <row r="1336" spans="72:74" x14ac:dyDescent="0.2">
      <c r="BT1336" s="124"/>
      <c r="BU1336" s="124"/>
      <c r="BV1336" s="124"/>
    </row>
    <row r="1337" spans="72:74" x14ac:dyDescent="0.2">
      <c r="BT1337" s="124"/>
      <c r="BU1337" s="124"/>
      <c r="BV1337" s="124"/>
    </row>
    <row r="1338" spans="72:74" x14ac:dyDescent="0.2">
      <c r="BT1338" s="124"/>
      <c r="BU1338" s="124"/>
      <c r="BV1338" s="124"/>
    </row>
    <row r="1339" spans="72:74" x14ac:dyDescent="0.2">
      <c r="BT1339" s="124"/>
      <c r="BU1339" s="124"/>
      <c r="BV1339" s="124"/>
    </row>
    <row r="1340" spans="72:74" x14ac:dyDescent="0.2">
      <c r="BT1340" s="124"/>
      <c r="BU1340" s="124"/>
      <c r="BV1340" s="124"/>
    </row>
    <row r="1341" spans="72:74" x14ac:dyDescent="0.2">
      <c r="BT1341" s="124"/>
      <c r="BU1341" s="124"/>
      <c r="BV1341" s="124"/>
    </row>
    <row r="1342" spans="72:74" x14ac:dyDescent="0.2">
      <c r="BT1342" s="124"/>
      <c r="BU1342" s="124"/>
      <c r="BV1342" s="124"/>
    </row>
    <row r="1343" spans="72:74" x14ac:dyDescent="0.2">
      <c r="BT1343" s="124"/>
      <c r="BU1343" s="124"/>
      <c r="BV1343" s="124"/>
    </row>
    <row r="1344" spans="72:74" x14ac:dyDescent="0.2">
      <c r="BT1344" s="124"/>
      <c r="BU1344" s="124"/>
      <c r="BV1344" s="124"/>
    </row>
    <row r="1345" spans="72:74" x14ac:dyDescent="0.2">
      <c r="BT1345" s="124"/>
      <c r="BU1345" s="124"/>
      <c r="BV1345" s="124"/>
    </row>
    <row r="1346" spans="72:74" x14ac:dyDescent="0.2">
      <c r="BT1346" s="124"/>
      <c r="BU1346" s="124"/>
      <c r="BV1346" s="124"/>
    </row>
    <row r="1347" spans="72:74" x14ac:dyDescent="0.2">
      <c r="BT1347" s="124"/>
      <c r="BU1347" s="124"/>
      <c r="BV1347" s="124"/>
    </row>
    <row r="1348" spans="72:74" x14ac:dyDescent="0.2">
      <c r="BT1348" s="124"/>
      <c r="BU1348" s="124"/>
      <c r="BV1348" s="124"/>
    </row>
    <row r="1349" spans="72:74" x14ac:dyDescent="0.2">
      <c r="BT1349" s="124"/>
      <c r="BU1349" s="124"/>
      <c r="BV1349" s="124"/>
    </row>
    <row r="1350" spans="72:74" x14ac:dyDescent="0.2">
      <c r="BT1350" s="124"/>
      <c r="BU1350" s="124"/>
      <c r="BV1350" s="124"/>
    </row>
    <row r="1351" spans="72:74" x14ac:dyDescent="0.2">
      <c r="BT1351" s="124"/>
      <c r="BU1351" s="124"/>
      <c r="BV1351" s="124"/>
    </row>
    <row r="1352" spans="72:74" x14ac:dyDescent="0.2">
      <c r="BT1352" s="124"/>
      <c r="BU1352" s="124"/>
      <c r="BV1352" s="124"/>
    </row>
    <row r="1353" spans="72:74" x14ac:dyDescent="0.2">
      <c r="BT1353" s="124"/>
      <c r="BU1353" s="124"/>
      <c r="BV1353" s="124"/>
    </row>
    <row r="1354" spans="72:74" x14ac:dyDescent="0.2">
      <c r="BT1354" s="124"/>
      <c r="BU1354" s="124"/>
      <c r="BV1354" s="124"/>
    </row>
    <row r="1355" spans="72:74" x14ac:dyDescent="0.2">
      <c r="BT1355" s="124"/>
      <c r="BU1355" s="124"/>
      <c r="BV1355" s="124"/>
    </row>
    <row r="1356" spans="72:74" x14ac:dyDescent="0.2">
      <c r="BT1356" s="124"/>
      <c r="BU1356" s="124"/>
      <c r="BV1356" s="124"/>
    </row>
    <row r="1357" spans="72:74" x14ac:dyDescent="0.2">
      <c r="BT1357" s="124"/>
      <c r="BU1357" s="124"/>
      <c r="BV1357" s="124"/>
    </row>
    <row r="1358" spans="72:74" x14ac:dyDescent="0.2">
      <c r="BT1358" s="124"/>
      <c r="BU1358" s="124"/>
      <c r="BV1358" s="124"/>
    </row>
    <row r="1359" spans="72:74" x14ac:dyDescent="0.2">
      <c r="BT1359" s="124"/>
      <c r="BU1359" s="124"/>
      <c r="BV1359" s="124"/>
    </row>
    <row r="1360" spans="72:74" x14ac:dyDescent="0.2">
      <c r="BT1360" s="124"/>
      <c r="BU1360" s="124"/>
      <c r="BV1360" s="124"/>
    </row>
    <row r="1361" spans="72:74" x14ac:dyDescent="0.2">
      <c r="BT1361" s="124"/>
      <c r="BU1361" s="124"/>
      <c r="BV1361" s="124"/>
    </row>
    <row r="1362" spans="72:74" x14ac:dyDescent="0.2">
      <c r="BT1362" s="124"/>
      <c r="BU1362" s="124"/>
      <c r="BV1362" s="124"/>
    </row>
    <row r="1363" spans="72:74" x14ac:dyDescent="0.2">
      <c r="BT1363" s="124"/>
      <c r="BU1363" s="124"/>
      <c r="BV1363" s="124"/>
    </row>
    <row r="1364" spans="72:74" x14ac:dyDescent="0.2">
      <c r="BT1364" s="124"/>
      <c r="BU1364" s="124"/>
      <c r="BV1364" s="124"/>
    </row>
    <row r="1365" spans="72:74" x14ac:dyDescent="0.2">
      <c r="BT1365" s="124"/>
      <c r="BU1365" s="124"/>
      <c r="BV1365" s="124"/>
    </row>
    <row r="1366" spans="72:74" x14ac:dyDescent="0.2">
      <c r="BT1366" s="124"/>
      <c r="BU1366" s="124"/>
      <c r="BV1366" s="124"/>
    </row>
    <row r="1367" spans="72:74" x14ac:dyDescent="0.2">
      <c r="BT1367" s="124"/>
      <c r="BU1367" s="124"/>
      <c r="BV1367" s="124"/>
    </row>
    <row r="1368" spans="72:74" x14ac:dyDescent="0.2">
      <c r="BT1368" s="124"/>
      <c r="BU1368" s="124"/>
      <c r="BV1368" s="124"/>
    </row>
    <row r="1369" spans="72:74" x14ac:dyDescent="0.2">
      <c r="BT1369" s="124"/>
      <c r="BU1369" s="124"/>
      <c r="BV1369" s="124"/>
    </row>
    <row r="1370" spans="72:74" x14ac:dyDescent="0.2">
      <c r="BT1370" s="124"/>
      <c r="BU1370" s="124"/>
      <c r="BV1370" s="124"/>
    </row>
    <row r="1371" spans="72:74" x14ac:dyDescent="0.2">
      <c r="BT1371" s="124"/>
      <c r="BU1371" s="124"/>
      <c r="BV1371" s="124"/>
    </row>
    <row r="1372" spans="72:74" x14ac:dyDescent="0.2">
      <c r="BT1372" s="124"/>
      <c r="BU1372" s="124"/>
      <c r="BV1372" s="124"/>
    </row>
    <row r="1373" spans="72:74" x14ac:dyDescent="0.2">
      <c r="BT1373" s="124"/>
      <c r="BU1373" s="124"/>
      <c r="BV1373" s="124"/>
    </row>
    <row r="1374" spans="72:74" x14ac:dyDescent="0.2">
      <c r="BT1374" s="124"/>
      <c r="BU1374" s="124"/>
      <c r="BV1374" s="124"/>
    </row>
    <row r="1375" spans="72:74" x14ac:dyDescent="0.2">
      <c r="BT1375" s="124"/>
      <c r="BU1375" s="124"/>
      <c r="BV1375" s="124"/>
    </row>
    <row r="1376" spans="72:74" x14ac:dyDescent="0.2">
      <c r="BT1376" s="124"/>
      <c r="BU1376" s="124"/>
      <c r="BV1376" s="124"/>
    </row>
    <row r="1377" spans="72:74" x14ac:dyDescent="0.2">
      <c r="BT1377" s="124"/>
      <c r="BU1377" s="124"/>
      <c r="BV1377" s="124"/>
    </row>
    <row r="1378" spans="72:74" x14ac:dyDescent="0.2">
      <c r="BT1378" s="124"/>
      <c r="BU1378" s="124"/>
      <c r="BV1378" s="124"/>
    </row>
    <row r="1379" spans="72:74" x14ac:dyDescent="0.2">
      <c r="BT1379" s="124"/>
      <c r="BU1379" s="124"/>
      <c r="BV1379" s="124"/>
    </row>
    <row r="1380" spans="72:74" x14ac:dyDescent="0.2">
      <c r="BT1380" s="124"/>
      <c r="BU1380" s="124"/>
      <c r="BV1380" s="124"/>
    </row>
    <row r="1381" spans="72:74" x14ac:dyDescent="0.2">
      <c r="BT1381" s="124"/>
      <c r="BU1381" s="124"/>
      <c r="BV1381" s="124"/>
    </row>
    <row r="1382" spans="72:74" x14ac:dyDescent="0.2">
      <c r="BT1382" s="124"/>
      <c r="BU1382" s="124"/>
      <c r="BV1382" s="124"/>
    </row>
    <row r="1383" spans="72:74" x14ac:dyDescent="0.2">
      <c r="BT1383" s="124"/>
      <c r="BU1383" s="124"/>
      <c r="BV1383" s="124"/>
    </row>
    <row r="1384" spans="72:74" x14ac:dyDescent="0.2">
      <c r="BT1384" s="124"/>
      <c r="BU1384" s="124"/>
      <c r="BV1384" s="124"/>
    </row>
    <row r="1385" spans="72:74" x14ac:dyDescent="0.2">
      <c r="BT1385" s="124"/>
      <c r="BU1385" s="124"/>
      <c r="BV1385" s="124"/>
    </row>
    <row r="1386" spans="72:74" x14ac:dyDescent="0.2">
      <c r="BT1386" s="124"/>
      <c r="BU1386" s="124"/>
      <c r="BV1386" s="124"/>
    </row>
    <row r="1387" spans="72:74" x14ac:dyDescent="0.2">
      <c r="BT1387" s="124"/>
      <c r="BU1387" s="124"/>
      <c r="BV1387" s="124"/>
    </row>
    <row r="1388" spans="72:74" x14ac:dyDescent="0.2">
      <c r="BT1388" s="124"/>
      <c r="BU1388" s="124"/>
      <c r="BV1388" s="124"/>
    </row>
    <row r="1389" spans="72:74" x14ac:dyDescent="0.2">
      <c r="BT1389" s="124"/>
      <c r="BU1389" s="124"/>
      <c r="BV1389" s="124"/>
    </row>
    <row r="1390" spans="72:74" x14ac:dyDescent="0.2">
      <c r="BT1390" s="124"/>
      <c r="BU1390" s="124"/>
      <c r="BV1390" s="124"/>
    </row>
    <row r="1391" spans="72:74" x14ac:dyDescent="0.2">
      <c r="BT1391" s="124"/>
      <c r="BU1391" s="124"/>
      <c r="BV1391" s="124"/>
    </row>
    <row r="1392" spans="72:74" x14ac:dyDescent="0.2">
      <c r="BT1392" s="124"/>
      <c r="BU1392" s="124"/>
      <c r="BV1392" s="124"/>
    </row>
    <row r="1393" spans="72:74" x14ac:dyDescent="0.2">
      <c r="BT1393" s="124"/>
      <c r="BU1393" s="124"/>
      <c r="BV1393" s="124"/>
    </row>
    <row r="1394" spans="72:74" x14ac:dyDescent="0.2">
      <c r="BT1394" s="124"/>
      <c r="BU1394" s="124"/>
      <c r="BV1394" s="124"/>
    </row>
    <row r="1395" spans="72:74" x14ac:dyDescent="0.2">
      <c r="BT1395" s="124"/>
      <c r="BU1395" s="124"/>
      <c r="BV1395" s="124"/>
    </row>
    <row r="1396" spans="72:74" x14ac:dyDescent="0.2">
      <c r="BT1396" s="124"/>
      <c r="BU1396" s="124"/>
      <c r="BV1396" s="124"/>
    </row>
    <row r="1397" spans="72:74" x14ac:dyDescent="0.2">
      <c r="BT1397" s="124"/>
      <c r="BU1397" s="124"/>
      <c r="BV1397" s="124"/>
    </row>
    <row r="1398" spans="72:74" x14ac:dyDescent="0.2">
      <c r="BT1398" s="124"/>
      <c r="BU1398" s="124"/>
      <c r="BV1398" s="124"/>
    </row>
    <row r="1399" spans="72:74" x14ac:dyDescent="0.2">
      <c r="BT1399" s="124"/>
      <c r="BU1399" s="124"/>
      <c r="BV1399" s="124"/>
    </row>
    <row r="1400" spans="72:74" x14ac:dyDescent="0.2">
      <c r="BT1400" s="124"/>
      <c r="BU1400" s="124"/>
      <c r="BV1400" s="124"/>
    </row>
    <row r="1401" spans="72:74" x14ac:dyDescent="0.2">
      <c r="BT1401" s="124"/>
      <c r="BU1401" s="124"/>
      <c r="BV1401" s="124"/>
    </row>
    <row r="1402" spans="72:74" x14ac:dyDescent="0.2">
      <c r="BT1402" s="124"/>
      <c r="BU1402" s="124"/>
      <c r="BV1402" s="124"/>
    </row>
    <row r="1403" spans="72:74" x14ac:dyDescent="0.2">
      <c r="BT1403" s="124"/>
      <c r="BU1403" s="124"/>
      <c r="BV1403" s="124"/>
    </row>
    <row r="1404" spans="72:74" x14ac:dyDescent="0.2">
      <c r="BT1404" s="124"/>
      <c r="BU1404" s="124"/>
      <c r="BV1404" s="124"/>
    </row>
    <row r="1405" spans="72:74" x14ac:dyDescent="0.2">
      <c r="BT1405" s="124"/>
      <c r="BU1405" s="124"/>
      <c r="BV1405" s="124"/>
    </row>
    <row r="1406" spans="72:74" x14ac:dyDescent="0.2">
      <c r="BT1406" s="124"/>
      <c r="BU1406" s="124"/>
      <c r="BV1406" s="124"/>
    </row>
    <row r="1407" spans="72:74" x14ac:dyDescent="0.2">
      <c r="BT1407" s="124"/>
      <c r="BU1407" s="124"/>
      <c r="BV1407" s="124"/>
    </row>
    <row r="1408" spans="72:74" x14ac:dyDescent="0.2">
      <c r="BT1408" s="124"/>
      <c r="BU1408" s="124"/>
      <c r="BV1408" s="124"/>
    </row>
    <row r="1409" spans="72:74" x14ac:dyDescent="0.2">
      <c r="BT1409" s="124"/>
      <c r="BU1409" s="124"/>
      <c r="BV1409" s="124"/>
    </row>
    <row r="1410" spans="72:74" x14ac:dyDescent="0.2">
      <c r="BT1410" s="124"/>
      <c r="BU1410" s="124"/>
      <c r="BV1410" s="124"/>
    </row>
    <row r="1411" spans="72:74" x14ac:dyDescent="0.2">
      <c r="BT1411" s="124"/>
      <c r="BU1411" s="124"/>
      <c r="BV1411" s="124"/>
    </row>
    <row r="1412" spans="72:74" x14ac:dyDescent="0.2">
      <c r="BT1412" s="124"/>
      <c r="BU1412" s="124"/>
      <c r="BV1412" s="124"/>
    </row>
    <row r="1413" spans="72:74" x14ac:dyDescent="0.2">
      <c r="BT1413" s="124"/>
      <c r="BU1413" s="124"/>
      <c r="BV1413" s="124"/>
    </row>
    <row r="1414" spans="72:74" x14ac:dyDescent="0.2">
      <c r="BT1414" s="124"/>
      <c r="BU1414" s="124"/>
      <c r="BV1414" s="124"/>
    </row>
    <row r="1415" spans="72:74" x14ac:dyDescent="0.2">
      <c r="BT1415" s="124"/>
      <c r="BU1415" s="124"/>
      <c r="BV1415" s="124"/>
    </row>
    <row r="1416" spans="72:74" x14ac:dyDescent="0.2">
      <c r="BT1416" s="124"/>
      <c r="BU1416" s="124"/>
      <c r="BV1416" s="124"/>
    </row>
    <row r="1417" spans="72:74" x14ac:dyDescent="0.2">
      <c r="BT1417" s="124"/>
      <c r="BU1417" s="124"/>
      <c r="BV1417" s="124"/>
    </row>
    <row r="1418" spans="72:74" x14ac:dyDescent="0.2">
      <c r="BT1418" s="124"/>
      <c r="BU1418" s="124"/>
      <c r="BV1418" s="124"/>
    </row>
    <row r="1419" spans="72:74" x14ac:dyDescent="0.2">
      <c r="BT1419" s="124"/>
      <c r="BU1419" s="124"/>
      <c r="BV1419" s="124"/>
    </row>
    <row r="1420" spans="72:74" x14ac:dyDescent="0.2">
      <c r="BT1420" s="124"/>
      <c r="BU1420" s="124"/>
      <c r="BV1420" s="124"/>
    </row>
    <row r="1421" spans="72:74" x14ac:dyDescent="0.2">
      <c r="BT1421" s="124"/>
      <c r="BU1421" s="124"/>
      <c r="BV1421" s="124"/>
    </row>
    <row r="1422" spans="72:74" x14ac:dyDescent="0.2">
      <c r="BT1422" s="124"/>
      <c r="BU1422" s="124"/>
      <c r="BV1422" s="124"/>
    </row>
    <row r="1423" spans="72:74" x14ac:dyDescent="0.2">
      <c r="BT1423" s="124"/>
      <c r="BU1423" s="124"/>
      <c r="BV1423" s="124"/>
    </row>
    <row r="1424" spans="72:74" x14ac:dyDescent="0.2">
      <c r="BT1424" s="124"/>
      <c r="BU1424" s="124"/>
      <c r="BV1424" s="124"/>
    </row>
    <row r="1425" spans="72:74" x14ac:dyDescent="0.2">
      <c r="BT1425" s="124"/>
      <c r="BU1425" s="124"/>
      <c r="BV1425" s="124"/>
    </row>
    <row r="1426" spans="72:74" x14ac:dyDescent="0.2">
      <c r="BT1426" s="124"/>
      <c r="BU1426" s="124"/>
      <c r="BV1426" s="124"/>
    </row>
    <row r="1427" spans="72:74" x14ac:dyDescent="0.2">
      <c r="BT1427" s="124"/>
      <c r="BU1427" s="124"/>
      <c r="BV1427" s="124"/>
    </row>
    <row r="1428" spans="72:74" x14ac:dyDescent="0.2">
      <c r="BT1428" s="124"/>
      <c r="BU1428" s="124"/>
      <c r="BV1428" s="124"/>
    </row>
    <row r="1429" spans="72:74" x14ac:dyDescent="0.2">
      <c r="BT1429" s="124"/>
      <c r="BU1429" s="124"/>
      <c r="BV1429" s="124"/>
    </row>
    <row r="1430" spans="72:74" x14ac:dyDescent="0.2">
      <c r="BT1430" s="124"/>
      <c r="BU1430" s="124"/>
      <c r="BV1430" s="124"/>
    </row>
    <row r="1431" spans="72:74" x14ac:dyDescent="0.2">
      <c r="BT1431" s="124"/>
      <c r="BU1431" s="124"/>
      <c r="BV1431" s="124"/>
    </row>
    <row r="1432" spans="72:74" x14ac:dyDescent="0.2">
      <c r="BT1432" s="124"/>
      <c r="BU1432" s="124"/>
      <c r="BV1432" s="124"/>
    </row>
    <row r="1433" spans="72:74" x14ac:dyDescent="0.2">
      <c r="BT1433" s="124"/>
      <c r="BU1433" s="124"/>
      <c r="BV1433" s="124"/>
    </row>
    <row r="1434" spans="72:74" x14ac:dyDescent="0.2">
      <c r="BT1434" s="124"/>
      <c r="BU1434" s="124"/>
      <c r="BV1434" s="124"/>
    </row>
    <row r="1435" spans="72:74" x14ac:dyDescent="0.2">
      <c r="BT1435" s="124"/>
      <c r="BU1435" s="124"/>
      <c r="BV1435" s="124"/>
    </row>
    <row r="1436" spans="72:74" x14ac:dyDescent="0.2">
      <c r="BT1436" s="124"/>
      <c r="BU1436" s="124"/>
      <c r="BV1436" s="124"/>
    </row>
    <row r="1437" spans="72:74" x14ac:dyDescent="0.2">
      <c r="BT1437" s="124"/>
      <c r="BU1437" s="124"/>
      <c r="BV1437" s="124"/>
    </row>
    <row r="1438" spans="72:74" x14ac:dyDescent="0.2">
      <c r="BT1438" s="124"/>
      <c r="BU1438" s="124"/>
      <c r="BV1438" s="124"/>
    </row>
    <row r="1439" spans="72:74" x14ac:dyDescent="0.2">
      <c r="BT1439" s="124"/>
      <c r="BU1439" s="124"/>
      <c r="BV1439" s="124"/>
    </row>
    <row r="1440" spans="72:74" x14ac:dyDescent="0.2">
      <c r="BT1440" s="124"/>
      <c r="BU1440" s="124"/>
      <c r="BV1440" s="124"/>
    </row>
    <row r="1441" spans="72:74" x14ac:dyDescent="0.2">
      <c r="BT1441" s="124"/>
      <c r="BU1441" s="124"/>
      <c r="BV1441" s="124"/>
    </row>
    <row r="1442" spans="72:74" x14ac:dyDescent="0.2">
      <c r="BT1442" s="124"/>
      <c r="BU1442" s="124"/>
      <c r="BV1442" s="124"/>
    </row>
    <row r="1443" spans="72:74" x14ac:dyDescent="0.2">
      <c r="BT1443" s="124"/>
      <c r="BU1443" s="124"/>
      <c r="BV1443" s="124"/>
    </row>
    <row r="1444" spans="72:74" x14ac:dyDescent="0.2">
      <c r="BT1444" s="124"/>
      <c r="BU1444" s="124"/>
      <c r="BV1444" s="124"/>
    </row>
    <row r="1445" spans="72:74" x14ac:dyDescent="0.2">
      <c r="BT1445" s="124"/>
      <c r="BU1445" s="124"/>
      <c r="BV1445" s="124"/>
    </row>
    <row r="1446" spans="72:74" x14ac:dyDescent="0.2">
      <c r="BT1446" s="124"/>
      <c r="BU1446" s="124"/>
      <c r="BV1446" s="124"/>
    </row>
    <row r="1447" spans="72:74" x14ac:dyDescent="0.2">
      <c r="BT1447" s="124"/>
      <c r="BU1447" s="124"/>
      <c r="BV1447" s="124"/>
    </row>
    <row r="1448" spans="72:74" x14ac:dyDescent="0.2">
      <c r="BT1448" s="124"/>
      <c r="BU1448" s="124"/>
      <c r="BV1448" s="124"/>
    </row>
    <row r="1449" spans="72:74" x14ac:dyDescent="0.2">
      <c r="BT1449" s="124"/>
      <c r="BU1449" s="124"/>
      <c r="BV1449" s="124"/>
    </row>
    <row r="1450" spans="72:74" x14ac:dyDescent="0.2">
      <c r="BT1450" s="124"/>
      <c r="BU1450" s="124"/>
      <c r="BV1450" s="124"/>
    </row>
    <row r="1451" spans="72:74" x14ac:dyDescent="0.2">
      <c r="BT1451" s="124"/>
      <c r="BU1451" s="124"/>
      <c r="BV1451" s="124"/>
    </row>
    <row r="1452" spans="72:74" x14ac:dyDescent="0.2">
      <c r="BT1452" s="124"/>
      <c r="BU1452" s="124"/>
      <c r="BV1452" s="124"/>
    </row>
    <row r="1453" spans="72:74" x14ac:dyDescent="0.2">
      <c r="BT1453" s="124"/>
      <c r="BU1453" s="124"/>
      <c r="BV1453" s="124"/>
    </row>
    <row r="1454" spans="72:74" x14ac:dyDescent="0.2">
      <c r="BT1454" s="124"/>
      <c r="BU1454" s="124"/>
      <c r="BV1454" s="124"/>
    </row>
    <row r="1455" spans="72:74" x14ac:dyDescent="0.2">
      <c r="BT1455" s="124"/>
      <c r="BU1455" s="124"/>
      <c r="BV1455" s="124"/>
    </row>
    <row r="1456" spans="72:74" x14ac:dyDescent="0.2">
      <c r="BT1456" s="124"/>
      <c r="BU1456" s="124"/>
      <c r="BV1456" s="124"/>
    </row>
    <row r="1457" spans="72:74" x14ac:dyDescent="0.2">
      <c r="BT1457" s="124"/>
      <c r="BU1457" s="124"/>
      <c r="BV1457" s="124"/>
    </row>
    <row r="1458" spans="72:74" x14ac:dyDescent="0.2">
      <c r="BT1458" s="124"/>
      <c r="BU1458" s="124"/>
      <c r="BV1458" s="124"/>
    </row>
    <row r="1459" spans="72:74" x14ac:dyDescent="0.2">
      <c r="BT1459" s="124"/>
      <c r="BU1459" s="124"/>
      <c r="BV1459" s="124"/>
    </row>
    <row r="1460" spans="72:74" x14ac:dyDescent="0.2">
      <c r="BT1460" s="124"/>
      <c r="BU1460" s="124"/>
      <c r="BV1460" s="124"/>
    </row>
    <row r="1461" spans="72:74" x14ac:dyDescent="0.2">
      <c r="BT1461" s="124"/>
      <c r="BU1461" s="124"/>
      <c r="BV1461" s="124"/>
    </row>
    <row r="1462" spans="72:74" x14ac:dyDescent="0.2">
      <c r="BT1462" s="124"/>
      <c r="BU1462" s="124"/>
      <c r="BV1462" s="124"/>
    </row>
    <row r="1463" spans="72:74" x14ac:dyDescent="0.2">
      <c r="BT1463" s="124"/>
      <c r="BU1463" s="124"/>
      <c r="BV1463" s="124"/>
    </row>
    <row r="1464" spans="72:74" x14ac:dyDescent="0.2">
      <c r="BT1464" s="124"/>
      <c r="BU1464" s="124"/>
      <c r="BV1464" s="124"/>
    </row>
    <row r="1465" spans="72:74" x14ac:dyDescent="0.2">
      <c r="BT1465" s="124"/>
      <c r="BU1465" s="124"/>
      <c r="BV1465" s="124"/>
    </row>
    <row r="1466" spans="72:74" x14ac:dyDescent="0.2">
      <c r="BT1466" s="124"/>
      <c r="BU1466" s="124"/>
      <c r="BV1466" s="124"/>
    </row>
    <row r="1467" spans="72:74" x14ac:dyDescent="0.2">
      <c r="BT1467" s="124"/>
      <c r="BU1467" s="124"/>
      <c r="BV1467" s="124"/>
    </row>
    <row r="1468" spans="72:74" x14ac:dyDescent="0.2">
      <c r="BT1468" s="124"/>
      <c r="BU1468" s="124"/>
      <c r="BV1468" s="124"/>
    </row>
    <row r="1469" spans="72:74" x14ac:dyDescent="0.2">
      <c r="BT1469" s="124"/>
      <c r="BU1469" s="124"/>
      <c r="BV1469" s="124"/>
    </row>
    <row r="1470" spans="72:74" x14ac:dyDescent="0.2">
      <c r="BT1470" s="124"/>
      <c r="BU1470" s="124"/>
      <c r="BV1470" s="124"/>
    </row>
    <row r="1471" spans="72:74" x14ac:dyDescent="0.2">
      <c r="BT1471" s="124"/>
      <c r="BU1471" s="124"/>
      <c r="BV1471" s="124"/>
    </row>
    <row r="1472" spans="72:74" x14ac:dyDescent="0.2">
      <c r="BT1472" s="124"/>
      <c r="BU1472" s="124"/>
      <c r="BV1472" s="124"/>
    </row>
    <row r="1473" spans="72:74" x14ac:dyDescent="0.2">
      <c r="BT1473" s="124"/>
      <c r="BU1473" s="124"/>
      <c r="BV1473" s="124"/>
    </row>
    <row r="1474" spans="72:74" x14ac:dyDescent="0.2">
      <c r="BT1474" s="124"/>
      <c r="BU1474" s="124"/>
      <c r="BV1474" s="124"/>
    </row>
    <row r="1475" spans="72:74" x14ac:dyDescent="0.2">
      <c r="BT1475" s="124"/>
      <c r="BU1475" s="124"/>
      <c r="BV1475" s="124"/>
    </row>
    <row r="1476" spans="72:74" x14ac:dyDescent="0.2">
      <c r="BT1476" s="124"/>
      <c r="BU1476" s="124"/>
      <c r="BV1476" s="124"/>
    </row>
    <row r="1477" spans="72:74" x14ac:dyDescent="0.2">
      <c r="BT1477" s="124"/>
      <c r="BU1477" s="124"/>
      <c r="BV1477" s="124"/>
    </row>
    <row r="1478" spans="72:74" x14ac:dyDescent="0.2">
      <c r="BT1478" s="124"/>
      <c r="BU1478" s="124"/>
      <c r="BV1478" s="124"/>
    </row>
    <row r="1479" spans="72:74" x14ac:dyDescent="0.2">
      <c r="BT1479" s="124"/>
      <c r="BU1479" s="124"/>
      <c r="BV1479" s="124"/>
    </row>
    <row r="1480" spans="72:74" x14ac:dyDescent="0.2">
      <c r="BT1480" s="124"/>
      <c r="BU1480" s="124"/>
      <c r="BV1480" s="124"/>
    </row>
    <row r="1481" spans="72:74" x14ac:dyDescent="0.2">
      <c r="BT1481" s="124"/>
      <c r="BU1481" s="124"/>
      <c r="BV1481" s="124"/>
    </row>
    <row r="1482" spans="72:74" x14ac:dyDescent="0.2">
      <c r="BT1482" s="124"/>
      <c r="BU1482" s="124"/>
      <c r="BV1482" s="124"/>
    </row>
    <row r="1483" spans="72:74" x14ac:dyDescent="0.2">
      <c r="BT1483" s="124"/>
      <c r="BU1483" s="124"/>
      <c r="BV1483" s="124"/>
    </row>
    <row r="1484" spans="72:74" x14ac:dyDescent="0.2">
      <c r="BT1484" s="124"/>
      <c r="BU1484" s="124"/>
      <c r="BV1484" s="124"/>
    </row>
    <row r="1485" spans="72:74" x14ac:dyDescent="0.2">
      <c r="BT1485" s="124"/>
      <c r="BU1485" s="124"/>
      <c r="BV1485" s="124"/>
    </row>
    <row r="1486" spans="72:74" x14ac:dyDescent="0.2">
      <c r="BT1486" s="124"/>
      <c r="BU1486" s="124"/>
      <c r="BV1486" s="124"/>
    </row>
    <row r="1487" spans="72:74" x14ac:dyDescent="0.2">
      <c r="BT1487" s="124"/>
      <c r="BU1487" s="124"/>
      <c r="BV1487" s="124"/>
    </row>
    <row r="1488" spans="72:74" x14ac:dyDescent="0.2">
      <c r="BT1488" s="124"/>
      <c r="BU1488" s="124"/>
      <c r="BV1488" s="124"/>
    </row>
    <row r="1489" spans="72:74" x14ac:dyDescent="0.2">
      <c r="BT1489" s="124"/>
      <c r="BU1489" s="124"/>
      <c r="BV1489" s="124"/>
    </row>
    <row r="1490" spans="72:74" x14ac:dyDescent="0.2">
      <c r="BT1490" s="124"/>
      <c r="BU1490" s="124"/>
      <c r="BV1490" s="124"/>
    </row>
    <row r="1491" spans="72:74" x14ac:dyDescent="0.2">
      <c r="BT1491" s="124"/>
      <c r="BU1491" s="124"/>
      <c r="BV1491" s="124"/>
    </row>
    <row r="1492" spans="72:74" x14ac:dyDescent="0.2">
      <c r="BT1492" s="124"/>
      <c r="BU1492" s="124"/>
      <c r="BV1492" s="124"/>
    </row>
    <row r="1493" spans="72:74" x14ac:dyDescent="0.2">
      <c r="BT1493" s="124"/>
      <c r="BU1493" s="124"/>
      <c r="BV1493" s="124"/>
    </row>
    <row r="1494" spans="72:74" x14ac:dyDescent="0.2">
      <c r="BT1494" s="124"/>
      <c r="BU1494" s="124"/>
      <c r="BV1494" s="124"/>
    </row>
    <row r="1495" spans="72:74" x14ac:dyDescent="0.2">
      <c r="BT1495" s="124"/>
      <c r="BU1495" s="124"/>
      <c r="BV1495" s="124"/>
    </row>
    <row r="1496" spans="72:74" x14ac:dyDescent="0.2">
      <c r="BT1496" s="124"/>
      <c r="BU1496" s="124"/>
      <c r="BV1496" s="124"/>
    </row>
    <row r="1497" spans="72:74" x14ac:dyDescent="0.2">
      <c r="BT1497" s="124"/>
      <c r="BU1497" s="124"/>
      <c r="BV1497" s="124"/>
    </row>
    <row r="1498" spans="72:74" x14ac:dyDescent="0.2">
      <c r="BT1498" s="124"/>
      <c r="BU1498" s="124"/>
      <c r="BV1498" s="124"/>
    </row>
    <row r="1499" spans="72:74" x14ac:dyDescent="0.2">
      <c r="BT1499" s="124"/>
      <c r="BU1499" s="124"/>
      <c r="BV1499" s="124"/>
    </row>
    <row r="1500" spans="72:74" x14ac:dyDescent="0.2">
      <c r="BT1500" s="124"/>
      <c r="BU1500" s="124"/>
      <c r="BV1500" s="124"/>
    </row>
    <row r="1501" spans="72:74" x14ac:dyDescent="0.2">
      <c r="BT1501" s="124"/>
      <c r="BU1501" s="124"/>
      <c r="BV1501" s="124"/>
    </row>
    <row r="1502" spans="72:74" x14ac:dyDescent="0.2">
      <c r="BT1502" s="124"/>
      <c r="BU1502" s="124"/>
      <c r="BV1502" s="124"/>
    </row>
    <row r="1503" spans="72:74" x14ac:dyDescent="0.2">
      <c r="BT1503" s="124"/>
      <c r="BU1503" s="124"/>
      <c r="BV1503" s="124"/>
    </row>
    <row r="1504" spans="72:74" x14ac:dyDescent="0.2">
      <c r="BT1504" s="124"/>
      <c r="BU1504" s="124"/>
      <c r="BV1504" s="124"/>
    </row>
    <row r="1505" spans="72:74" x14ac:dyDescent="0.2">
      <c r="BT1505" s="124"/>
      <c r="BU1505" s="124"/>
      <c r="BV1505" s="124"/>
    </row>
    <row r="1506" spans="72:74" x14ac:dyDescent="0.2">
      <c r="BT1506" s="124"/>
      <c r="BU1506" s="124"/>
      <c r="BV1506" s="124"/>
    </row>
    <row r="1507" spans="72:74" x14ac:dyDescent="0.2">
      <c r="BT1507" s="124"/>
      <c r="BU1507" s="124"/>
      <c r="BV1507" s="124"/>
    </row>
    <row r="1508" spans="72:74" x14ac:dyDescent="0.2">
      <c r="BT1508" s="124"/>
      <c r="BU1508" s="124"/>
      <c r="BV1508" s="124"/>
    </row>
    <row r="1509" spans="72:74" x14ac:dyDescent="0.2">
      <c r="BT1509" s="124"/>
      <c r="BU1509" s="124"/>
      <c r="BV1509" s="124"/>
    </row>
    <row r="1510" spans="72:74" x14ac:dyDescent="0.2">
      <c r="BT1510" s="124"/>
      <c r="BU1510" s="124"/>
      <c r="BV1510" s="124"/>
    </row>
    <row r="1511" spans="72:74" x14ac:dyDescent="0.2">
      <c r="BT1511" s="124"/>
      <c r="BU1511" s="124"/>
      <c r="BV1511" s="124"/>
    </row>
    <row r="1512" spans="72:74" x14ac:dyDescent="0.2">
      <c r="BT1512" s="124"/>
      <c r="BU1512" s="124"/>
      <c r="BV1512" s="124"/>
    </row>
    <row r="1513" spans="72:74" x14ac:dyDescent="0.2">
      <c r="BT1513" s="124"/>
      <c r="BU1513" s="124"/>
      <c r="BV1513" s="124"/>
    </row>
    <row r="1514" spans="72:74" x14ac:dyDescent="0.2">
      <c r="BT1514" s="124"/>
      <c r="BU1514" s="124"/>
      <c r="BV1514" s="124"/>
    </row>
    <row r="1515" spans="72:74" x14ac:dyDescent="0.2">
      <c r="BT1515" s="124"/>
      <c r="BU1515" s="124"/>
      <c r="BV1515" s="124"/>
    </row>
    <row r="1516" spans="72:74" x14ac:dyDescent="0.2">
      <c r="BT1516" s="124"/>
      <c r="BU1516" s="124"/>
      <c r="BV1516" s="124"/>
    </row>
    <row r="1517" spans="72:74" x14ac:dyDescent="0.2">
      <c r="BT1517" s="124"/>
      <c r="BU1517" s="124"/>
      <c r="BV1517" s="124"/>
    </row>
    <row r="1518" spans="72:74" x14ac:dyDescent="0.2">
      <c r="BT1518" s="124"/>
      <c r="BU1518" s="124"/>
      <c r="BV1518" s="124"/>
    </row>
    <row r="1519" spans="72:74" x14ac:dyDescent="0.2">
      <c r="BT1519" s="124"/>
      <c r="BU1519" s="124"/>
      <c r="BV1519" s="124"/>
    </row>
    <row r="1520" spans="72:74" x14ac:dyDescent="0.2">
      <c r="BT1520" s="124"/>
      <c r="BU1520" s="124"/>
      <c r="BV1520" s="124"/>
    </row>
    <row r="1521" spans="72:74" x14ac:dyDescent="0.2">
      <c r="BT1521" s="124"/>
      <c r="BU1521" s="124"/>
      <c r="BV1521" s="124"/>
    </row>
    <row r="1522" spans="72:74" x14ac:dyDescent="0.2">
      <c r="BT1522" s="124"/>
      <c r="BU1522" s="124"/>
      <c r="BV1522" s="124"/>
    </row>
    <row r="1523" spans="72:74" x14ac:dyDescent="0.2">
      <c r="BT1523" s="124"/>
      <c r="BU1523" s="124"/>
      <c r="BV1523" s="124"/>
    </row>
    <row r="1524" spans="72:74" x14ac:dyDescent="0.2">
      <c r="BT1524" s="124"/>
      <c r="BU1524" s="124"/>
      <c r="BV1524" s="124"/>
    </row>
    <row r="1525" spans="72:74" x14ac:dyDescent="0.2">
      <c r="BT1525" s="124"/>
      <c r="BU1525" s="124"/>
      <c r="BV1525" s="124"/>
    </row>
    <row r="1526" spans="72:74" x14ac:dyDescent="0.2">
      <c r="BT1526" s="124"/>
      <c r="BU1526" s="124"/>
      <c r="BV1526" s="124"/>
    </row>
    <row r="1527" spans="72:74" x14ac:dyDescent="0.2">
      <c r="BT1527" s="124"/>
      <c r="BU1527" s="124"/>
      <c r="BV1527" s="124"/>
    </row>
    <row r="1528" spans="72:74" x14ac:dyDescent="0.2">
      <c r="BT1528" s="124"/>
      <c r="BU1528" s="124"/>
      <c r="BV1528" s="124"/>
    </row>
    <row r="1529" spans="72:74" x14ac:dyDescent="0.2">
      <c r="BT1529" s="124"/>
      <c r="BU1529" s="124"/>
      <c r="BV1529" s="124"/>
    </row>
    <row r="1530" spans="72:74" x14ac:dyDescent="0.2">
      <c r="BT1530" s="124"/>
      <c r="BU1530" s="124"/>
      <c r="BV1530" s="124"/>
    </row>
    <row r="1531" spans="72:74" x14ac:dyDescent="0.2">
      <c r="BT1531" s="124"/>
      <c r="BU1531" s="124"/>
      <c r="BV1531" s="124"/>
    </row>
    <row r="1532" spans="72:74" x14ac:dyDescent="0.2">
      <c r="BT1532" s="124"/>
      <c r="BU1532" s="124"/>
      <c r="BV1532" s="124"/>
    </row>
    <row r="1533" spans="72:74" x14ac:dyDescent="0.2">
      <c r="BT1533" s="124"/>
      <c r="BU1533" s="124"/>
      <c r="BV1533" s="124"/>
    </row>
    <row r="1534" spans="72:74" x14ac:dyDescent="0.2">
      <c r="BT1534" s="124"/>
      <c r="BU1534" s="124"/>
      <c r="BV1534" s="124"/>
    </row>
    <row r="1535" spans="72:74" x14ac:dyDescent="0.2">
      <c r="BT1535" s="124"/>
      <c r="BU1535" s="124"/>
      <c r="BV1535" s="124"/>
    </row>
    <row r="1536" spans="72:74" x14ac:dyDescent="0.2">
      <c r="BT1536" s="124"/>
      <c r="BU1536" s="124"/>
      <c r="BV1536" s="124"/>
    </row>
    <row r="1537" spans="72:74" x14ac:dyDescent="0.2">
      <c r="BT1537" s="124"/>
      <c r="BU1537" s="124"/>
      <c r="BV1537" s="124"/>
    </row>
    <row r="1538" spans="72:74" x14ac:dyDescent="0.2">
      <c r="BT1538" s="124"/>
      <c r="BU1538" s="124"/>
      <c r="BV1538" s="124"/>
    </row>
    <row r="1539" spans="72:74" x14ac:dyDescent="0.2">
      <c r="BT1539" s="124"/>
      <c r="BU1539" s="124"/>
      <c r="BV1539" s="124"/>
    </row>
    <row r="1540" spans="72:74" x14ac:dyDescent="0.2">
      <c r="BT1540" s="124"/>
      <c r="BU1540" s="124"/>
      <c r="BV1540" s="124"/>
    </row>
    <row r="1541" spans="72:74" x14ac:dyDescent="0.2">
      <c r="BT1541" s="124"/>
      <c r="BU1541" s="124"/>
      <c r="BV1541" s="124"/>
    </row>
    <row r="1542" spans="72:74" x14ac:dyDescent="0.2">
      <c r="BT1542" s="124"/>
      <c r="BU1542" s="124"/>
      <c r="BV1542" s="124"/>
    </row>
    <row r="1543" spans="72:74" x14ac:dyDescent="0.2">
      <c r="BT1543" s="124"/>
      <c r="BU1543" s="124"/>
      <c r="BV1543" s="124"/>
    </row>
    <row r="1544" spans="72:74" x14ac:dyDescent="0.2">
      <c r="BT1544" s="124"/>
      <c r="BU1544" s="124"/>
      <c r="BV1544" s="124"/>
    </row>
    <row r="1545" spans="72:74" x14ac:dyDescent="0.2">
      <c r="BT1545" s="124"/>
      <c r="BU1545" s="124"/>
      <c r="BV1545" s="124"/>
    </row>
    <row r="1546" spans="72:74" x14ac:dyDescent="0.2">
      <c r="BT1546" s="124"/>
      <c r="BU1546" s="124"/>
      <c r="BV1546" s="124"/>
    </row>
    <row r="1547" spans="72:74" x14ac:dyDescent="0.2">
      <c r="BT1547" s="124"/>
      <c r="BU1547" s="124"/>
      <c r="BV1547" s="124"/>
    </row>
    <row r="1548" spans="72:74" x14ac:dyDescent="0.2">
      <c r="BT1548" s="124"/>
      <c r="BU1548" s="124"/>
      <c r="BV1548" s="124"/>
    </row>
    <row r="1549" spans="72:74" x14ac:dyDescent="0.2">
      <c r="BT1549" s="124"/>
      <c r="BU1549" s="124"/>
      <c r="BV1549" s="124"/>
    </row>
    <row r="1550" spans="72:74" x14ac:dyDescent="0.2">
      <c r="BT1550" s="124"/>
      <c r="BU1550" s="124"/>
      <c r="BV1550" s="124"/>
    </row>
    <row r="1551" spans="72:74" x14ac:dyDescent="0.2">
      <c r="BT1551" s="124"/>
      <c r="BU1551" s="124"/>
      <c r="BV1551" s="124"/>
    </row>
    <row r="1552" spans="72:74" x14ac:dyDescent="0.2">
      <c r="BT1552" s="124"/>
      <c r="BU1552" s="124"/>
      <c r="BV1552" s="124"/>
    </row>
    <row r="1553" spans="72:74" x14ac:dyDescent="0.2">
      <c r="BT1553" s="124"/>
      <c r="BU1553" s="124"/>
      <c r="BV1553" s="124"/>
    </row>
    <row r="1554" spans="72:74" x14ac:dyDescent="0.2">
      <c r="BT1554" s="124"/>
      <c r="BU1554" s="124"/>
      <c r="BV1554" s="124"/>
    </row>
    <row r="1555" spans="72:74" x14ac:dyDescent="0.2">
      <c r="BT1555" s="124"/>
      <c r="BU1555" s="124"/>
      <c r="BV1555" s="124"/>
    </row>
    <row r="1556" spans="72:74" x14ac:dyDescent="0.2">
      <c r="BT1556" s="124"/>
      <c r="BU1556" s="124"/>
      <c r="BV1556" s="124"/>
    </row>
    <row r="1557" spans="72:74" x14ac:dyDescent="0.2">
      <c r="BT1557" s="124"/>
      <c r="BU1557" s="124"/>
      <c r="BV1557" s="124"/>
    </row>
    <row r="1558" spans="72:74" x14ac:dyDescent="0.2">
      <c r="BT1558" s="124"/>
      <c r="BU1558" s="124"/>
      <c r="BV1558" s="124"/>
    </row>
    <row r="1559" spans="72:74" x14ac:dyDescent="0.2">
      <c r="BT1559" s="124"/>
      <c r="BU1559" s="124"/>
      <c r="BV1559" s="124"/>
    </row>
    <row r="1560" spans="72:74" x14ac:dyDescent="0.2">
      <c r="BT1560" s="124"/>
      <c r="BU1560" s="124"/>
      <c r="BV1560" s="124"/>
    </row>
    <row r="1561" spans="72:74" x14ac:dyDescent="0.2">
      <c r="BT1561" s="124"/>
      <c r="BU1561" s="124"/>
      <c r="BV1561" s="124"/>
    </row>
    <row r="1562" spans="72:74" x14ac:dyDescent="0.2">
      <c r="BT1562" s="124"/>
      <c r="BU1562" s="124"/>
      <c r="BV1562" s="124"/>
    </row>
    <row r="1563" spans="72:74" x14ac:dyDescent="0.2">
      <c r="BT1563" s="124"/>
      <c r="BU1563" s="124"/>
      <c r="BV1563" s="124"/>
    </row>
    <row r="1564" spans="72:74" x14ac:dyDescent="0.2">
      <c r="BT1564" s="124"/>
      <c r="BU1564" s="124"/>
      <c r="BV1564" s="124"/>
    </row>
    <row r="1565" spans="72:74" x14ac:dyDescent="0.2">
      <c r="BT1565" s="124"/>
      <c r="BU1565" s="124"/>
      <c r="BV1565" s="124"/>
    </row>
    <row r="1566" spans="72:74" x14ac:dyDescent="0.2">
      <c r="BT1566" s="124"/>
      <c r="BU1566" s="124"/>
      <c r="BV1566" s="124"/>
    </row>
    <row r="1567" spans="72:74" x14ac:dyDescent="0.2">
      <c r="BT1567" s="124"/>
      <c r="BU1567" s="124"/>
      <c r="BV1567" s="124"/>
    </row>
    <row r="1568" spans="72:74" x14ac:dyDescent="0.2">
      <c r="BT1568" s="124"/>
      <c r="BU1568" s="124"/>
      <c r="BV1568" s="124"/>
    </row>
    <row r="1569" spans="72:74" x14ac:dyDescent="0.2">
      <c r="BT1569" s="124"/>
      <c r="BU1569" s="124"/>
      <c r="BV1569" s="124"/>
    </row>
    <row r="1570" spans="72:74" x14ac:dyDescent="0.2">
      <c r="BT1570" s="124"/>
      <c r="BU1570" s="124"/>
      <c r="BV1570" s="124"/>
    </row>
    <row r="1571" spans="72:74" x14ac:dyDescent="0.2">
      <c r="BT1571" s="124"/>
      <c r="BU1571" s="124"/>
      <c r="BV1571" s="124"/>
    </row>
    <row r="1572" spans="72:74" x14ac:dyDescent="0.2">
      <c r="BT1572" s="124"/>
      <c r="BU1572" s="124"/>
      <c r="BV1572" s="124"/>
    </row>
    <row r="1573" spans="72:74" x14ac:dyDescent="0.2">
      <c r="BT1573" s="124"/>
      <c r="BU1573" s="124"/>
      <c r="BV1573" s="124"/>
    </row>
    <row r="1574" spans="72:74" x14ac:dyDescent="0.2">
      <c r="BT1574" s="124"/>
      <c r="BU1574" s="124"/>
      <c r="BV1574" s="124"/>
    </row>
    <row r="1575" spans="72:74" x14ac:dyDescent="0.2">
      <c r="BT1575" s="124"/>
      <c r="BU1575" s="124"/>
      <c r="BV1575" s="124"/>
    </row>
    <row r="1576" spans="72:74" x14ac:dyDescent="0.2">
      <c r="BT1576" s="124"/>
      <c r="BU1576" s="124"/>
      <c r="BV1576" s="124"/>
    </row>
    <row r="1577" spans="72:74" x14ac:dyDescent="0.2">
      <c r="BT1577" s="124"/>
      <c r="BU1577" s="124"/>
      <c r="BV1577" s="124"/>
    </row>
    <row r="1578" spans="72:74" x14ac:dyDescent="0.2">
      <c r="BT1578" s="124"/>
      <c r="BU1578" s="124"/>
      <c r="BV1578" s="124"/>
    </row>
    <row r="1579" spans="72:74" x14ac:dyDescent="0.2">
      <c r="BT1579" s="124"/>
      <c r="BU1579" s="124"/>
      <c r="BV1579" s="124"/>
    </row>
    <row r="1580" spans="72:74" x14ac:dyDescent="0.2">
      <c r="BT1580" s="124"/>
      <c r="BU1580" s="124"/>
      <c r="BV1580" s="124"/>
    </row>
    <row r="1581" spans="72:74" x14ac:dyDescent="0.2">
      <c r="BT1581" s="124"/>
      <c r="BU1581" s="124"/>
      <c r="BV1581" s="124"/>
    </row>
    <row r="1582" spans="72:74" x14ac:dyDescent="0.2">
      <c r="BT1582" s="124"/>
      <c r="BU1582" s="124"/>
      <c r="BV1582" s="124"/>
    </row>
    <row r="1583" spans="72:74" x14ac:dyDescent="0.2">
      <c r="BT1583" s="124"/>
      <c r="BU1583" s="124"/>
      <c r="BV1583" s="124"/>
    </row>
    <row r="1584" spans="72:74" x14ac:dyDescent="0.2">
      <c r="BT1584" s="124"/>
      <c r="BU1584" s="124"/>
      <c r="BV1584" s="124"/>
    </row>
    <row r="1585" spans="72:74" x14ac:dyDescent="0.2">
      <c r="BT1585" s="124"/>
      <c r="BU1585" s="124"/>
      <c r="BV1585" s="124"/>
    </row>
    <row r="1586" spans="72:74" x14ac:dyDescent="0.2">
      <c r="BT1586" s="124"/>
      <c r="BU1586" s="124"/>
      <c r="BV1586" s="124"/>
    </row>
    <row r="1587" spans="72:74" x14ac:dyDescent="0.2">
      <c r="BT1587" s="124"/>
      <c r="BU1587" s="124"/>
      <c r="BV1587" s="124"/>
    </row>
    <row r="1588" spans="72:74" x14ac:dyDescent="0.2">
      <c r="BT1588" s="124"/>
      <c r="BU1588" s="124"/>
      <c r="BV1588" s="124"/>
    </row>
    <row r="1589" spans="72:74" x14ac:dyDescent="0.2">
      <c r="BT1589" s="124"/>
      <c r="BU1589" s="124"/>
      <c r="BV1589" s="124"/>
    </row>
    <row r="1590" spans="72:74" x14ac:dyDescent="0.2">
      <c r="BT1590" s="124"/>
      <c r="BU1590" s="124"/>
      <c r="BV1590" s="124"/>
    </row>
    <row r="1591" spans="72:74" x14ac:dyDescent="0.2">
      <c r="BT1591" s="124"/>
      <c r="BU1591" s="124"/>
      <c r="BV1591" s="124"/>
    </row>
    <row r="1592" spans="72:74" x14ac:dyDescent="0.2">
      <c r="BT1592" s="124"/>
      <c r="BU1592" s="124"/>
      <c r="BV1592" s="124"/>
    </row>
    <row r="1593" spans="72:74" x14ac:dyDescent="0.2">
      <c r="BT1593" s="124"/>
      <c r="BU1593" s="124"/>
      <c r="BV1593" s="124"/>
    </row>
    <row r="1594" spans="72:74" x14ac:dyDescent="0.2">
      <c r="BT1594" s="124"/>
      <c r="BU1594" s="124"/>
      <c r="BV1594" s="124"/>
    </row>
    <row r="1595" spans="72:74" x14ac:dyDescent="0.2">
      <c r="BT1595" s="124"/>
      <c r="BU1595" s="124"/>
      <c r="BV1595" s="124"/>
    </row>
    <row r="1596" spans="72:74" x14ac:dyDescent="0.2">
      <c r="BT1596" s="124"/>
      <c r="BU1596" s="124"/>
      <c r="BV1596" s="124"/>
    </row>
    <row r="1597" spans="72:74" x14ac:dyDescent="0.2">
      <c r="BT1597" s="124"/>
      <c r="BU1597" s="124"/>
      <c r="BV1597" s="124"/>
    </row>
    <row r="1598" spans="72:74" x14ac:dyDescent="0.2">
      <c r="BT1598" s="124"/>
      <c r="BU1598" s="124"/>
      <c r="BV1598" s="124"/>
    </row>
    <row r="1599" spans="72:74" x14ac:dyDescent="0.2">
      <c r="BT1599" s="124"/>
      <c r="BU1599" s="124"/>
      <c r="BV1599" s="124"/>
    </row>
    <row r="1600" spans="72:74" x14ac:dyDescent="0.2">
      <c r="BT1600" s="124"/>
      <c r="BU1600" s="124"/>
      <c r="BV1600" s="124"/>
    </row>
    <row r="1601" spans="72:74" x14ac:dyDescent="0.2">
      <c r="BT1601" s="124"/>
      <c r="BU1601" s="124"/>
      <c r="BV1601" s="124"/>
    </row>
    <row r="1602" spans="72:74" x14ac:dyDescent="0.2">
      <c r="BT1602" s="124"/>
      <c r="BU1602" s="124"/>
      <c r="BV1602" s="124"/>
    </row>
    <row r="1603" spans="72:74" x14ac:dyDescent="0.2">
      <c r="BT1603" s="124"/>
      <c r="BU1603" s="124"/>
      <c r="BV1603" s="124"/>
    </row>
    <row r="1604" spans="72:74" x14ac:dyDescent="0.2">
      <c r="BT1604" s="124"/>
      <c r="BU1604" s="124"/>
      <c r="BV1604" s="124"/>
    </row>
    <row r="1605" spans="72:74" x14ac:dyDescent="0.2">
      <c r="BT1605" s="124"/>
      <c r="BU1605" s="124"/>
      <c r="BV1605" s="124"/>
    </row>
    <row r="1606" spans="72:74" x14ac:dyDescent="0.2">
      <c r="BT1606" s="124"/>
      <c r="BU1606" s="124"/>
      <c r="BV1606" s="124"/>
    </row>
    <row r="1607" spans="72:74" x14ac:dyDescent="0.2">
      <c r="BT1607" s="124"/>
      <c r="BU1607" s="124"/>
      <c r="BV1607" s="124"/>
    </row>
    <row r="1608" spans="72:74" x14ac:dyDescent="0.2">
      <c r="BT1608" s="124"/>
      <c r="BU1608" s="124"/>
      <c r="BV1608" s="124"/>
    </row>
    <row r="1609" spans="72:74" x14ac:dyDescent="0.2">
      <c r="BT1609" s="124"/>
      <c r="BU1609" s="124"/>
      <c r="BV1609" s="124"/>
    </row>
    <row r="1610" spans="72:74" x14ac:dyDescent="0.2">
      <c r="BT1610" s="124"/>
      <c r="BU1610" s="124"/>
      <c r="BV1610" s="124"/>
    </row>
    <row r="1611" spans="72:74" x14ac:dyDescent="0.2">
      <c r="BT1611" s="124"/>
      <c r="BU1611" s="124"/>
      <c r="BV1611" s="124"/>
    </row>
    <row r="1612" spans="72:74" x14ac:dyDescent="0.2">
      <c r="BT1612" s="124"/>
      <c r="BU1612" s="124"/>
      <c r="BV1612" s="124"/>
    </row>
    <row r="1613" spans="72:74" x14ac:dyDescent="0.2">
      <c r="BT1613" s="124"/>
      <c r="BU1613" s="124"/>
      <c r="BV1613" s="124"/>
    </row>
    <row r="1614" spans="72:74" x14ac:dyDescent="0.2">
      <c r="BT1614" s="124"/>
      <c r="BU1614" s="124"/>
      <c r="BV1614" s="124"/>
    </row>
    <row r="1615" spans="72:74" x14ac:dyDescent="0.2">
      <c r="BT1615" s="124"/>
      <c r="BU1615" s="124"/>
      <c r="BV1615" s="124"/>
    </row>
    <row r="1616" spans="72:74" x14ac:dyDescent="0.2">
      <c r="BT1616" s="124"/>
      <c r="BU1616" s="124"/>
      <c r="BV1616" s="124"/>
    </row>
    <row r="1617" spans="72:74" x14ac:dyDescent="0.2">
      <c r="BT1617" s="124"/>
      <c r="BU1617" s="124"/>
      <c r="BV1617" s="124"/>
    </row>
    <row r="1618" spans="72:74" x14ac:dyDescent="0.2">
      <c r="BT1618" s="124"/>
      <c r="BU1618" s="124"/>
      <c r="BV1618" s="124"/>
    </row>
    <row r="1619" spans="72:74" x14ac:dyDescent="0.2">
      <c r="BT1619" s="124"/>
      <c r="BU1619" s="124"/>
      <c r="BV1619" s="124"/>
    </row>
    <row r="1620" spans="72:74" x14ac:dyDescent="0.2">
      <c r="BT1620" s="124"/>
      <c r="BU1620" s="124"/>
      <c r="BV1620" s="124"/>
    </row>
    <row r="1621" spans="72:74" x14ac:dyDescent="0.2">
      <c r="BT1621" s="124"/>
      <c r="BU1621" s="124"/>
      <c r="BV1621" s="124"/>
    </row>
    <row r="1622" spans="72:74" x14ac:dyDescent="0.2">
      <c r="BT1622" s="124"/>
      <c r="BU1622" s="124"/>
      <c r="BV1622" s="124"/>
    </row>
    <row r="1623" spans="72:74" x14ac:dyDescent="0.2">
      <c r="BT1623" s="124"/>
      <c r="BU1623" s="124"/>
      <c r="BV1623" s="124"/>
    </row>
    <row r="1624" spans="72:74" x14ac:dyDescent="0.2">
      <c r="BT1624" s="124"/>
      <c r="BU1624" s="124"/>
      <c r="BV1624" s="124"/>
    </row>
    <row r="1625" spans="72:74" x14ac:dyDescent="0.2">
      <c r="BT1625" s="124"/>
      <c r="BU1625" s="124"/>
      <c r="BV1625" s="124"/>
    </row>
    <row r="1626" spans="72:74" x14ac:dyDescent="0.2">
      <c r="BT1626" s="124"/>
      <c r="BU1626" s="124"/>
      <c r="BV1626" s="124"/>
    </row>
    <row r="1627" spans="72:74" x14ac:dyDescent="0.2">
      <c r="BT1627" s="124"/>
      <c r="BU1627" s="124"/>
      <c r="BV1627" s="124"/>
    </row>
    <row r="1628" spans="72:74" x14ac:dyDescent="0.2">
      <c r="BT1628" s="124"/>
      <c r="BU1628" s="124"/>
      <c r="BV1628" s="124"/>
    </row>
    <row r="1629" spans="72:74" x14ac:dyDescent="0.2">
      <c r="BT1629" s="124"/>
      <c r="BU1629" s="124"/>
      <c r="BV1629" s="124"/>
    </row>
    <row r="1630" spans="72:74" x14ac:dyDescent="0.2">
      <c r="BT1630" s="124"/>
      <c r="BU1630" s="124"/>
      <c r="BV1630" s="124"/>
    </row>
    <row r="1631" spans="72:74" x14ac:dyDescent="0.2">
      <c r="BT1631" s="124"/>
      <c r="BU1631" s="124"/>
      <c r="BV1631" s="124"/>
    </row>
    <row r="1632" spans="72:74" x14ac:dyDescent="0.2">
      <c r="BT1632" s="124"/>
      <c r="BU1632" s="124"/>
      <c r="BV1632" s="124"/>
    </row>
    <row r="1633" spans="72:74" x14ac:dyDescent="0.2">
      <c r="BT1633" s="124"/>
      <c r="BU1633" s="124"/>
      <c r="BV1633" s="124"/>
    </row>
    <row r="1634" spans="72:74" x14ac:dyDescent="0.2">
      <c r="BT1634" s="124"/>
      <c r="BU1634" s="124"/>
      <c r="BV1634" s="124"/>
    </row>
    <row r="1635" spans="72:74" x14ac:dyDescent="0.2">
      <c r="BT1635" s="124"/>
      <c r="BU1635" s="124"/>
      <c r="BV1635" s="124"/>
    </row>
    <row r="1636" spans="72:74" x14ac:dyDescent="0.2">
      <c r="BT1636" s="124"/>
      <c r="BU1636" s="124"/>
      <c r="BV1636" s="124"/>
    </row>
    <row r="1637" spans="72:74" x14ac:dyDescent="0.2">
      <c r="BT1637" s="124"/>
      <c r="BU1637" s="124"/>
      <c r="BV1637" s="124"/>
    </row>
    <row r="1638" spans="72:74" x14ac:dyDescent="0.2">
      <c r="BT1638" s="124"/>
      <c r="BU1638" s="124"/>
      <c r="BV1638" s="124"/>
    </row>
    <row r="1639" spans="72:74" x14ac:dyDescent="0.2">
      <c r="BT1639" s="124"/>
      <c r="BU1639" s="124"/>
      <c r="BV1639" s="124"/>
    </row>
    <row r="1640" spans="72:74" x14ac:dyDescent="0.2">
      <c r="BT1640" s="124"/>
      <c r="BU1640" s="124"/>
      <c r="BV1640" s="124"/>
    </row>
    <row r="1641" spans="72:74" x14ac:dyDescent="0.2">
      <c r="BT1641" s="124"/>
      <c r="BU1641" s="124"/>
      <c r="BV1641" s="124"/>
    </row>
    <row r="1642" spans="72:74" x14ac:dyDescent="0.2">
      <c r="BT1642" s="124"/>
      <c r="BU1642" s="124"/>
      <c r="BV1642" s="124"/>
    </row>
    <row r="1643" spans="72:74" x14ac:dyDescent="0.2">
      <c r="BT1643" s="124"/>
      <c r="BU1643" s="124"/>
      <c r="BV1643" s="124"/>
    </row>
    <row r="1644" spans="72:74" x14ac:dyDescent="0.2">
      <c r="BT1644" s="124"/>
      <c r="BU1644" s="124"/>
      <c r="BV1644" s="124"/>
    </row>
    <row r="1645" spans="72:74" x14ac:dyDescent="0.2">
      <c r="BT1645" s="124"/>
      <c r="BU1645" s="124"/>
      <c r="BV1645" s="124"/>
    </row>
    <row r="1646" spans="72:74" x14ac:dyDescent="0.2">
      <c r="BT1646" s="124"/>
      <c r="BU1646" s="124"/>
      <c r="BV1646" s="124"/>
    </row>
    <row r="1647" spans="72:74" x14ac:dyDescent="0.2">
      <c r="BT1647" s="124"/>
      <c r="BU1647" s="124"/>
      <c r="BV1647" s="124"/>
    </row>
    <row r="1648" spans="72:74" x14ac:dyDescent="0.2">
      <c r="BT1648" s="124"/>
      <c r="BU1648" s="124"/>
      <c r="BV1648" s="124"/>
    </row>
    <row r="1649" spans="72:74" x14ac:dyDescent="0.2">
      <c r="BT1649" s="124"/>
      <c r="BU1649" s="124"/>
      <c r="BV1649" s="124"/>
    </row>
    <row r="1650" spans="72:74" x14ac:dyDescent="0.2">
      <c r="BT1650" s="124"/>
      <c r="BU1650" s="124"/>
      <c r="BV1650" s="124"/>
    </row>
    <row r="1651" spans="72:74" x14ac:dyDescent="0.2">
      <c r="BT1651" s="124"/>
      <c r="BU1651" s="124"/>
      <c r="BV1651" s="124"/>
    </row>
    <row r="1652" spans="72:74" x14ac:dyDescent="0.2">
      <c r="BT1652" s="124"/>
      <c r="BU1652" s="124"/>
      <c r="BV1652" s="124"/>
    </row>
    <row r="1653" spans="72:74" x14ac:dyDescent="0.2">
      <c r="BT1653" s="124"/>
      <c r="BU1653" s="124"/>
      <c r="BV1653" s="124"/>
    </row>
    <row r="1654" spans="72:74" x14ac:dyDescent="0.2">
      <c r="BT1654" s="124"/>
      <c r="BU1654" s="124"/>
      <c r="BV1654" s="124"/>
    </row>
    <row r="1655" spans="72:74" x14ac:dyDescent="0.2">
      <c r="BT1655" s="124"/>
      <c r="BU1655" s="124"/>
      <c r="BV1655" s="124"/>
    </row>
    <row r="1656" spans="72:74" x14ac:dyDescent="0.2">
      <c r="BT1656" s="124"/>
      <c r="BU1656" s="124"/>
      <c r="BV1656" s="124"/>
    </row>
    <row r="1657" spans="72:74" x14ac:dyDescent="0.2">
      <c r="BT1657" s="124"/>
      <c r="BU1657" s="124"/>
      <c r="BV1657" s="124"/>
    </row>
    <row r="1658" spans="72:74" x14ac:dyDescent="0.2">
      <c r="BT1658" s="124"/>
      <c r="BU1658" s="124"/>
      <c r="BV1658" s="124"/>
    </row>
    <row r="1659" spans="72:74" x14ac:dyDescent="0.2">
      <c r="BT1659" s="124"/>
      <c r="BU1659" s="124"/>
      <c r="BV1659" s="124"/>
    </row>
    <row r="1660" spans="72:74" x14ac:dyDescent="0.2">
      <c r="BT1660" s="124"/>
      <c r="BU1660" s="124"/>
      <c r="BV1660" s="124"/>
    </row>
    <row r="1661" spans="72:74" x14ac:dyDescent="0.2">
      <c r="BT1661" s="124"/>
      <c r="BU1661" s="124"/>
      <c r="BV1661" s="124"/>
    </row>
    <row r="1662" spans="72:74" x14ac:dyDescent="0.2">
      <c r="BT1662" s="124"/>
      <c r="BU1662" s="124"/>
      <c r="BV1662" s="124"/>
    </row>
    <row r="1663" spans="72:74" x14ac:dyDescent="0.2">
      <c r="BT1663" s="124"/>
      <c r="BU1663" s="124"/>
      <c r="BV1663" s="124"/>
    </row>
    <row r="1664" spans="72:74" x14ac:dyDescent="0.2">
      <c r="BT1664" s="124"/>
      <c r="BU1664" s="124"/>
      <c r="BV1664" s="124"/>
    </row>
    <row r="1665" spans="72:74" x14ac:dyDescent="0.2">
      <c r="BT1665" s="124"/>
      <c r="BU1665" s="124"/>
      <c r="BV1665" s="124"/>
    </row>
    <row r="1666" spans="72:74" x14ac:dyDescent="0.2">
      <c r="BT1666" s="124"/>
      <c r="BU1666" s="124"/>
      <c r="BV1666" s="124"/>
    </row>
    <row r="1667" spans="72:74" x14ac:dyDescent="0.2">
      <c r="BT1667" s="124"/>
      <c r="BU1667" s="124"/>
      <c r="BV1667" s="124"/>
    </row>
    <row r="1668" spans="72:74" x14ac:dyDescent="0.2">
      <c r="BT1668" s="124"/>
      <c r="BU1668" s="124"/>
      <c r="BV1668" s="124"/>
    </row>
    <row r="1669" spans="72:74" x14ac:dyDescent="0.2">
      <c r="BT1669" s="124"/>
      <c r="BU1669" s="124"/>
      <c r="BV1669" s="124"/>
    </row>
    <row r="1670" spans="72:74" x14ac:dyDescent="0.2">
      <c r="BT1670" s="124"/>
      <c r="BU1670" s="124"/>
      <c r="BV1670" s="124"/>
    </row>
    <row r="1671" spans="72:74" x14ac:dyDescent="0.2">
      <c r="BT1671" s="124"/>
      <c r="BU1671" s="124"/>
      <c r="BV1671" s="124"/>
    </row>
    <row r="1672" spans="72:74" x14ac:dyDescent="0.2">
      <c r="BT1672" s="124"/>
      <c r="BU1672" s="124"/>
      <c r="BV1672" s="124"/>
    </row>
    <row r="1673" spans="72:74" x14ac:dyDescent="0.2">
      <c r="BT1673" s="124"/>
      <c r="BU1673" s="124"/>
      <c r="BV1673" s="124"/>
    </row>
    <row r="1674" spans="72:74" x14ac:dyDescent="0.2">
      <c r="BT1674" s="124"/>
      <c r="BU1674" s="124"/>
      <c r="BV1674" s="124"/>
    </row>
    <row r="1675" spans="72:74" x14ac:dyDescent="0.2">
      <c r="BT1675" s="124"/>
      <c r="BU1675" s="124"/>
      <c r="BV1675" s="124"/>
    </row>
    <row r="1676" spans="72:74" x14ac:dyDescent="0.2">
      <c r="BT1676" s="124"/>
      <c r="BU1676" s="124"/>
      <c r="BV1676" s="124"/>
    </row>
    <row r="1677" spans="72:74" x14ac:dyDescent="0.2">
      <c r="BT1677" s="124"/>
      <c r="BU1677" s="124"/>
      <c r="BV1677" s="124"/>
    </row>
    <row r="1678" spans="72:74" x14ac:dyDescent="0.2">
      <c r="BT1678" s="124"/>
      <c r="BU1678" s="124"/>
      <c r="BV1678" s="124"/>
    </row>
    <row r="1679" spans="72:74" x14ac:dyDescent="0.2">
      <c r="BT1679" s="124"/>
      <c r="BU1679" s="124"/>
      <c r="BV1679" s="124"/>
    </row>
    <row r="1680" spans="72:74" x14ac:dyDescent="0.2">
      <c r="BT1680" s="124"/>
      <c r="BU1680" s="124"/>
      <c r="BV1680" s="124"/>
    </row>
    <row r="1681" spans="72:74" x14ac:dyDescent="0.2">
      <c r="BT1681" s="124"/>
      <c r="BU1681" s="124"/>
      <c r="BV1681" s="124"/>
    </row>
    <row r="1682" spans="72:74" x14ac:dyDescent="0.2">
      <c r="BT1682" s="124"/>
      <c r="BU1682" s="124"/>
      <c r="BV1682" s="124"/>
    </row>
    <row r="1683" spans="72:74" x14ac:dyDescent="0.2">
      <c r="BT1683" s="124"/>
      <c r="BU1683" s="124"/>
      <c r="BV1683" s="124"/>
    </row>
    <row r="1684" spans="72:74" x14ac:dyDescent="0.2">
      <c r="BT1684" s="124"/>
      <c r="BU1684" s="124"/>
      <c r="BV1684" s="124"/>
    </row>
    <row r="1685" spans="72:74" x14ac:dyDescent="0.2">
      <c r="BT1685" s="124"/>
      <c r="BU1685" s="124"/>
      <c r="BV1685" s="124"/>
    </row>
    <row r="1686" spans="72:74" x14ac:dyDescent="0.2">
      <c r="BT1686" s="124"/>
      <c r="BU1686" s="124"/>
      <c r="BV1686" s="124"/>
    </row>
    <row r="1687" spans="72:74" x14ac:dyDescent="0.2">
      <c r="BT1687" s="124"/>
      <c r="BU1687" s="124"/>
      <c r="BV1687" s="124"/>
    </row>
    <row r="1688" spans="72:74" x14ac:dyDescent="0.2">
      <c r="BT1688" s="124"/>
      <c r="BU1688" s="124"/>
      <c r="BV1688" s="124"/>
    </row>
    <row r="1689" spans="72:74" x14ac:dyDescent="0.2">
      <c r="BT1689" s="124"/>
      <c r="BU1689" s="124"/>
      <c r="BV1689" s="124"/>
    </row>
    <row r="1690" spans="72:74" x14ac:dyDescent="0.2">
      <c r="BT1690" s="124"/>
      <c r="BU1690" s="124"/>
      <c r="BV1690" s="124"/>
    </row>
    <row r="1691" spans="72:74" x14ac:dyDescent="0.2">
      <c r="BT1691" s="124"/>
      <c r="BU1691" s="124"/>
      <c r="BV1691" s="124"/>
    </row>
    <row r="1692" spans="72:74" x14ac:dyDescent="0.2">
      <c r="BT1692" s="124"/>
      <c r="BU1692" s="124"/>
      <c r="BV1692" s="124"/>
    </row>
    <row r="1693" spans="72:74" x14ac:dyDescent="0.2">
      <c r="BT1693" s="124"/>
      <c r="BU1693" s="124"/>
      <c r="BV1693" s="124"/>
    </row>
    <row r="1694" spans="72:74" x14ac:dyDescent="0.2">
      <c r="BT1694" s="124"/>
      <c r="BU1694" s="124"/>
      <c r="BV1694" s="124"/>
    </row>
    <row r="1695" spans="72:74" x14ac:dyDescent="0.2">
      <c r="BT1695" s="124"/>
      <c r="BU1695" s="124"/>
      <c r="BV1695" s="124"/>
    </row>
    <row r="1696" spans="72:74" x14ac:dyDescent="0.2">
      <c r="BT1696" s="124"/>
      <c r="BU1696" s="124"/>
      <c r="BV1696" s="124"/>
    </row>
    <row r="1697" spans="72:74" x14ac:dyDescent="0.2">
      <c r="BT1697" s="124"/>
      <c r="BU1697" s="124"/>
      <c r="BV1697" s="124"/>
    </row>
    <row r="1698" spans="72:74" x14ac:dyDescent="0.2">
      <c r="BT1698" s="124"/>
      <c r="BU1698" s="124"/>
      <c r="BV1698" s="124"/>
    </row>
    <row r="1699" spans="72:74" x14ac:dyDescent="0.2">
      <c r="BT1699" s="124"/>
      <c r="BU1699" s="124"/>
      <c r="BV1699" s="124"/>
    </row>
    <row r="1700" spans="72:74" x14ac:dyDescent="0.2">
      <c r="BT1700" s="124"/>
      <c r="BU1700" s="124"/>
      <c r="BV1700" s="124"/>
    </row>
    <row r="1701" spans="72:74" x14ac:dyDescent="0.2">
      <c r="BT1701" s="124"/>
      <c r="BU1701" s="124"/>
      <c r="BV1701" s="124"/>
    </row>
    <row r="1702" spans="72:74" x14ac:dyDescent="0.2">
      <c r="BT1702" s="124"/>
      <c r="BU1702" s="124"/>
      <c r="BV1702" s="124"/>
    </row>
    <row r="1703" spans="72:74" x14ac:dyDescent="0.2">
      <c r="BT1703" s="124"/>
      <c r="BU1703" s="124"/>
      <c r="BV1703" s="124"/>
    </row>
    <row r="1704" spans="72:74" x14ac:dyDescent="0.2">
      <c r="BT1704" s="124"/>
      <c r="BU1704" s="124"/>
      <c r="BV1704" s="124"/>
    </row>
    <row r="1705" spans="72:74" x14ac:dyDescent="0.2">
      <c r="BT1705" s="124"/>
      <c r="BU1705" s="124"/>
      <c r="BV1705" s="124"/>
    </row>
    <row r="1706" spans="72:74" x14ac:dyDescent="0.2">
      <c r="BT1706" s="124"/>
      <c r="BU1706" s="124"/>
      <c r="BV1706" s="124"/>
    </row>
    <row r="1707" spans="72:74" x14ac:dyDescent="0.2">
      <c r="BT1707" s="124"/>
      <c r="BU1707" s="124"/>
      <c r="BV1707" s="124"/>
    </row>
    <row r="1708" spans="72:74" x14ac:dyDescent="0.2">
      <c r="BT1708" s="124"/>
      <c r="BU1708" s="124"/>
      <c r="BV1708" s="124"/>
    </row>
    <row r="1709" spans="72:74" x14ac:dyDescent="0.2">
      <c r="BT1709" s="124"/>
      <c r="BU1709" s="124"/>
      <c r="BV1709" s="124"/>
    </row>
    <row r="1710" spans="72:74" x14ac:dyDescent="0.2">
      <c r="BT1710" s="124"/>
      <c r="BU1710" s="124"/>
      <c r="BV1710" s="124"/>
    </row>
    <row r="1711" spans="72:74" x14ac:dyDescent="0.2">
      <c r="BT1711" s="124"/>
      <c r="BU1711" s="124"/>
      <c r="BV1711" s="124"/>
    </row>
    <row r="1712" spans="72:74" x14ac:dyDescent="0.2">
      <c r="BT1712" s="124"/>
      <c r="BU1712" s="124"/>
      <c r="BV1712" s="124"/>
    </row>
    <row r="1713" spans="72:74" x14ac:dyDescent="0.2">
      <c r="BT1713" s="124"/>
      <c r="BU1713" s="124"/>
      <c r="BV1713" s="124"/>
    </row>
    <row r="1714" spans="72:74" x14ac:dyDescent="0.2">
      <c r="BT1714" s="124"/>
      <c r="BU1714" s="124"/>
      <c r="BV1714" s="124"/>
    </row>
    <row r="1715" spans="72:74" x14ac:dyDescent="0.2">
      <c r="BT1715" s="124"/>
      <c r="BU1715" s="124"/>
      <c r="BV1715" s="124"/>
    </row>
    <row r="1716" spans="72:74" x14ac:dyDescent="0.2">
      <c r="BT1716" s="124"/>
      <c r="BU1716" s="124"/>
      <c r="BV1716" s="124"/>
    </row>
    <row r="1717" spans="72:74" x14ac:dyDescent="0.2">
      <c r="BT1717" s="124"/>
      <c r="BU1717" s="124"/>
      <c r="BV1717" s="124"/>
    </row>
    <row r="1718" spans="72:74" x14ac:dyDescent="0.2">
      <c r="BT1718" s="124"/>
      <c r="BU1718" s="124"/>
      <c r="BV1718" s="124"/>
    </row>
    <row r="1719" spans="72:74" x14ac:dyDescent="0.2">
      <c r="BT1719" s="124"/>
      <c r="BU1719" s="124"/>
      <c r="BV1719" s="124"/>
    </row>
    <row r="1720" spans="72:74" x14ac:dyDescent="0.2">
      <c r="BT1720" s="124"/>
      <c r="BU1720" s="124"/>
      <c r="BV1720" s="124"/>
    </row>
    <row r="1721" spans="72:74" x14ac:dyDescent="0.2">
      <c r="BT1721" s="124"/>
      <c r="BU1721" s="124"/>
      <c r="BV1721" s="124"/>
    </row>
    <row r="1722" spans="72:74" x14ac:dyDescent="0.2">
      <c r="BT1722" s="124"/>
      <c r="BU1722" s="124"/>
      <c r="BV1722" s="124"/>
    </row>
    <row r="1723" spans="72:74" x14ac:dyDescent="0.2">
      <c r="BT1723" s="124"/>
      <c r="BU1723" s="124"/>
      <c r="BV1723" s="124"/>
    </row>
    <row r="1724" spans="72:74" x14ac:dyDescent="0.2">
      <c r="BT1724" s="124"/>
      <c r="BU1724" s="124"/>
      <c r="BV1724" s="124"/>
    </row>
    <row r="1725" spans="72:74" x14ac:dyDescent="0.2">
      <c r="BT1725" s="124"/>
      <c r="BU1725" s="124"/>
      <c r="BV1725" s="124"/>
    </row>
    <row r="1726" spans="72:74" x14ac:dyDescent="0.2">
      <c r="BT1726" s="124"/>
      <c r="BU1726" s="124"/>
      <c r="BV1726" s="124"/>
    </row>
    <row r="1727" spans="72:74" x14ac:dyDescent="0.2">
      <c r="BT1727" s="124"/>
      <c r="BU1727" s="124"/>
      <c r="BV1727" s="124"/>
    </row>
    <row r="1728" spans="72:74" x14ac:dyDescent="0.2">
      <c r="BT1728" s="124"/>
      <c r="BU1728" s="124"/>
      <c r="BV1728" s="124"/>
    </row>
    <row r="1729" spans="72:74" x14ac:dyDescent="0.2">
      <c r="BT1729" s="124"/>
      <c r="BU1729" s="124"/>
      <c r="BV1729" s="124"/>
    </row>
    <row r="1730" spans="72:74" x14ac:dyDescent="0.2">
      <c r="BT1730" s="124"/>
      <c r="BU1730" s="124"/>
      <c r="BV1730" s="124"/>
    </row>
    <row r="1731" spans="72:74" x14ac:dyDescent="0.2">
      <c r="BT1731" s="124"/>
      <c r="BU1731" s="124"/>
      <c r="BV1731" s="124"/>
    </row>
    <row r="1732" spans="72:74" x14ac:dyDescent="0.2">
      <c r="BT1732" s="124"/>
      <c r="BU1732" s="124"/>
      <c r="BV1732" s="124"/>
    </row>
    <row r="1733" spans="72:74" x14ac:dyDescent="0.2">
      <c r="BT1733" s="124"/>
      <c r="BU1733" s="124"/>
      <c r="BV1733" s="124"/>
    </row>
    <row r="1734" spans="72:74" x14ac:dyDescent="0.2">
      <c r="BT1734" s="124"/>
      <c r="BU1734" s="124"/>
      <c r="BV1734" s="124"/>
    </row>
    <row r="1735" spans="72:74" x14ac:dyDescent="0.2">
      <c r="BT1735" s="124"/>
      <c r="BU1735" s="124"/>
      <c r="BV1735" s="124"/>
    </row>
    <row r="1736" spans="72:74" x14ac:dyDescent="0.2">
      <c r="BT1736" s="124"/>
      <c r="BU1736" s="124"/>
      <c r="BV1736" s="124"/>
    </row>
    <row r="1737" spans="72:74" x14ac:dyDescent="0.2">
      <c r="BT1737" s="124"/>
      <c r="BU1737" s="124"/>
      <c r="BV1737" s="124"/>
    </row>
    <row r="1738" spans="72:74" x14ac:dyDescent="0.2">
      <c r="BT1738" s="124"/>
      <c r="BU1738" s="124"/>
      <c r="BV1738" s="124"/>
    </row>
    <row r="1739" spans="72:74" x14ac:dyDescent="0.2">
      <c r="BT1739" s="124"/>
      <c r="BU1739" s="124"/>
      <c r="BV1739" s="124"/>
    </row>
    <row r="1740" spans="72:74" x14ac:dyDescent="0.2">
      <c r="BT1740" s="124"/>
      <c r="BU1740" s="124"/>
      <c r="BV1740" s="124"/>
    </row>
    <row r="1741" spans="72:74" x14ac:dyDescent="0.2">
      <c r="BT1741" s="124"/>
      <c r="BU1741" s="124"/>
      <c r="BV1741" s="124"/>
    </row>
    <row r="1742" spans="72:74" x14ac:dyDescent="0.2">
      <c r="BT1742" s="124"/>
      <c r="BU1742" s="124"/>
      <c r="BV1742" s="124"/>
    </row>
    <row r="1743" spans="72:74" x14ac:dyDescent="0.2">
      <c r="BT1743" s="124"/>
      <c r="BU1743" s="124"/>
      <c r="BV1743" s="124"/>
    </row>
    <row r="1744" spans="72:74" x14ac:dyDescent="0.2">
      <c r="BT1744" s="124"/>
      <c r="BU1744" s="124"/>
      <c r="BV1744" s="124"/>
    </row>
    <row r="1745" spans="72:74" x14ac:dyDescent="0.2">
      <c r="BT1745" s="124"/>
      <c r="BU1745" s="124"/>
      <c r="BV1745" s="124"/>
    </row>
    <row r="1746" spans="72:74" x14ac:dyDescent="0.2">
      <c r="BT1746" s="124"/>
      <c r="BU1746" s="124"/>
      <c r="BV1746" s="124"/>
    </row>
    <row r="1747" spans="72:74" x14ac:dyDescent="0.2">
      <c r="BT1747" s="124"/>
      <c r="BU1747" s="124"/>
      <c r="BV1747" s="124"/>
    </row>
    <row r="1748" spans="72:74" x14ac:dyDescent="0.2">
      <c r="BT1748" s="124"/>
      <c r="BU1748" s="124"/>
      <c r="BV1748" s="124"/>
    </row>
    <row r="1749" spans="72:74" x14ac:dyDescent="0.2">
      <c r="BT1749" s="124"/>
      <c r="BU1749" s="124"/>
      <c r="BV1749" s="124"/>
    </row>
    <row r="1750" spans="72:74" x14ac:dyDescent="0.2">
      <c r="BT1750" s="124"/>
      <c r="BU1750" s="124"/>
      <c r="BV1750" s="124"/>
    </row>
    <row r="1751" spans="72:74" x14ac:dyDescent="0.2">
      <c r="BT1751" s="124"/>
      <c r="BU1751" s="124"/>
      <c r="BV1751" s="124"/>
    </row>
    <row r="1752" spans="72:74" x14ac:dyDescent="0.2">
      <c r="BT1752" s="124"/>
      <c r="BU1752" s="124"/>
      <c r="BV1752" s="124"/>
    </row>
    <row r="1753" spans="72:74" x14ac:dyDescent="0.2">
      <c r="BT1753" s="124"/>
      <c r="BU1753" s="124"/>
      <c r="BV1753" s="124"/>
    </row>
    <row r="1754" spans="72:74" x14ac:dyDescent="0.2">
      <c r="BT1754" s="124"/>
      <c r="BU1754" s="124"/>
      <c r="BV1754" s="124"/>
    </row>
    <row r="1755" spans="72:74" x14ac:dyDescent="0.2">
      <c r="BT1755" s="124"/>
      <c r="BU1755" s="124"/>
      <c r="BV1755" s="124"/>
    </row>
    <row r="1756" spans="72:74" x14ac:dyDescent="0.2">
      <c r="BT1756" s="124"/>
      <c r="BU1756" s="124"/>
      <c r="BV1756" s="124"/>
    </row>
    <row r="1757" spans="72:74" x14ac:dyDescent="0.2">
      <c r="BT1757" s="124"/>
      <c r="BU1757" s="124"/>
      <c r="BV1757" s="124"/>
    </row>
    <row r="1758" spans="72:74" x14ac:dyDescent="0.2">
      <c r="BT1758" s="124"/>
      <c r="BU1758" s="124"/>
      <c r="BV1758" s="124"/>
    </row>
    <row r="1759" spans="72:74" x14ac:dyDescent="0.2">
      <c r="BT1759" s="124"/>
      <c r="BU1759" s="124"/>
      <c r="BV1759" s="124"/>
    </row>
    <row r="1760" spans="72:74" x14ac:dyDescent="0.2">
      <c r="BT1760" s="124"/>
      <c r="BU1760" s="124"/>
      <c r="BV1760" s="124"/>
    </row>
    <row r="1761" spans="72:74" x14ac:dyDescent="0.2">
      <c r="BT1761" s="124"/>
      <c r="BU1761" s="124"/>
      <c r="BV1761" s="124"/>
    </row>
    <row r="1762" spans="72:74" x14ac:dyDescent="0.2">
      <c r="BT1762" s="124"/>
      <c r="BU1762" s="124"/>
      <c r="BV1762" s="124"/>
    </row>
    <row r="1763" spans="72:74" x14ac:dyDescent="0.2">
      <c r="BT1763" s="124"/>
      <c r="BU1763" s="124"/>
      <c r="BV1763" s="124"/>
    </row>
    <row r="1764" spans="72:74" x14ac:dyDescent="0.2">
      <c r="BT1764" s="124"/>
      <c r="BU1764" s="124"/>
      <c r="BV1764" s="124"/>
    </row>
    <row r="1765" spans="72:74" x14ac:dyDescent="0.2">
      <c r="BT1765" s="124"/>
      <c r="BU1765" s="124"/>
      <c r="BV1765" s="124"/>
    </row>
    <row r="1766" spans="72:74" x14ac:dyDescent="0.2">
      <c r="BT1766" s="124"/>
      <c r="BU1766" s="124"/>
      <c r="BV1766" s="124"/>
    </row>
    <row r="1767" spans="72:74" x14ac:dyDescent="0.2">
      <c r="BT1767" s="124"/>
      <c r="BU1767" s="124"/>
      <c r="BV1767" s="124"/>
    </row>
    <row r="1768" spans="72:74" x14ac:dyDescent="0.2">
      <c r="BT1768" s="124"/>
      <c r="BU1768" s="124"/>
      <c r="BV1768" s="124"/>
    </row>
    <row r="1769" spans="72:74" x14ac:dyDescent="0.2">
      <c r="BT1769" s="124"/>
      <c r="BU1769" s="124"/>
      <c r="BV1769" s="124"/>
    </row>
    <row r="1770" spans="72:74" x14ac:dyDescent="0.2">
      <c r="BT1770" s="124"/>
      <c r="BU1770" s="124"/>
      <c r="BV1770" s="124"/>
    </row>
    <row r="1771" spans="72:74" x14ac:dyDescent="0.2">
      <c r="BT1771" s="124"/>
      <c r="BU1771" s="124"/>
      <c r="BV1771" s="124"/>
    </row>
    <row r="1772" spans="72:74" x14ac:dyDescent="0.2">
      <c r="BT1772" s="124"/>
      <c r="BU1772" s="124"/>
      <c r="BV1772" s="124"/>
    </row>
    <row r="1773" spans="72:74" x14ac:dyDescent="0.2">
      <c r="BT1773" s="124"/>
      <c r="BU1773" s="124"/>
      <c r="BV1773" s="124"/>
    </row>
    <row r="1774" spans="72:74" x14ac:dyDescent="0.2">
      <c r="BT1774" s="124"/>
      <c r="BU1774" s="124"/>
      <c r="BV1774" s="124"/>
    </row>
    <row r="1775" spans="72:74" x14ac:dyDescent="0.2">
      <c r="BT1775" s="124"/>
      <c r="BU1775" s="124"/>
      <c r="BV1775" s="124"/>
    </row>
    <row r="1776" spans="72:74" x14ac:dyDescent="0.2">
      <c r="BT1776" s="124"/>
      <c r="BU1776" s="124"/>
      <c r="BV1776" s="124"/>
    </row>
    <row r="1777" spans="72:74" x14ac:dyDescent="0.2">
      <c r="BT1777" s="124"/>
      <c r="BU1777" s="124"/>
      <c r="BV1777" s="124"/>
    </row>
    <row r="1778" spans="72:74" x14ac:dyDescent="0.2">
      <c r="BT1778" s="124"/>
      <c r="BU1778" s="124"/>
      <c r="BV1778" s="124"/>
    </row>
    <row r="1779" spans="72:74" x14ac:dyDescent="0.2">
      <c r="BT1779" s="124"/>
      <c r="BU1779" s="124"/>
      <c r="BV1779" s="124"/>
    </row>
    <row r="1780" spans="72:74" x14ac:dyDescent="0.2">
      <c r="BT1780" s="124"/>
      <c r="BU1780" s="124"/>
      <c r="BV1780" s="124"/>
    </row>
    <row r="1781" spans="72:74" x14ac:dyDescent="0.2">
      <c r="BT1781" s="124"/>
      <c r="BU1781" s="124"/>
      <c r="BV1781" s="124"/>
    </row>
    <row r="1782" spans="72:74" x14ac:dyDescent="0.2">
      <c r="BT1782" s="124"/>
      <c r="BU1782" s="124"/>
      <c r="BV1782" s="124"/>
    </row>
    <row r="1783" spans="72:74" x14ac:dyDescent="0.2">
      <c r="BT1783" s="124"/>
      <c r="BU1783" s="124"/>
      <c r="BV1783" s="124"/>
    </row>
    <row r="1784" spans="72:74" x14ac:dyDescent="0.2">
      <c r="BT1784" s="124"/>
      <c r="BU1784" s="124"/>
      <c r="BV1784" s="124"/>
    </row>
    <row r="1785" spans="72:74" x14ac:dyDescent="0.2">
      <c r="BT1785" s="124"/>
      <c r="BU1785" s="124"/>
      <c r="BV1785" s="124"/>
    </row>
    <row r="1786" spans="72:74" x14ac:dyDescent="0.2">
      <c r="BT1786" s="124"/>
      <c r="BU1786" s="124"/>
      <c r="BV1786" s="124"/>
    </row>
    <row r="1787" spans="72:74" x14ac:dyDescent="0.2">
      <c r="BT1787" s="124"/>
      <c r="BU1787" s="124"/>
      <c r="BV1787" s="124"/>
    </row>
    <row r="1788" spans="72:74" x14ac:dyDescent="0.2">
      <c r="BT1788" s="124"/>
      <c r="BU1788" s="124"/>
      <c r="BV1788" s="124"/>
    </row>
    <row r="1789" spans="72:74" x14ac:dyDescent="0.2">
      <c r="BT1789" s="124"/>
      <c r="BU1789" s="124"/>
      <c r="BV1789" s="124"/>
    </row>
    <row r="1790" spans="72:74" x14ac:dyDescent="0.2">
      <c r="BT1790" s="124"/>
      <c r="BU1790" s="124"/>
      <c r="BV1790" s="124"/>
    </row>
    <row r="1791" spans="72:74" x14ac:dyDescent="0.2">
      <c r="BT1791" s="124"/>
      <c r="BU1791" s="124"/>
      <c r="BV1791" s="124"/>
    </row>
    <row r="1792" spans="72:74" x14ac:dyDescent="0.2">
      <c r="BT1792" s="124"/>
      <c r="BU1792" s="124"/>
      <c r="BV1792" s="124"/>
    </row>
    <row r="1793" spans="72:74" x14ac:dyDescent="0.2">
      <c r="BT1793" s="124"/>
      <c r="BU1793" s="124"/>
      <c r="BV1793" s="124"/>
    </row>
    <row r="1794" spans="72:74" x14ac:dyDescent="0.2">
      <c r="BT1794" s="124"/>
      <c r="BU1794" s="124"/>
      <c r="BV1794" s="124"/>
    </row>
    <row r="1795" spans="72:74" x14ac:dyDescent="0.2">
      <c r="BT1795" s="124"/>
      <c r="BU1795" s="124"/>
      <c r="BV1795" s="124"/>
    </row>
    <row r="1796" spans="72:74" x14ac:dyDescent="0.2">
      <c r="BT1796" s="124"/>
      <c r="BU1796" s="124"/>
      <c r="BV1796" s="124"/>
    </row>
    <row r="1797" spans="72:74" x14ac:dyDescent="0.2">
      <c r="BT1797" s="124"/>
      <c r="BU1797" s="124"/>
      <c r="BV1797" s="124"/>
    </row>
    <row r="1798" spans="72:74" x14ac:dyDescent="0.2">
      <c r="BT1798" s="124"/>
      <c r="BU1798" s="124"/>
      <c r="BV1798" s="124"/>
    </row>
    <row r="1799" spans="72:74" x14ac:dyDescent="0.2">
      <c r="BT1799" s="124"/>
      <c r="BU1799" s="124"/>
      <c r="BV1799" s="124"/>
    </row>
    <row r="1800" spans="72:74" x14ac:dyDescent="0.2">
      <c r="BT1800" s="124"/>
      <c r="BU1800" s="124"/>
      <c r="BV1800" s="124"/>
    </row>
    <row r="1801" spans="72:74" x14ac:dyDescent="0.2">
      <c r="BT1801" s="124"/>
      <c r="BU1801" s="124"/>
      <c r="BV1801" s="124"/>
    </row>
    <row r="1802" spans="72:74" x14ac:dyDescent="0.2">
      <c r="BT1802" s="124"/>
      <c r="BU1802" s="124"/>
      <c r="BV1802" s="124"/>
    </row>
    <row r="1803" spans="72:74" x14ac:dyDescent="0.2">
      <c r="BT1803" s="124"/>
      <c r="BU1803" s="124"/>
      <c r="BV1803" s="124"/>
    </row>
    <row r="1804" spans="72:74" x14ac:dyDescent="0.2">
      <c r="BT1804" s="124"/>
      <c r="BU1804" s="124"/>
      <c r="BV1804" s="124"/>
    </row>
    <row r="1805" spans="72:74" x14ac:dyDescent="0.2">
      <c r="BT1805" s="124"/>
      <c r="BU1805" s="124"/>
      <c r="BV1805" s="124"/>
    </row>
    <row r="1806" spans="72:74" x14ac:dyDescent="0.2">
      <c r="BT1806" s="124"/>
      <c r="BU1806" s="124"/>
      <c r="BV1806" s="124"/>
    </row>
    <row r="1807" spans="72:74" x14ac:dyDescent="0.2">
      <c r="BT1807" s="124"/>
      <c r="BU1807" s="124"/>
      <c r="BV1807" s="124"/>
    </row>
    <row r="1808" spans="72:74" x14ac:dyDescent="0.2">
      <c r="BT1808" s="124"/>
      <c r="BU1808" s="124"/>
      <c r="BV1808" s="124"/>
    </row>
    <row r="1809" spans="72:74" x14ac:dyDescent="0.2">
      <c r="BT1809" s="124"/>
      <c r="BU1809" s="124"/>
      <c r="BV1809" s="124"/>
    </row>
    <row r="1810" spans="72:74" x14ac:dyDescent="0.2">
      <c r="BT1810" s="124"/>
      <c r="BU1810" s="124"/>
      <c r="BV1810" s="124"/>
    </row>
    <row r="1811" spans="72:74" x14ac:dyDescent="0.2">
      <c r="BT1811" s="124"/>
      <c r="BU1811" s="124"/>
      <c r="BV1811" s="124"/>
    </row>
    <row r="1812" spans="72:74" x14ac:dyDescent="0.2">
      <c r="BT1812" s="124"/>
      <c r="BU1812" s="124"/>
      <c r="BV1812" s="124"/>
    </row>
    <row r="1813" spans="72:74" x14ac:dyDescent="0.2">
      <c r="BT1813" s="124"/>
      <c r="BU1813" s="124"/>
      <c r="BV1813" s="124"/>
    </row>
    <row r="1814" spans="72:74" x14ac:dyDescent="0.2">
      <c r="BT1814" s="124"/>
      <c r="BU1814" s="124"/>
      <c r="BV1814" s="124"/>
    </row>
    <row r="1815" spans="72:74" x14ac:dyDescent="0.2">
      <c r="BT1815" s="124"/>
      <c r="BU1815" s="124"/>
      <c r="BV1815" s="124"/>
    </row>
    <row r="1816" spans="72:74" x14ac:dyDescent="0.2">
      <c r="BT1816" s="124"/>
      <c r="BU1816" s="124"/>
      <c r="BV1816" s="124"/>
    </row>
    <row r="1817" spans="72:74" x14ac:dyDescent="0.2">
      <c r="BT1817" s="124"/>
      <c r="BU1817" s="124"/>
      <c r="BV1817" s="124"/>
    </row>
    <row r="1818" spans="72:74" x14ac:dyDescent="0.2">
      <c r="BT1818" s="124"/>
      <c r="BU1818" s="124"/>
      <c r="BV1818" s="124"/>
    </row>
    <row r="1819" spans="72:74" x14ac:dyDescent="0.2">
      <c r="BT1819" s="124"/>
      <c r="BU1819" s="124"/>
      <c r="BV1819" s="124"/>
    </row>
    <row r="1820" spans="72:74" x14ac:dyDescent="0.2">
      <c r="BT1820" s="124"/>
      <c r="BU1820" s="124"/>
      <c r="BV1820" s="124"/>
    </row>
    <row r="1821" spans="72:74" x14ac:dyDescent="0.2">
      <c r="BT1821" s="124"/>
      <c r="BU1821" s="124"/>
      <c r="BV1821" s="124"/>
    </row>
    <row r="1822" spans="72:74" x14ac:dyDescent="0.2">
      <c r="BT1822" s="124"/>
      <c r="BU1822" s="124"/>
      <c r="BV1822" s="124"/>
    </row>
    <row r="1823" spans="72:74" x14ac:dyDescent="0.2">
      <c r="BT1823" s="124"/>
      <c r="BU1823" s="124"/>
      <c r="BV1823" s="124"/>
    </row>
    <row r="1824" spans="72:74" x14ac:dyDescent="0.2">
      <c r="BT1824" s="124"/>
      <c r="BU1824" s="124"/>
      <c r="BV1824" s="124"/>
    </row>
    <row r="1825" spans="72:74" x14ac:dyDescent="0.2">
      <c r="BT1825" s="124"/>
      <c r="BU1825" s="124"/>
      <c r="BV1825" s="124"/>
    </row>
    <row r="1826" spans="72:74" x14ac:dyDescent="0.2">
      <c r="BT1826" s="124"/>
      <c r="BU1826" s="124"/>
      <c r="BV1826" s="124"/>
    </row>
    <row r="1827" spans="72:74" x14ac:dyDescent="0.2">
      <c r="BT1827" s="124"/>
      <c r="BU1827" s="124"/>
      <c r="BV1827" s="124"/>
    </row>
    <row r="1828" spans="72:74" x14ac:dyDescent="0.2">
      <c r="BT1828" s="124"/>
      <c r="BU1828" s="124"/>
      <c r="BV1828" s="124"/>
    </row>
    <row r="1829" spans="72:74" x14ac:dyDescent="0.2">
      <c r="BT1829" s="124"/>
      <c r="BU1829" s="124"/>
      <c r="BV1829" s="124"/>
    </row>
    <row r="1830" spans="72:74" x14ac:dyDescent="0.2">
      <c r="BT1830" s="124"/>
      <c r="BU1830" s="124"/>
      <c r="BV1830" s="124"/>
    </row>
    <row r="1831" spans="72:74" x14ac:dyDescent="0.2">
      <c r="BT1831" s="124"/>
      <c r="BU1831" s="124"/>
      <c r="BV1831" s="124"/>
    </row>
    <row r="1832" spans="72:74" x14ac:dyDescent="0.2">
      <c r="BT1832" s="124"/>
      <c r="BU1832" s="124"/>
      <c r="BV1832" s="124"/>
    </row>
    <row r="1833" spans="72:74" x14ac:dyDescent="0.2">
      <c r="BT1833" s="124"/>
      <c r="BU1833" s="124"/>
      <c r="BV1833" s="124"/>
    </row>
    <row r="1834" spans="72:74" x14ac:dyDescent="0.2">
      <c r="BT1834" s="124"/>
      <c r="BU1834" s="124"/>
      <c r="BV1834" s="124"/>
    </row>
    <row r="1835" spans="72:74" x14ac:dyDescent="0.2">
      <c r="BT1835" s="124"/>
      <c r="BU1835" s="124"/>
      <c r="BV1835" s="124"/>
    </row>
    <row r="1836" spans="72:74" x14ac:dyDescent="0.2">
      <c r="BT1836" s="124"/>
      <c r="BU1836" s="124"/>
      <c r="BV1836" s="124"/>
    </row>
    <row r="1837" spans="72:74" x14ac:dyDescent="0.2">
      <c r="BT1837" s="124"/>
      <c r="BU1837" s="124"/>
      <c r="BV1837" s="124"/>
    </row>
    <row r="1838" spans="72:74" x14ac:dyDescent="0.2">
      <c r="BT1838" s="124"/>
      <c r="BU1838" s="124"/>
      <c r="BV1838" s="124"/>
    </row>
    <row r="1839" spans="72:74" x14ac:dyDescent="0.2">
      <c r="BT1839" s="124"/>
      <c r="BU1839" s="124"/>
      <c r="BV1839" s="124"/>
    </row>
    <row r="1840" spans="72:74" x14ac:dyDescent="0.2">
      <c r="BT1840" s="124"/>
      <c r="BU1840" s="124"/>
      <c r="BV1840" s="124"/>
    </row>
    <row r="1841" spans="72:74" x14ac:dyDescent="0.2">
      <c r="BT1841" s="124"/>
      <c r="BU1841" s="124"/>
      <c r="BV1841" s="124"/>
    </row>
    <row r="1842" spans="72:74" x14ac:dyDescent="0.2">
      <c r="BT1842" s="124"/>
      <c r="BU1842" s="124"/>
      <c r="BV1842" s="124"/>
    </row>
    <row r="1843" spans="72:74" x14ac:dyDescent="0.2">
      <c r="BT1843" s="124"/>
      <c r="BU1843" s="124"/>
      <c r="BV1843" s="124"/>
    </row>
    <row r="1844" spans="72:74" x14ac:dyDescent="0.2">
      <c r="BT1844" s="124"/>
      <c r="BU1844" s="124"/>
      <c r="BV1844" s="124"/>
    </row>
    <row r="1845" spans="72:74" x14ac:dyDescent="0.2">
      <c r="BT1845" s="124"/>
      <c r="BU1845" s="124"/>
      <c r="BV1845" s="124"/>
    </row>
    <row r="1846" spans="72:74" x14ac:dyDescent="0.2">
      <c r="BT1846" s="124"/>
      <c r="BU1846" s="124"/>
      <c r="BV1846" s="124"/>
    </row>
    <row r="1847" spans="72:74" x14ac:dyDescent="0.2">
      <c r="BT1847" s="124"/>
      <c r="BU1847" s="124"/>
      <c r="BV1847" s="124"/>
    </row>
    <row r="1848" spans="72:74" x14ac:dyDescent="0.2">
      <c r="BT1848" s="124"/>
      <c r="BU1848" s="124"/>
      <c r="BV1848" s="124"/>
    </row>
    <row r="1849" spans="72:74" x14ac:dyDescent="0.2">
      <c r="BT1849" s="124"/>
      <c r="BU1849" s="124"/>
      <c r="BV1849" s="124"/>
    </row>
    <row r="1850" spans="72:74" x14ac:dyDescent="0.2">
      <c r="BT1850" s="124"/>
      <c r="BU1850" s="124"/>
      <c r="BV1850" s="124"/>
    </row>
    <row r="1851" spans="72:74" x14ac:dyDescent="0.2">
      <c r="BT1851" s="124"/>
      <c r="BU1851" s="124"/>
      <c r="BV1851" s="124"/>
    </row>
    <row r="1852" spans="72:74" x14ac:dyDescent="0.2">
      <c r="BT1852" s="124"/>
      <c r="BU1852" s="124"/>
      <c r="BV1852" s="124"/>
    </row>
    <row r="1853" spans="72:74" x14ac:dyDescent="0.2">
      <c r="BT1853" s="124"/>
      <c r="BU1853" s="124"/>
      <c r="BV1853" s="124"/>
    </row>
    <row r="1854" spans="72:74" x14ac:dyDescent="0.2">
      <c r="BT1854" s="124"/>
      <c r="BU1854" s="124"/>
      <c r="BV1854" s="124"/>
    </row>
    <row r="1855" spans="72:74" x14ac:dyDescent="0.2">
      <c r="BT1855" s="124"/>
      <c r="BU1855" s="124"/>
      <c r="BV1855" s="124"/>
    </row>
    <row r="1856" spans="72:74" x14ac:dyDescent="0.2">
      <c r="BT1856" s="124"/>
      <c r="BU1856" s="124"/>
      <c r="BV1856" s="124"/>
    </row>
    <row r="1857" spans="72:74" x14ac:dyDescent="0.2">
      <c r="BT1857" s="124"/>
      <c r="BU1857" s="124"/>
      <c r="BV1857" s="124"/>
    </row>
    <row r="1858" spans="72:74" x14ac:dyDescent="0.2">
      <c r="BT1858" s="124"/>
      <c r="BU1858" s="124"/>
      <c r="BV1858" s="124"/>
    </row>
    <row r="1859" spans="72:74" x14ac:dyDescent="0.2">
      <c r="BT1859" s="124"/>
      <c r="BU1859" s="124"/>
      <c r="BV1859" s="124"/>
    </row>
    <row r="1860" spans="72:74" x14ac:dyDescent="0.2">
      <c r="BT1860" s="124"/>
      <c r="BU1860" s="124"/>
      <c r="BV1860" s="124"/>
    </row>
    <row r="1861" spans="72:74" x14ac:dyDescent="0.2">
      <c r="BT1861" s="124"/>
      <c r="BU1861" s="124"/>
      <c r="BV1861" s="124"/>
    </row>
    <row r="1862" spans="72:74" x14ac:dyDescent="0.2">
      <c r="BT1862" s="124"/>
      <c r="BU1862" s="124"/>
      <c r="BV1862" s="124"/>
    </row>
    <row r="1863" spans="72:74" x14ac:dyDescent="0.2">
      <c r="BT1863" s="124"/>
      <c r="BU1863" s="124"/>
      <c r="BV1863" s="124"/>
    </row>
    <row r="1864" spans="72:74" x14ac:dyDescent="0.2">
      <c r="BT1864" s="124"/>
      <c r="BU1864" s="124"/>
      <c r="BV1864" s="124"/>
    </row>
    <row r="1865" spans="72:74" x14ac:dyDescent="0.2">
      <c r="BT1865" s="124"/>
      <c r="BU1865" s="124"/>
      <c r="BV1865" s="124"/>
    </row>
    <row r="1866" spans="72:74" x14ac:dyDescent="0.2">
      <c r="BT1866" s="124"/>
      <c r="BU1866" s="124"/>
      <c r="BV1866" s="124"/>
    </row>
    <row r="1867" spans="72:74" x14ac:dyDescent="0.2">
      <c r="BT1867" s="124"/>
      <c r="BU1867" s="124"/>
      <c r="BV1867" s="124"/>
    </row>
    <row r="1868" spans="72:74" x14ac:dyDescent="0.2">
      <c r="BT1868" s="124"/>
      <c r="BU1868" s="124"/>
      <c r="BV1868" s="124"/>
    </row>
    <row r="1869" spans="72:74" x14ac:dyDescent="0.2">
      <c r="BT1869" s="124"/>
      <c r="BU1869" s="124"/>
      <c r="BV1869" s="124"/>
    </row>
    <row r="1870" spans="72:74" x14ac:dyDescent="0.2">
      <c r="BT1870" s="124"/>
      <c r="BU1870" s="124"/>
      <c r="BV1870" s="124"/>
    </row>
    <row r="1871" spans="72:74" x14ac:dyDescent="0.2">
      <c r="BT1871" s="124"/>
      <c r="BU1871" s="124"/>
      <c r="BV1871" s="124"/>
    </row>
    <row r="1872" spans="72:74" x14ac:dyDescent="0.2">
      <c r="BT1872" s="124"/>
      <c r="BU1872" s="124"/>
      <c r="BV1872" s="124"/>
    </row>
    <row r="1873" spans="72:74" x14ac:dyDescent="0.2">
      <c r="BT1873" s="124"/>
      <c r="BU1873" s="124"/>
      <c r="BV1873" s="124"/>
    </row>
    <row r="1874" spans="72:74" x14ac:dyDescent="0.2">
      <c r="BT1874" s="124"/>
      <c r="BU1874" s="124"/>
      <c r="BV1874" s="124"/>
    </row>
    <row r="1875" spans="72:74" x14ac:dyDescent="0.2">
      <c r="BT1875" s="124"/>
      <c r="BU1875" s="124"/>
      <c r="BV1875" s="124"/>
    </row>
    <row r="1876" spans="72:74" x14ac:dyDescent="0.2">
      <c r="BT1876" s="124"/>
      <c r="BU1876" s="124"/>
      <c r="BV1876" s="124"/>
    </row>
    <row r="1877" spans="72:74" x14ac:dyDescent="0.2">
      <c r="BT1877" s="124"/>
      <c r="BU1877" s="124"/>
      <c r="BV1877" s="124"/>
    </row>
    <row r="1878" spans="72:74" x14ac:dyDescent="0.2">
      <c r="BT1878" s="124"/>
      <c r="BU1878" s="124"/>
      <c r="BV1878" s="124"/>
    </row>
    <row r="1879" spans="72:74" x14ac:dyDescent="0.2">
      <c r="BT1879" s="124"/>
      <c r="BU1879" s="124"/>
      <c r="BV1879" s="124"/>
    </row>
    <row r="1880" spans="72:74" x14ac:dyDescent="0.2">
      <c r="BT1880" s="124"/>
      <c r="BU1880" s="124"/>
      <c r="BV1880" s="124"/>
    </row>
    <row r="1881" spans="72:74" x14ac:dyDescent="0.2">
      <c r="BT1881" s="124"/>
      <c r="BU1881" s="124"/>
      <c r="BV1881" s="124"/>
    </row>
    <row r="1882" spans="72:74" x14ac:dyDescent="0.2">
      <c r="BT1882" s="124"/>
      <c r="BU1882" s="124"/>
      <c r="BV1882" s="124"/>
    </row>
    <row r="1883" spans="72:74" x14ac:dyDescent="0.2">
      <c r="BT1883" s="124"/>
      <c r="BU1883" s="124"/>
      <c r="BV1883" s="124"/>
    </row>
    <row r="1884" spans="72:74" x14ac:dyDescent="0.2">
      <c r="BT1884" s="124"/>
      <c r="BU1884" s="124"/>
      <c r="BV1884" s="124"/>
    </row>
    <row r="1885" spans="72:74" x14ac:dyDescent="0.2">
      <c r="BT1885" s="124"/>
      <c r="BU1885" s="124"/>
      <c r="BV1885" s="124"/>
    </row>
    <row r="1886" spans="72:74" x14ac:dyDescent="0.2">
      <c r="BT1886" s="124"/>
      <c r="BU1886" s="124"/>
      <c r="BV1886" s="124"/>
    </row>
    <row r="1887" spans="72:74" x14ac:dyDescent="0.2">
      <c r="BT1887" s="124"/>
      <c r="BU1887" s="124"/>
      <c r="BV1887" s="124"/>
    </row>
    <row r="1888" spans="72:74" x14ac:dyDescent="0.2">
      <c r="BT1888" s="124"/>
      <c r="BU1888" s="124"/>
      <c r="BV1888" s="124"/>
    </row>
    <row r="1889" spans="72:74" x14ac:dyDescent="0.2">
      <c r="BT1889" s="124"/>
      <c r="BU1889" s="124"/>
      <c r="BV1889" s="124"/>
    </row>
    <row r="1890" spans="72:74" x14ac:dyDescent="0.2">
      <c r="BT1890" s="124"/>
      <c r="BU1890" s="124"/>
      <c r="BV1890" s="124"/>
    </row>
    <row r="1891" spans="72:74" x14ac:dyDescent="0.2">
      <c r="BT1891" s="124"/>
      <c r="BU1891" s="124"/>
      <c r="BV1891" s="124"/>
    </row>
    <row r="1892" spans="72:74" x14ac:dyDescent="0.2">
      <c r="BT1892" s="124"/>
      <c r="BU1892" s="124"/>
      <c r="BV1892" s="124"/>
    </row>
    <row r="1893" spans="72:74" x14ac:dyDescent="0.2">
      <c r="BT1893" s="124"/>
      <c r="BU1893" s="124"/>
      <c r="BV1893" s="124"/>
    </row>
    <row r="1894" spans="72:74" x14ac:dyDescent="0.2">
      <c r="BT1894" s="124"/>
      <c r="BU1894" s="124"/>
      <c r="BV1894" s="124"/>
    </row>
    <row r="1895" spans="72:74" x14ac:dyDescent="0.2">
      <c r="BT1895" s="124"/>
      <c r="BU1895" s="124"/>
      <c r="BV1895" s="124"/>
    </row>
    <row r="1896" spans="72:74" x14ac:dyDescent="0.2">
      <c r="BT1896" s="124"/>
      <c r="BU1896" s="124"/>
      <c r="BV1896" s="124"/>
    </row>
    <row r="1897" spans="72:74" x14ac:dyDescent="0.2">
      <c r="BT1897" s="124"/>
      <c r="BU1897" s="124"/>
      <c r="BV1897" s="124"/>
    </row>
    <row r="1898" spans="72:74" x14ac:dyDescent="0.2">
      <c r="BT1898" s="124"/>
      <c r="BU1898" s="124"/>
      <c r="BV1898" s="124"/>
    </row>
    <row r="1899" spans="72:74" x14ac:dyDescent="0.2">
      <c r="BT1899" s="124"/>
      <c r="BU1899" s="124"/>
      <c r="BV1899" s="124"/>
    </row>
    <row r="1900" spans="72:74" x14ac:dyDescent="0.2">
      <c r="BT1900" s="124"/>
      <c r="BU1900" s="124"/>
      <c r="BV1900" s="124"/>
    </row>
    <row r="1901" spans="72:74" x14ac:dyDescent="0.2">
      <c r="BT1901" s="124"/>
      <c r="BU1901" s="124"/>
      <c r="BV1901" s="124"/>
    </row>
    <row r="1902" spans="72:74" x14ac:dyDescent="0.2">
      <c r="BT1902" s="124"/>
      <c r="BU1902" s="124"/>
      <c r="BV1902" s="124"/>
    </row>
    <row r="1903" spans="72:74" x14ac:dyDescent="0.2">
      <c r="BT1903" s="124"/>
      <c r="BU1903" s="124"/>
      <c r="BV1903" s="124"/>
    </row>
    <row r="1904" spans="72:74" x14ac:dyDescent="0.2">
      <c r="BT1904" s="124"/>
      <c r="BU1904" s="124"/>
      <c r="BV1904" s="124"/>
    </row>
    <row r="1905" spans="72:74" x14ac:dyDescent="0.2">
      <c r="BT1905" s="124"/>
      <c r="BU1905" s="124"/>
      <c r="BV1905" s="124"/>
    </row>
    <row r="1906" spans="72:74" x14ac:dyDescent="0.2">
      <c r="BT1906" s="124"/>
      <c r="BU1906" s="124"/>
      <c r="BV1906" s="124"/>
    </row>
    <row r="1907" spans="72:74" x14ac:dyDescent="0.2">
      <c r="BT1907" s="124"/>
      <c r="BU1907" s="124"/>
      <c r="BV1907" s="124"/>
    </row>
    <row r="1908" spans="72:74" x14ac:dyDescent="0.2">
      <c r="BT1908" s="124"/>
      <c r="BU1908" s="124"/>
      <c r="BV1908" s="124"/>
    </row>
    <row r="1909" spans="72:74" x14ac:dyDescent="0.2">
      <c r="BT1909" s="124"/>
      <c r="BU1909" s="124"/>
      <c r="BV1909" s="124"/>
    </row>
    <row r="1910" spans="72:74" x14ac:dyDescent="0.2">
      <c r="BT1910" s="124"/>
      <c r="BU1910" s="124"/>
      <c r="BV1910" s="124"/>
    </row>
    <row r="1911" spans="72:74" x14ac:dyDescent="0.2">
      <c r="BT1911" s="124"/>
      <c r="BU1911" s="124"/>
      <c r="BV1911" s="124"/>
    </row>
    <row r="1912" spans="72:74" x14ac:dyDescent="0.2">
      <c r="BT1912" s="124"/>
      <c r="BU1912" s="124"/>
      <c r="BV1912" s="124"/>
    </row>
    <row r="1913" spans="72:74" x14ac:dyDescent="0.2">
      <c r="BT1913" s="124"/>
      <c r="BU1913" s="124"/>
      <c r="BV1913" s="124"/>
    </row>
    <row r="1914" spans="72:74" x14ac:dyDescent="0.2">
      <c r="BT1914" s="124"/>
      <c r="BU1914" s="124"/>
      <c r="BV1914" s="124"/>
    </row>
    <row r="1915" spans="72:74" x14ac:dyDescent="0.2">
      <c r="BT1915" s="124"/>
      <c r="BU1915" s="124"/>
      <c r="BV1915" s="124"/>
    </row>
    <row r="1916" spans="72:74" x14ac:dyDescent="0.2">
      <c r="BT1916" s="124"/>
      <c r="BU1916" s="124"/>
      <c r="BV1916" s="124"/>
    </row>
    <row r="1917" spans="72:74" x14ac:dyDescent="0.2">
      <c r="BT1917" s="124"/>
      <c r="BU1917" s="124"/>
      <c r="BV1917" s="124"/>
    </row>
    <row r="1918" spans="72:74" x14ac:dyDescent="0.2">
      <c r="BT1918" s="124"/>
      <c r="BU1918" s="124"/>
      <c r="BV1918" s="124"/>
    </row>
    <row r="1919" spans="72:74" x14ac:dyDescent="0.2">
      <c r="BT1919" s="124"/>
      <c r="BU1919" s="124"/>
      <c r="BV1919" s="124"/>
    </row>
    <row r="1920" spans="72:74" x14ac:dyDescent="0.2">
      <c r="BT1920" s="124"/>
      <c r="BU1920" s="124"/>
      <c r="BV1920" s="124"/>
    </row>
    <row r="1921" spans="72:74" x14ac:dyDescent="0.2">
      <c r="BT1921" s="124"/>
      <c r="BU1921" s="124"/>
      <c r="BV1921" s="124"/>
    </row>
    <row r="1922" spans="72:74" x14ac:dyDescent="0.2">
      <c r="BT1922" s="124"/>
      <c r="BU1922" s="124"/>
      <c r="BV1922" s="124"/>
    </row>
    <row r="1923" spans="72:74" x14ac:dyDescent="0.2">
      <c r="BT1923" s="124"/>
      <c r="BU1923" s="124"/>
      <c r="BV1923" s="124"/>
    </row>
    <row r="1924" spans="72:74" x14ac:dyDescent="0.2">
      <c r="BT1924" s="124"/>
      <c r="BU1924" s="124"/>
      <c r="BV1924" s="124"/>
    </row>
    <row r="1925" spans="72:74" x14ac:dyDescent="0.2">
      <c r="BT1925" s="124"/>
      <c r="BU1925" s="124"/>
      <c r="BV1925" s="124"/>
    </row>
    <row r="1926" spans="72:74" x14ac:dyDescent="0.2">
      <c r="BT1926" s="124"/>
      <c r="BU1926" s="124"/>
      <c r="BV1926" s="124"/>
    </row>
    <row r="1927" spans="72:74" x14ac:dyDescent="0.2">
      <c r="BT1927" s="124"/>
      <c r="BU1927" s="124"/>
      <c r="BV1927" s="124"/>
    </row>
    <row r="1928" spans="72:74" x14ac:dyDescent="0.2">
      <c r="BT1928" s="124"/>
      <c r="BU1928" s="124"/>
      <c r="BV1928" s="124"/>
    </row>
    <row r="1929" spans="72:74" x14ac:dyDescent="0.2">
      <c r="BT1929" s="124"/>
      <c r="BU1929" s="124"/>
      <c r="BV1929" s="124"/>
    </row>
    <row r="1930" spans="72:74" x14ac:dyDescent="0.2">
      <c r="BT1930" s="124"/>
      <c r="BU1930" s="124"/>
      <c r="BV1930" s="124"/>
    </row>
    <row r="1931" spans="72:74" x14ac:dyDescent="0.2">
      <c r="BT1931" s="124"/>
      <c r="BU1931" s="124"/>
      <c r="BV1931" s="124"/>
    </row>
    <row r="1932" spans="72:74" x14ac:dyDescent="0.2">
      <c r="BT1932" s="124"/>
      <c r="BU1932" s="124"/>
      <c r="BV1932" s="124"/>
    </row>
    <row r="1933" spans="72:74" x14ac:dyDescent="0.2">
      <c r="BT1933" s="124"/>
      <c r="BU1933" s="124"/>
      <c r="BV1933" s="124"/>
    </row>
    <row r="1934" spans="72:74" x14ac:dyDescent="0.2">
      <c r="BT1934" s="124"/>
      <c r="BU1934" s="124"/>
      <c r="BV1934" s="124"/>
    </row>
    <row r="1935" spans="72:74" x14ac:dyDescent="0.2">
      <c r="BT1935" s="124"/>
      <c r="BU1935" s="124"/>
      <c r="BV1935" s="124"/>
    </row>
    <row r="1936" spans="72:74" x14ac:dyDescent="0.2">
      <c r="BT1936" s="124"/>
      <c r="BU1936" s="124"/>
      <c r="BV1936" s="124"/>
    </row>
    <row r="1937" spans="72:74" x14ac:dyDescent="0.2">
      <c r="BT1937" s="124"/>
      <c r="BU1937" s="124"/>
      <c r="BV1937" s="124"/>
    </row>
    <row r="1938" spans="72:74" x14ac:dyDescent="0.2">
      <c r="BT1938" s="124"/>
      <c r="BU1938" s="124"/>
      <c r="BV1938" s="124"/>
    </row>
    <row r="1939" spans="72:74" x14ac:dyDescent="0.2">
      <c r="BT1939" s="124"/>
      <c r="BU1939" s="124"/>
      <c r="BV1939" s="124"/>
    </row>
    <row r="1940" spans="72:74" x14ac:dyDescent="0.2">
      <c r="BT1940" s="124"/>
      <c r="BU1940" s="124"/>
      <c r="BV1940" s="124"/>
    </row>
    <row r="1941" spans="72:74" x14ac:dyDescent="0.2">
      <c r="BT1941" s="124"/>
      <c r="BU1941" s="124"/>
      <c r="BV1941" s="124"/>
    </row>
    <row r="1942" spans="72:74" x14ac:dyDescent="0.2">
      <c r="BT1942" s="124"/>
      <c r="BU1942" s="124"/>
      <c r="BV1942" s="124"/>
    </row>
    <row r="1943" spans="72:74" x14ac:dyDescent="0.2">
      <c r="BT1943" s="124"/>
      <c r="BU1943" s="124"/>
      <c r="BV1943" s="124"/>
    </row>
    <row r="1944" spans="72:74" x14ac:dyDescent="0.2">
      <c r="BT1944" s="124"/>
      <c r="BU1944" s="124"/>
      <c r="BV1944" s="124"/>
    </row>
    <row r="1945" spans="72:74" x14ac:dyDescent="0.2">
      <c r="BT1945" s="124"/>
      <c r="BU1945" s="124"/>
      <c r="BV1945" s="124"/>
    </row>
    <row r="1946" spans="72:74" x14ac:dyDescent="0.2">
      <c r="BT1946" s="124"/>
      <c r="BU1946" s="124"/>
      <c r="BV1946" s="124"/>
    </row>
    <row r="1947" spans="72:74" x14ac:dyDescent="0.2">
      <c r="BT1947" s="124"/>
      <c r="BU1947" s="124"/>
      <c r="BV1947" s="124"/>
    </row>
    <row r="1948" spans="72:74" x14ac:dyDescent="0.2">
      <c r="BT1948" s="124"/>
      <c r="BU1948" s="124"/>
      <c r="BV1948" s="124"/>
    </row>
    <row r="1949" spans="72:74" x14ac:dyDescent="0.2">
      <c r="BT1949" s="124"/>
      <c r="BU1949" s="124"/>
      <c r="BV1949" s="124"/>
    </row>
    <row r="1950" spans="72:74" x14ac:dyDescent="0.2">
      <c r="BT1950" s="124"/>
      <c r="BU1950" s="124"/>
      <c r="BV1950" s="124"/>
    </row>
    <row r="1951" spans="72:74" x14ac:dyDescent="0.2">
      <c r="BT1951" s="124"/>
      <c r="BU1951" s="124"/>
      <c r="BV1951" s="124"/>
    </row>
    <row r="1952" spans="72:74" x14ac:dyDescent="0.2">
      <c r="BT1952" s="124"/>
      <c r="BU1952" s="124"/>
      <c r="BV1952" s="124"/>
    </row>
    <row r="1953" spans="72:74" x14ac:dyDescent="0.2">
      <c r="BT1953" s="124"/>
      <c r="BU1953" s="124"/>
      <c r="BV1953" s="124"/>
    </row>
    <row r="1954" spans="72:74" x14ac:dyDescent="0.2">
      <c r="BT1954" s="124"/>
      <c r="BU1954" s="124"/>
      <c r="BV1954" s="124"/>
    </row>
    <row r="1955" spans="72:74" x14ac:dyDescent="0.2">
      <c r="BT1955" s="124"/>
      <c r="BU1955" s="124"/>
      <c r="BV1955" s="124"/>
    </row>
    <row r="1956" spans="72:74" x14ac:dyDescent="0.2">
      <c r="BT1956" s="124"/>
      <c r="BU1956" s="124"/>
      <c r="BV1956" s="124"/>
    </row>
    <row r="1957" spans="72:74" x14ac:dyDescent="0.2">
      <c r="BT1957" s="124"/>
      <c r="BU1957" s="124"/>
      <c r="BV1957" s="124"/>
    </row>
    <row r="1958" spans="72:74" x14ac:dyDescent="0.2">
      <c r="BT1958" s="124"/>
      <c r="BU1958" s="124"/>
      <c r="BV1958" s="124"/>
    </row>
    <row r="1959" spans="72:74" x14ac:dyDescent="0.2">
      <c r="BT1959" s="124"/>
      <c r="BU1959" s="124"/>
      <c r="BV1959" s="124"/>
    </row>
    <row r="1960" spans="72:74" x14ac:dyDescent="0.2">
      <c r="BT1960" s="124"/>
      <c r="BU1960" s="124"/>
      <c r="BV1960" s="124"/>
    </row>
    <row r="1961" spans="72:74" x14ac:dyDescent="0.2">
      <c r="BT1961" s="124"/>
      <c r="BU1961" s="124"/>
      <c r="BV1961" s="124"/>
    </row>
    <row r="1962" spans="72:74" x14ac:dyDescent="0.2">
      <c r="BT1962" s="124"/>
      <c r="BU1962" s="124"/>
      <c r="BV1962" s="124"/>
    </row>
    <row r="1963" spans="72:74" x14ac:dyDescent="0.2">
      <c r="BT1963" s="124"/>
      <c r="BU1963" s="124"/>
      <c r="BV1963" s="124"/>
    </row>
    <row r="1964" spans="72:74" x14ac:dyDescent="0.2">
      <c r="BT1964" s="124"/>
      <c r="BU1964" s="124"/>
      <c r="BV1964" s="124"/>
    </row>
    <row r="1965" spans="72:74" x14ac:dyDescent="0.2">
      <c r="BT1965" s="124"/>
      <c r="BU1965" s="124"/>
      <c r="BV1965" s="124"/>
    </row>
    <row r="1966" spans="72:74" x14ac:dyDescent="0.2">
      <c r="BT1966" s="124"/>
      <c r="BU1966" s="124"/>
      <c r="BV1966" s="124"/>
    </row>
    <row r="1967" spans="72:74" x14ac:dyDescent="0.2">
      <c r="BT1967" s="124"/>
      <c r="BU1967" s="124"/>
      <c r="BV1967" s="124"/>
    </row>
    <row r="1968" spans="72:74" x14ac:dyDescent="0.2">
      <c r="BT1968" s="124"/>
      <c r="BU1968" s="124"/>
      <c r="BV1968" s="124"/>
    </row>
    <row r="1969" spans="72:74" x14ac:dyDescent="0.2">
      <c r="BT1969" s="124"/>
      <c r="BU1969" s="124"/>
      <c r="BV1969" s="124"/>
    </row>
    <row r="1970" spans="72:74" x14ac:dyDescent="0.2">
      <c r="BT1970" s="124"/>
      <c r="BU1970" s="124"/>
      <c r="BV1970" s="124"/>
    </row>
    <row r="1971" spans="72:74" x14ac:dyDescent="0.2">
      <c r="BT1971" s="124"/>
      <c r="BU1971" s="124"/>
      <c r="BV1971" s="124"/>
    </row>
    <row r="1972" spans="72:74" x14ac:dyDescent="0.2">
      <c r="BT1972" s="124"/>
      <c r="BU1972" s="124"/>
      <c r="BV1972" s="124"/>
    </row>
    <row r="1973" spans="72:74" x14ac:dyDescent="0.2">
      <c r="BT1973" s="124"/>
      <c r="BU1973" s="124"/>
      <c r="BV1973" s="124"/>
    </row>
    <row r="1974" spans="72:74" x14ac:dyDescent="0.2">
      <c r="BT1974" s="124"/>
      <c r="BU1974" s="124"/>
      <c r="BV1974" s="124"/>
    </row>
    <row r="1975" spans="72:74" x14ac:dyDescent="0.2">
      <c r="BT1975" s="124"/>
      <c r="BU1975" s="124"/>
      <c r="BV1975" s="124"/>
    </row>
    <row r="1976" spans="72:74" x14ac:dyDescent="0.2">
      <c r="BT1976" s="124"/>
      <c r="BU1976" s="124"/>
      <c r="BV1976" s="124"/>
    </row>
    <row r="1977" spans="72:74" x14ac:dyDescent="0.2">
      <c r="BT1977" s="124"/>
      <c r="BU1977" s="124"/>
      <c r="BV1977" s="124"/>
    </row>
    <row r="1978" spans="72:74" x14ac:dyDescent="0.2">
      <c r="BT1978" s="124"/>
      <c r="BU1978" s="124"/>
      <c r="BV1978" s="124"/>
    </row>
    <row r="1979" spans="72:74" x14ac:dyDescent="0.2">
      <c r="BT1979" s="124"/>
      <c r="BU1979" s="124"/>
      <c r="BV1979" s="124"/>
    </row>
    <row r="1980" spans="72:74" x14ac:dyDescent="0.2">
      <c r="BT1980" s="124"/>
      <c r="BU1980" s="124"/>
      <c r="BV1980" s="124"/>
    </row>
    <row r="1981" spans="72:74" x14ac:dyDescent="0.2">
      <c r="BT1981" s="124"/>
      <c r="BU1981" s="124"/>
      <c r="BV1981" s="124"/>
    </row>
    <row r="1982" spans="72:74" x14ac:dyDescent="0.2">
      <c r="BT1982" s="124"/>
      <c r="BU1982" s="124"/>
      <c r="BV1982" s="124"/>
    </row>
    <row r="1983" spans="72:74" x14ac:dyDescent="0.2">
      <c r="BT1983" s="124"/>
      <c r="BU1983" s="124"/>
      <c r="BV1983" s="124"/>
    </row>
    <row r="1984" spans="72:74" x14ac:dyDescent="0.2">
      <c r="BT1984" s="124"/>
      <c r="BU1984" s="124"/>
      <c r="BV1984" s="124"/>
    </row>
    <row r="1985" spans="72:74" x14ac:dyDescent="0.2">
      <c r="BT1985" s="124"/>
      <c r="BU1985" s="124"/>
      <c r="BV1985" s="124"/>
    </row>
    <row r="1986" spans="72:74" x14ac:dyDescent="0.2">
      <c r="BT1986" s="124"/>
      <c r="BU1986" s="124"/>
      <c r="BV1986" s="124"/>
    </row>
    <row r="1987" spans="72:74" x14ac:dyDescent="0.2">
      <c r="BT1987" s="124"/>
      <c r="BU1987" s="124"/>
      <c r="BV1987" s="124"/>
    </row>
    <row r="1988" spans="72:74" x14ac:dyDescent="0.2">
      <c r="BT1988" s="124"/>
      <c r="BU1988" s="124"/>
      <c r="BV1988" s="124"/>
    </row>
    <row r="1989" spans="72:74" x14ac:dyDescent="0.2">
      <c r="BT1989" s="124"/>
      <c r="BU1989" s="124"/>
      <c r="BV1989" s="124"/>
    </row>
    <row r="1990" spans="72:74" x14ac:dyDescent="0.2">
      <c r="BT1990" s="124"/>
      <c r="BU1990" s="124"/>
      <c r="BV1990" s="124"/>
    </row>
    <row r="1991" spans="72:74" x14ac:dyDescent="0.2">
      <c r="BT1991" s="124"/>
      <c r="BU1991" s="124"/>
      <c r="BV1991" s="124"/>
    </row>
    <row r="1992" spans="72:74" x14ac:dyDescent="0.2">
      <c r="BT1992" s="124"/>
      <c r="BU1992" s="124"/>
      <c r="BV1992" s="124"/>
    </row>
    <row r="1993" spans="72:74" x14ac:dyDescent="0.2">
      <c r="BT1993" s="124"/>
      <c r="BU1993" s="124"/>
      <c r="BV1993" s="124"/>
    </row>
    <row r="1994" spans="72:74" x14ac:dyDescent="0.2">
      <c r="BT1994" s="124"/>
      <c r="BU1994" s="124"/>
      <c r="BV1994" s="124"/>
    </row>
    <row r="1995" spans="72:74" x14ac:dyDescent="0.2">
      <c r="BT1995" s="124"/>
      <c r="BU1995" s="124"/>
      <c r="BV1995" s="124"/>
    </row>
    <row r="1996" spans="72:74" x14ac:dyDescent="0.2">
      <c r="BT1996" s="124"/>
      <c r="BU1996" s="124"/>
      <c r="BV1996" s="124"/>
    </row>
    <row r="1997" spans="72:74" x14ac:dyDescent="0.2">
      <c r="BT1997" s="124"/>
      <c r="BU1997" s="124"/>
      <c r="BV1997" s="124"/>
    </row>
    <row r="1998" spans="72:74" x14ac:dyDescent="0.2">
      <c r="BT1998" s="124"/>
      <c r="BU1998" s="124"/>
      <c r="BV1998" s="124"/>
    </row>
    <row r="1999" spans="72:74" x14ac:dyDescent="0.2">
      <c r="BT1999" s="124"/>
      <c r="BU1999" s="124"/>
      <c r="BV1999" s="124"/>
    </row>
    <row r="2000" spans="72:74" x14ac:dyDescent="0.2">
      <c r="BT2000" s="124"/>
      <c r="BU2000" s="124"/>
      <c r="BV2000" s="124"/>
    </row>
    <row r="2001" spans="72:74" x14ac:dyDescent="0.2">
      <c r="BT2001" s="124"/>
      <c r="BU2001" s="124"/>
      <c r="BV2001" s="124"/>
    </row>
    <row r="2002" spans="72:74" x14ac:dyDescent="0.2">
      <c r="BT2002" s="124"/>
      <c r="BU2002" s="124"/>
      <c r="BV2002" s="124"/>
    </row>
    <row r="2003" spans="72:74" x14ac:dyDescent="0.2">
      <c r="BT2003" s="124"/>
      <c r="BU2003" s="124"/>
      <c r="BV2003" s="124"/>
    </row>
    <row r="2004" spans="72:74" x14ac:dyDescent="0.2">
      <c r="BT2004" s="124"/>
      <c r="BU2004" s="124"/>
      <c r="BV2004" s="124"/>
    </row>
    <row r="2005" spans="72:74" x14ac:dyDescent="0.2">
      <c r="BT2005" s="124"/>
      <c r="BU2005" s="124"/>
      <c r="BV2005" s="124"/>
    </row>
    <row r="2006" spans="72:74" x14ac:dyDescent="0.2">
      <c r="BT2006" s="124"/>
      <c r="BU2006" s="124"/>
      <c r="BV2006" s="124"/>
    </row>
    <row r="2007" spans="72:74" x14ac:dyDescent="0.2">
      <c r="BT2007" s="124"/>
      <c r="BU2007" s="124"/>
      <c r="BV2007" s="124"/>
    </row>
    <row r="2008" spans="72:74" x14ac:dyDescent="0.2">
      <c r="BT2008" s="124"/>
      <c r="BU2008" s="124"/>
      <c r="BV2008" s="124"/>
    </row>
    <row r="2009" spans="72:74" x14ac:dyDescent="0.2">
      <c r="BT2009" s="124"/>
      <c r="BU2009" s="124"/>
      <c r="BV2009" s="124"/>
    </row>
    <row r="2010" spans="72:74" x14ac:dyDescent="0.2">
      <c r="BT2010" s="124"/>
      <c r="BU2010" s="124"/>
      <c r="BV2010" s="124"/>
    </row>
    <row r="2011" spans="72:74" x14ac:dyDescent="0.2">
      <c r="BT2011" s="124"/>
      <c r="BU2011" s="124"/>
      <c r="BV2011" s="124"/>
    </row>
    <row r="2012" spans="72:74" x14ac:dyDescent="0.2">
      <c r="BT2012" s="124"/>
      <c r="BU2012" s="124"/>
      <c r="BV2012" s="124"/>
    </row>
    <row r="2013" spans="72:74" x14ac:dyDescent="0.2">
      <c r="BT2013" s="124"/>
      <c r="BU2013" s="124"/>
      <c r="BV2013" s="124"/>
    </row>
    <row r="2014" spans="72:74" x14ac:dyDescent="0.2">
      <c r="BT2014" s="124"/>
      <c r="BU2014" s="124"/>
      <c r="BV2014" s="124"/>
    </row>
    <row r="2015" spans="72:74" x14ac:dyDescent="0.2">
      <c r="BT2015" s="124"/>
      <c r="BU2015" s="124"/>
      <c r="BV2015" s="124"/>
    </row>
    <row r="2016" spans="72:74" x14ac:dyDescent="0.2">
      <c r="BT2016" s="124"/>
      <c r="BU2016" s="124"/>
      <c r="BV2016" s="124"/>
    </row>
    <row r="2017" spans="72:74" x14ac:dyDescent="0.2">
      <c r="BT2017" s="124"/>
      <c r="BU2017" s="124"/>
      <c r="BV2017" s="124"/>
    </row>
    <row r="2018" spans="72:74" x14ac:dyDescent="0.2">
      <c r="BT2018" s="124"/>
      <c r="BU2018" s="124"/>
      <c r="BV2018" s="124"/>
    </row>
    <row r="2019" spans="72:74" x14ac:dyDescent="0.2">
      <c r="BT2019" s="124"/>
      <c r="BU2019" s="124"/>
      <c r="BV2019" s="124"/>
    </row>
    <row r="2020" spans="72:74" x14ac:dyDescent="0.2">
      <c r="BT2020" s="124"/>
      <c r="BU2020" s="124"/>
      <c r="BV2020" s="124"/>
    </row>
    <row r="2021" spans="72:74" x14ac:dyDescent="0.2">
      <c r="BT2021" s="124"/>
      <c r="BU2021" s="124"/>
      <c r="BV2021" s="124"/>
    </row>
    <row r="2022" spans="72:74" x14ac:dyDescent="0.2">
      <c r="BT2022" s="124"/>
      <c r="BU2022" s="124"/>
      <c r="BV2022" s="124"/>
    </row>
    <row r="2023" spans="72:74" x14ac:dyDescent="0.2">
      <c r="BT2023" s="124"/>
      <c r="BU2023" s="124"/>
      <c r="BV2023" s="124"/>
    </row>
    <row r="2024" spans="72:74" x14ac:dyDescent="0.2">
      <c r="BT2024" s="124"/>
      <c r="BU2024" s="124"/>
      <c r="BV2024" s="124"/>
    </row>
    <row r="2025" spans="72:74" x14ac:dyDescent="0.2">
      <c r="BT2025" s="124"/>
      <c r="BU2025" s="124"/>
      <c r="BV2025" s="124"/>
    </row>
    <row r="2026" spans="72:74" x14ac:dyDescent="0.2">
      <c r="BT2026" s="124"/>
      <c r="BU2026" s="124"/>
      <c r="BV2026" s="124"/>
    </row>
    <row r="2027" spans="72:74" x14ac:dyDescent="0.2">
      <c r="BT2027" s="124"/>
      <c r="BU2027" s="124"/>
      <c r="BV2027" s="124"/>
    </row>
    <row r="2028" spans="72:74" x14ac:dyDescent="0.2">
      <c r="BT2028" s="124"/>
      <c r="BU2028" s="124"/>
      <c r="BV2028" s="124"/>
    </row>
    <row r="2029" spans="72:74" x14ac:dyDescent="0.2">
      <c r="BT2029" s="124"/>
      <c r="BU2029" s="124"/>
      <c r="BV2029" s="124"/>
    </row>
    <row r="2030" spans="72:74" x14ac:dyDescent="0.2">
      <c r="BT2030" s="124"/>
      <c r="BU2030" s="124"/>
      <c r="BV2030" s="124"/>
    </row>
    <row r="2031" spans="72:74" x14ac:dyDescent="0.2">
      <c r="BT2031" s="124"/>
      <c r="BU2031" s="124"/>
      <c r="BV2031" s="124"/>
    </row>
    <row r="2032" spans="72:74" x14ac:dyDescent="0.2">
      <c r="BT2032" s="124"/>
      <c r="BU2032" s="124"/>
      <c r="BV2032" s="124"/>
    </row>
    <row r="2033" spans="72:74" x14ac:dyDescent="0.2">
      <c r="BT2033" s="124"/>
      <c r="BU2033" s="124"/>
      <c r="BV2033" s="124"/>
    </row>
    <row r="2034" spans="72:74" x14ac:dyDescent="0.2">
      <c r="BT2034" s="124"/>
      <c r="BU2034" s="124"/>
      <c r="BV2034" s="124"/>
    </row>
    <row r="2035" spans="72:74" x14ac:dyDescent="0.2">
      <c r="BT2035" s="124"/>
      <c r="BU2035" s="124"/>
      <c r="BV2035" s="124"/>
    </row>
    <row r="2036" spans="72:74" x14ac:dyDescent="0.2">
      <c r="BT2036" s="124"/>
      <c r="BU2036" s="124"/>
      <c r="BV2036" s="124"/>
    </row>
    <row r="2037" spans="72:74" x14ac:dyDescent="0.2">
      <c r="BT2037" s="124"/>
      <c r="BU2037" s="124"/>
      <c r="BV2037" s="124"/>
    </row>
    <row r="2038" spans="72:74" x14ac:dyDescent="0.2">
      <c r="BT2038" s="124"/>
      <c r="BU2038" s="124"/>
      <c r="BV2038" s="124"/>
    </row>
    <row r="2039" spans="72:74" x14ac:dyDescent="0.2">
      <c r="BT2039" s="124"/>
      <c r="BU2039" s="124"/>
      <c r="BV2039" s="124"/>
    </row>
    <row r="2040" spans="72:74" x14ac:dyDescent="0.2">
      <c r="BT2040" s="124"/>
      <c r="BU2040" s="124"/>
      <c r="BV2040" s="124"/>
    </row>
    <row r="2041" spans="72:74" x14ac:dyDescent="0.2">
      <c r="BT2041" s="124"/>
      <c r="BU2041" s="124"/>
      <c r="BV2041" s="124"/>
    </row>
    <row r="2042" spans="72:74" x14ac:dyDescent="0.2">
      <c r="BT2042" s="124"/>
      <c r="BU2042" s="124"/>
      <c r="BV2042" s="124"/>
    </row>
    <row r="2043" spans="72:74" x14ac:dyDescent="0.2">
      <c r="BT2043" s="124"/>
      <c r="BU2043" s="124"/>
      <c r="BV2043" s="124"/>
    </row>
    <row r="2044" spans="72:74" x14ac:dyDescent="0.2">
      <c r="BT2044" s="124"/>
      <c r="BU2044" s="124"/>
      <c r="BV2044" s="124"/>
    </row>
    <row r="2045" spans="72:74" x14ac:dyDescent="0.2">
      <c r="BT2045" s="124"/>
      <c r="BU2045" s="124"/>
      <c r="BV2045" s="124"/>
    </row>
    <row r="2046" spans="72:74" x14ac:dyDescent="0.2">
      <c r="BT2046" s="124"/>
      <c r="BU2046" s="124"/>
      <c r="BV2046" s="124"/>
    </row>
    <row r="2047" spans="72:74" x14ac:dyDescent="0.2">
      <c r="BT2047" s="124"/>
      <c r="BU2047" s="124"/>
      <c r="BV2047" s="124"/>
    </row>
    <row r="2048" spans="72:74" x14ac:dyDescent="0.2">
      <c r="BT2048" s="124"/>
      <c r="BU2048" s="124"/>
      <c r="BV2048" s="124"/>
    </row>
    <row r="2049" spans="72:74" x14ac:dyDescent="0.2">
      <c r="BT2049" s="124"/>
      <c r="BU2049" s="124"/>
      <c r="BV2049" s="124"/>
    </row>
    <row r="2050" spans="72:74" x14ac:dyDescent="0.2">
      <c r="BT2050" s="124"/>
      <c r="BU2050" s="124"/>
      <c r="BV2050" s="124"/>
    </row>
    <row r="2051" spans="72:74" x14ac:dyDescent="0.2">
      <c r="BT2051" s="124"/>
      <c r="BU2051" s="124"/>
      <c r="BV2051" s="124"/>
    </row>
    <row r="2052" spans="72:74" x14ac:dyDescent="0.2">
      <c r="BT2052" s="124"/>
      <c r="BU2052" s="124"/>
      <c r="BV2052" s="124"/>
    </row>
    <row r="2053" spans="72:74" x14ac:dyDescent="0.2">
      <c r="BT2053" s="124"/>
      <c r="BU2053" s="124"/>
      <c r="BV2053" s="124"/>
    </row>
    <row r="2054" spans="72:74" x14ac:dyDescent="0.2">
      <c r="BT2054" s="124"/>
      <c r="BU2054" s="124"/>
      <c r="BV2054" s="124"/>
    </row>
    <row r="2055" spans="72:74" x14ac:dyDescent="0.2">
      <c r="BT2055" s="124"/>
      <c r="BU2055" s="124"/>
      <c r="BV2055" s="124"/>
    </row>
    <row r="2056" spans="72:74" x14ac:dyDescent="0.2">
      <c r="BT2056" s="124"/>
      <c r="BU2056" s="124"/>
      <c r="BV2056" s="124"/>
    </row>
    <row r="2057" spans="72:74" x14ac:dyDescent="0.2">
      <c r="BT2057" s="124"/>
      <c r="BU2057" s="124"/>
      <c r="BV2057" s="124"/>
    </row>
    <row r="2058" spans="72:74" x14ac:dyDescent="0.2">
      <c r="BT2058" s="124"/>
      <c r="BU2058" s="124"/>
      <c r="BV2058" s="124"/>
    </row>
    <row r="2059" spans="72:74" x14ac:dyDescent="0.2">
      <c r="BT2059" s="124"/>
      <c r="BU2059" s="124"/>
      <c r="BV2059" s="124"/>
    </row>
    <row r="2060" spans="72:74" x14ac:dyDescent="0.2">
      <c r="BT2060" s="124"/>
      <c r="BU2060" s="124"/>
      <c r="BV2060" s="124"/>
    </row>
    <row r="2061" spans="72:74" x14ac:dyDescent="0.2">
      <c r="BT2061" s="124"/>
      <c r="BU2061" s="124"/>
      <c r="BV2061" s="124"/>
    </row>
    <row r="2062" spans="72:74" x14ac:dyDescent="0.2">
      <c r="BT2062" s="124"/>
      <c r="BU2062" s="124"/>
      <c r="BV2062" s="124"/>
    </row>
    <row r="2063" spans="72:74" x14ac:dyDescent="0.2">
      <c r="BT2063" s="124"/>
      <c r="BU2063" s="124"/>
      <c r="BV2063" s="124"/>
    </row>
    <row r="2064" spans="72:74" x14ac:dyDescent="0.2">
      <c r="BT2064" s="124"/>
      <c r="BU2064" s="124"/>
      <c r="BV2064" s="124"/>
    </row>
    <row r="2065" spans="72:74" x14ac:dyDescent="0.2">
      <c r="BT2065" s="124"/>
      <c r="BU2065" s="124"/>
      <c r="BV2065" s="124"/>
    </row>
    <row r="2066" spans="72:74" x14ac:dyDescent="0.2">
      <c r="BT2066" s="124"/>
      <c r="BU2066" s="124"/>
      <c r="BV2066" s="124"/>
    </row>
    <row r="2067" spans="72:74" x14ac:dyDescent="0.2">
      <c r="BT2067" s="124"/>
      <c r="BU2067" s="124"/>
      <c r="BV2067" s="124"/>
    </row>
    <row r="2068" spans="72:74" x14ac:dyDescent="0.2">
      <c r="BT2068" s="124"/>
      <c r="BU2068" s="124"/>
      <c r="BV2068" s="124"/>
    </row>
    <row r="2069" spans="72:74" x14ac:dyDescent="0.2">
      <c r="BT2069" s="124"/>
      <c r="BU2069" s="124"/>
      <c r="BV2069" s="124"/>
    </row>
    <row r="2070" spans="72:74" x14ac:dyDescent="0.2">
      <c r="BT2070" s="124"/>
      <c r="BU2070" s="124"/>
      <c r="BV2070" s="124"/>
    </row>
    <row r="2071" spans="72:74" x14ac:dyDescent="0.2">
      <c r="BT2071" s="124"/>
      <c r="BU2071" s="124"/>
      <c r="BV2071" s="124"/>
    </row>
    <row r="2072" spans="72:74" x14ac:dyDescent="0.2">
      <c r="BT2072" s="124"/>
      <c r="BU2072" s="124"/>
      <c r="BV2072" s="124"/>
    </row>
    <row r="2073" spans="72:74" x14ac:dyDescent="0.2">
      <c r="BT2073" s="124"/>
      <c r="BU2073" s="124"/>
      <c r="BV2073" s="124"/>
    </row>
    <row r="2074" spans="72:74" x14ac:dyDescent="0.2">
      <c r="BT2074" s="124"/>
      <c r="BU2074" s="124"/>
      <c r="BV2074" s="124"/>
    </row>
    <row r="2075" spans="72:74" x14ac:dyDescent="0.2">
      <c r="BT2075" s="124"/>
      <c r="BU2075" s="124"/>
      <c r="BV2075" s="124"/>
    </row>
    <row r="2076" spans="72:74" x14ac:dyDescent="0.2">
      <c r="BT2076" s="124"/>
      <c r="BU2076" s="124"/>
      <c r="BV2076" s="124"/>
    </row>
    <row r="2077" spans="72:74" x14ac:dyDescent="0.2">
      <c r="BT2077" s="124"/>
      <c r="BU2077" s="124"/>
      <c r="BV2077" s="124"/>
    </row>
    <row r="2078" spans="72:74" x14ac:dyDescent="0.2">
      <c r="BT2078" s="124"/>
      <c r="BU2078" s="124"/>
      <c r="BV2078" s="124"/>
    </row>
    <row r="2079" spans="72:74" x14ac:dyDescent="0.2">
      <c r="BT2079" s="124"/>
      <c r="BU2079" s="124"/>
      <c r="BV2079" s="124"/>
    </row>
    <row r="2080" spans="72:74" x14ac:dyDescent="0.2">
      <c r="BT2080" s="124"/>
      <c r="BU2080" s="124"/>
      <c r="BV2080" s="124"/>
    </row>
    <row r="2081" spans="72:74" x14ac:dyDescent="0.2">
      <c r="BT2081" s="124"/>
      <c r="BU2081" s="124"/>
      <c r="BV2081" s="124"/>
    </row>
    <row r="2082" spans="72:74" x14ac:dyDescent="0.2">
      <c r="BT2082" s="124"/>
      <c r="BU2082" s="124"/>
      <c r="BV2082" s="124"/>
    </row>
    <row r="2083" spans="72:74" x14ac:dyDescent="0.2">
      <c r="BT2083" s="124"/>
      <c r="BU2083" s="124"/>
      <c r="BV2083" s="124"/>
    </row>
    <row r="2084" spans="72:74" x14ac:dyDescent="0.2">
      <c r="BT2084" s="124"/>
      <c r="BU2084" s="124"/>
      <c r="BV2084" s="124"/>
    </row>
    <row r="2085" spans="72:74" x14ac:dyDescent="0.2">
      <c r="BT2085" s="124"/>
      <c r="BU2085" s="124"/>
      <c r="BV2085" s="124"/>
    </row>
    <row r="2086" spans="72:74" x14ac:dyDescent="0.2">
      <c r="BT2086" s="124"/>
      <c r="BU2086" s="124"/>
      <c r="BV2086" s="124"/>
    </row>
    <row r="2087" spans="72:74" x14ac:dyDescent="0.2">
      <c r="BT2087" s="124"/>
      <c r="BU2087" s="124"/>
      <c r="BV2087" s="124"/>
    </row>
    <row r="2088" spans="72:74" x14ac:dyDescent="0.2">
      <c r="BT2088" s="124"/>
      <c r="BU2088" s="124"/>
      <c r="BV2088" s="124"/>
    </row>
    <row r="2089" spans="72:74" x14ac:dyDescent="0.2">
      <c r="BT2089" s="124"/>
      <c r="BU2089" s="124"/>
      <c r="BV2089" s="124"/>
    </row>
    <row r="2090" spans="72:74" x14ac:dyDescent="0.2">
      <c r="BT2090" s="124"/>
      <c r="BU2090" s="124"/>
      <c r="BV2090" s="124"/>
    </row>
    <row r="2091" spans="72:74" x14ac:dyDescent="0.2">
      <c r="BT2091" s="124"/>
      <c r="BU2091" s="124"/>
      <c r="BV2091" s="124"/>
    </row>
    <row r="2092" spans="72:74" x14ac:dyDescent="0.2">
      <c r="BT2092" s="124"/>
      <c r="BU2092" s="124"/>
      <c r="BV2092" s="124"/>
    </row>
    <row r="2093" spans="72:74" x14ac:dyDescent="0.2">
      <c r="BT2093" s="124"/>
      <c r="BU2093" s="124"/>
      <c r="BV2093" s="124"/>
    </row>
    <row r="2094" spans="72:74" x14ac:dyDescent="0.2">
      <c r="BT2094" s="124"/>
      <c r="BU2094" s="124"/>
      <c r="BV2094" s="124"/>
    </row>
    <row r="2095" spans="72:74" x14ac:dyDescent="0.2">
      <c r="BT2095" s="124"/>
      <c r="BU2095" s="124"/>
      <c r="BV2095" s="124"/>
    </row>
    <row r="2096" spans="72:74" x14ac:dyDescent="0.2">
      <c r="BT2096" s="124"/>
      <c r="BU2096" s="124"/>
      <c r="BV2096" s="124"/>
    </row>
    <row r="2097" spans="72:74" x14ac:dyDescent="0.2">
      <c r="BT2097" s="124"/>
      <c r="BU2097" s="124"/>
      <c r="BV2097" s="124"/>
    </row>
    <row r="2098" spans="72:74" x14ac:dyDescent="0.2">
      <c r="BT2098" s="124"/>
      <c r="BU2098" s="124"/>
      <c r="BV2098" s="124"/>
    </row>
    <row r="2099" spans="72:74" x14ac:dyDescent="0.2">
      <c r="BT2099" s="124"/>
      <c r="BU2099" s="124"/>
      <c r="BV2099" s="124"/>
    </row>
    <row r="2100" spans="72:74" x14ac:dyDescent="0.2">
      <c r="BT2100" s="124"/>
      <c r="BU2100" s="124"/>
      <c r="BV2100" s="124"/>
    </row>
    <row r="2101" spans="72:74" x14ac:dyDescent="0.2">
      <c r="BT2101" s="124"/>
      <c r="BU2101" s="124"/>
      <c r="BV2101" s="124"/>
    </row>
    <row r="2102" spans="72:74" x14ac:dyDescent="0.2">
      <c r="BT2102" s="124"/>
      <c r="BU2102" s="124"/>
      <c r="BV2102" s="124"/>
    </row>
    <row r="2103" spans="72:74" x14ac:dyDescent="0.2">
      <c r="BT2103" s="124"/>
      <c r="BU2103" s="124"/>
      <c r="BV2103" s="124"/>
    </row>
    <row r="2104" spans="72:74" x14ac:dyDescent="0.2">
      <c r="BT2104" s="124"/>
      <c r="BU2104" s="124"/>
      <c r="BV2104" s="124"/>
    </row>
    <row r="2105" spans="72:74" x14ac:dyDescent="0.2">
      <c r="BT2105" s="124"/>
      <c r="BU2105" s="124"/>
      <c r="BV2105" s="124"/>
    </row>
    <row r="2106" spans="72:74" x14ac:dyDescent="0.2">
      <c r="BT2106" s="124"/>
      <c r="BU2106" s="124"/>
      <c r="BV2106" s="124"/>
    </row>
    <row r="2107" spans="72:74" x14ac:dyDescent="0.2">
      <c r="BT2107" s="124"/>
      <c r="BU2107" s="124"/>
      <c r="BV2107" s="124"/>
    </row>
    <row r="2108" spans="72:74" x14ac:dyDescent="0.2">
      <c r="BT2108" s="124"/>
      <c r="BU2108" s="124"/>
      <c r="BV2108" s="124"/>
    </row>
    <row r="2109" spans="72:74" x14ac:dyDescent="0.2">
      <c r="BT2109" s="124"/>
      <c r="BU2109" s="124"/>
      <c r="BV2109" s="124"/>
    </row>
    <row r="2110" spans="72:74" x14ac:dyDescent="0.2">
      <c r="BT2110" s="124"/>
      <c r="BU2110" s="124"/>
      <c r="BV2110" s="124"/>
    </row>
    <row r="2111" spans="72:74" x14ac:dyDescent="0.2">
      <c r="BT2111" s="124"/>
      <c r="BU2111" s="124"/>
      <c r="BV2111" s="124"/>
    </row>
    <row r="2112" spans="72:74" x14ac:dyDescent="0.2">
      <c r="BT2112" s="124"/>
      <c r="BU2112" s="124"/>
      <c r="BV2112" s="124"/>
    </row>
    <row r="2113" spans="72:74" x14ac:dyDescent="0.2">
      <c r="BT2113" s="124"/>
      <c r="BU2113" s="124"/>
      <c r="BV2113" s="124"/>
    </row>
    <row r="2114" spans="72:74" x14ac:dyDescent="0.2">
      <c r="BT2114" s="124"/>
      <c r="BU2114" s="124"/>
      <c r="BV2114" s="124"/>
    </row>
    <row r="2115" spans="72:74" x14ac:dyDescent="0.2">
      <c r="BT2115" s="124"/>
      <c r="BU2115" s="124"/>
      <c r="BV2115" s="124"/>
    </row>
    <row r="2116" spans="72:74" x14ac:dyDescent="0.2">
      <c r="BT2116" s="124"/>
      <c r="BU2116" s="124"/>
      <c r="BV2116" s="124"/>
    </row>
    <row r="2117" spans="72:74" x14ac:dyDescent="0.2">
      <c r="BT2117" s="124"/>
      <c r="BU2117" s="124"/>
      <c r="BV2117" s="124"/>
    </row>
    <row r="2118" spans="72:74" x14ac:dyDescent="0.2">
      <c r="BT2118" s="124"/>
      <c r="BU2118" s="124"/>
      <c r="BV2118" s="124"/>
    </row>
    <row r="2119" spans="72:74" x14ac:dyDescent="0.2">
      <c r="BT2119" s="124"/>
      <c r="BU2119" s="124"/>
      <c r="BV2119" s="124"/>
    </row>
    <row r="2120" spans="72:74" x14ac:dyDescent="0.2">
      <c r="BT2120" s="124"/>
      <c r="BU2120" s="124"/>
      <c r="BV2120" s="124"/>
    </row>
    <row r="2121" spans="72:74" x14ac:dyDescent="0.2">
      <c r="BT2121" s="124"/>
      <c r="BU2121" s="124"/>
      <c r="BV2121" s="124"/>
    </row>
    <row r="2122" spans="72:74" x14ac:dyDescent="0.2">
      <c r="BT2122" s="124"/>
      <c r="BU2122" s="124"/>
      <c r="BV2122" s="124"/>
    </row>
    <row r="2123" spans="72:74" x14ac:dyDescent="0.2">
      <c r="BT2123" s="124"/>
      <c r="BU2123" s="124"/>
      <c r="BV2123" s="124"/>
    </row>
    <row r="2124" spans="72:74" x14ac:dyDescent="0.2">
      <c r="BT2124" s="124"/>
      <c r="BU2124" s="124"/>
      <c r="BV2124" s="124"/>
    </row>
    <row r="2125" spans="72:74" x14ac:dyDescent="0.2">
      <c r="BT2125" s="124"/>
      <c r="BU2125" s="124"/>
      <c r="BV2125" s="124"/>
    </row>
    <row r="2126" spans="72:74" x14ac:dyDescent="0.2">
      <c r="BT2126" s="124"/>
      <c r="BU2126" s="124"/>
      <c r="BV2126" s="124"/>
    </row>
    <row r="2127" spans="72:74" x14ac:dyDescent="0.2">
      <c r="BT2127" s="124"/>
      <c r="BU2127" s="124"/>
      <c r="BV2127" s="124"/>
    </row>
    <row r="2128" spans="72:74" x14ac:dyDescent="0.2">
      <c r="BT2128" s="124"/>
      <c r="BU2128" s="124"/>
      <c r="BV2128" s="124"/>
    </row>
    <row r="2129" spans="72:74" x14ac:dyDescent="0.2">
      <c r="BT2129" s="124"/>
      <c r="BU2129" s="124"/>
      <c r="BV2129" s="124"/>
    </row>
    <row r="2130" spans="72:74" x14ac:dyDescent="0.2">
      <c r="BT2130" s="124"/>
      <c r="BU2130" s="124"/>
      <c r="BV2130" s="124"/>
    </row>
    <row r="2131" spans="72:74" x14ac:dyDescent="0.2">
      <c r="BT2131" s="124"/>
      <c r="BU2131" s="124"/>
      <c r="BV2131" s="124"/>
    </row>
    <row r="2132" spans="72:74" x14ac:dyDescent="0.2">
      <c r="BT2132" s="124"/>
      <c r="BU2132" s="124"/>
      <c r="BV2132" s="124"/>
    </row>
    <row r="2133" spans="72:74" x14ac:dyDescent="0.2">
      <c r="BT2133" s="124"/>
      <c r="BU2133" s="124"/>
      <c r="BV2133" s="124"/>
    </row>
    <row r="2134" spans="72:74" x14ac:dyDescent="0.2">
      <c r="BT2134" s="124"/>
      <c r="BU2134" s="124"/>
      <c r="BV2134" s="124"/>
    </row>
    <row r="2135" spans="72:74" x14ac:dyDescent="0.2">
      <c r="BT2135" s="124"/>
      <c r="BU2135" s="124"/>
      <c r="BV2135" s="124"/>
    </row>
    <row r="2136" spans="72:74" x14ac:dyDescent="0.2">
      <c r="BT2136" s="124"/>
      <c r="BU2136" s="124"/>
      <c r="BV2136" s="124"/>
    </row>
    <row r="2137" spans="72:74" x14ac:dyDescent="0.2">
      <c r="BT2137" s="124"/>
      <c r="BU2137" s="124"/>
      <c r="BV2137" s="124"/>
    </row>
    <row r="2138" spans="72:74" x14ac:dyDescent="0.2">
      <c r="BT2138" s="124"/>
      <c r="BU2138" s="124"/>
      <c r="BV2138" s="124"/>
    </row>
    <row r="2139" spans="72:74" x14ac:dyDescent="0.2">
      <c r="BT2139" s="124"/>
      <c r="BU2139" s="124"/>
      <c r="BV2139" s="124"/>
    </row>
    <row r="2140" spans="72:74" x14ac:dyDescent="0.2">
      <c r="BT2140" s="124"/>
      <c r="BU2140" s="124"/>
      <c r="BV2140" s="124"/>
    </row>
    <row r="2141" spans="72:74" x14ac:dyDescent="0.2">
      <c r="BT2141" s="124"/>
      <c r="BU2141" s="124"/>
      <c r="BV2141" s="124"/>
    </row>
    <row r="2142" spans="72:74" x14ac:dyDescent="0.2">
      <c r="BT2142" s="124"/>
      <c r="BU2142" s="124"/>
      <c r="BV2142" s="124"/>
    </row>
    <row r="2143" spans="72:74" x14ac:dyDescent="0.2">
      <c r="BT2143" s="124"/>
      <c r="BU2143" s="124"/>
      <c r="BV2143" s="124"/>
    </row>
    <row r="2144" spans="72:74" x14ac:dyDescent="0.2">
      <c r="BT2144" s="124"/>
      <c r="BU2144" s="124"/>
      <c r="BV2144" s="124"/>
    </row>
    <row r="2145" spans="72:74" x14ac:dyDescent="0.2">
      <c r="BT2145" s="124"/>
      <c r="BU2145" s="124"/>
      <c r="BV2145" s="124"/>
    </row>
    <row r="2146" spans="72:74" x14ac:dyDescent="0.2">
      <c r="BT2146" s="124"/>
      <c r="BU2146" s="124"/>
      <c r="BV2146" s="124"/>
    </row>
    <row r="2147" spans="72:74" x14ac:dyDescent="0.2">
      <c r="BT2147" s="124"/>
      <c r="BU2147" s="124"/>
      <c r="BV2147" s="124"/>
    </row>
    <row r="2148" spans="72:74" x14ac:dyDescent="0.2">
      <c r="BT2148" s="124"/>
      <c r="BU2148" s="124"/>
      <c r="BV2148" s="124"/>
    </row>
    <row r="2149" spans="72:74" x14ac:dyDescent="0.2">
      <c r="BT2149" s="124"/>
      <c r="BU2149" s="124"/>
      <c r="BV2149" s="124"/>
    </row>
    <row r="2150" spans="72:74" x14ac:dyDescent="0.2">
      <c r="BT2150" s="124"/>
      <c r="BU2150" s="124"/>
      <c r="BV2150" s="124"/>
    </row>
    <row r="2151" spans="72:74" x14ac:dyDescent="0.2">
      <c r="BT2151" s="124"/>
      <c r="BU2151" s="124"/>
      <c r="BV2151" s="124"/>
    </row>
    <row r="2152" spans="72:74" x14ac:dyDescent="0.2">
      <c r="BT2152" s="124"/>
      <c r="BU2152" s="124"/>
      <c r="BV2152" s="124"/>
    </row>
    <row r="2153" spans="72:74" x14ac:dyDescent="0.2">
      <c r="BT2153" s="124"/>
      <c r="BU2153" s="124"/>
      <c r="BV2153" s="124"/>
    </row>
    <row r="2154" spans="72:74" x14ac:dyDescent="0.2">
      <c r="BT2154" s="124"/>
      <c r="BU2154" s="124"/>
      <c r="BV2154" s="124"/>
    </row>
    <row r="2155" spans="72:74" x14ac:dyDescent="0.2">
      <c r="BT2155" s="124"/>
      <c r="BU2155" s="124"/>
      <c r="BV2155" s="124"/>
    </row>
    <row r="2156" spans="72:74" x14ac:dyDescent="0.2">
      <c r="BT2156" s="124"/>
      <c r="BU2156" s="124"/>
      <c r="BV2156" s="124"/>
    </row>
    <row r="2157" spans="72:74" x14ac:dyDescent="0.2">
      <c r="BT2157" s="124"/>
      <c r="BU2157" s="124"/>
      <c r="BV2157" s="124"/>
    </row>
    <row r="2158" spans="72:74" x14ac:dyDescent="0.2">
      <c r="BT2158" s="124"/>
      <c r="BU2158" s="124"/>
      <c r="BV2158" s="124"/>
    </row>
    <row r="2159" spans="72:74" x14ac:dyDescent="0.2">
      <c r="BT2159" s="124"/>
      <c r="BU2159" s="124"/>
      <c r="BV2159" s="124"/>
    </row>
    <row r="2160" spans="72:74" x14ac:dyDescent="0.2">
      <c r="BT2160" s="124"/>
      <c r="BU2160" s="124"/>
      <c r="BV2160" s="124"/>
    </row>
    <row r="2161" spans="72:74" x14ac:dyDescent="0.2">
      <c r="BT2161" s="124"/>
      <c r="BU2161" s="124"/>
      <c r="BV2161" s="124"/>
    </row>
    <row r="2162" spans="72:74" x14ac:dyDescent="0.2">
      <c r="BT2162" s="124"/>
      <c r="BU2162" s="124"/>
      <c r="BV2162" s="124"/>
    </row>
    <row r="2163" spans="72:74" x14ac:dyDescent="0.2">
      <c r="BT2163" s="124"/>
      <c r="BU2163" s="124"/>
      <c r="BV2163" s="124"/>
    </row>
    <row r="2164" spans="72:74" x14ac:dyDescent="0.2">
      <c r="BT2164" s="124"/>
      <c r="BU2164" s="124"/>
      <c r="BV2164" s="124"/>
    </row>
    <row r="2165" spans="72:74" x14ac:dyDescent="0.2">
      <c r="BT2165" s="124"/>
      <c r="BU2165" s="124"/>
      <c r="BV2165" s="124"/>
    </row>
    <row r="2166" spans="72:74" x14ac:dyDescent="0.2">
      <c r="BT2166" s="124"/>
      <c r="BU2166" s="124"/>
      <c r="BV2166" s="124"/>
    </row>
    <row r="2167" spans="72:74" x14ac:dyDescent="0.2">
      <c r="BT2167" s="124"/>
      <c r="BU2167" s="124"/>
      <c r="BV2167" s="124"/>
    </row>
    <row r="2168" spans="72:74" x14ac:dyDescent="0.2">
      <c r="BT2168" s="124"/>
      <c r="BU2168" s="124"/>
      <c r="BV2168" s="124"/>
    </row>
    <row r="2169" spans="72:74" x14ac:dyDescent="0.2">
      <c r="BT2169" s="124"/>
      <c r="BU2169" s="124"/>
      <c r="BV2169" s="124"/>
    </row>
    <row r="2170" spans="72:74" x14ac:dyDescent="0.2">
      <c r="BT2170" s="124"/>
      <c r="BU2170" s="124"/>
      <c r="BV2170" s="124"/>
    </row>
    <row r="2171" spans="72:74" x14ac:dyDescent="0.2">
      <c r="BT2171" s="124"/>
      <c r="BU2171" s="124"/>
      <c r="BV2171" s="124"/>
    </row>
    <row r="2172" spans="72:74" x14ac:dyDescent="0.2">
      <c r="BT2172" s="124"/>
      <c r="BU2172" s="124"/>
      <c r="BV2172" s="124"/>
    </row>
    <row r="2173" spans="72:74" x14ac:dyDescent="0.2">
      <c r="BT2173" s="124"/>
      <c r="BU2173" s="124"/>
      <c r="BV2173" s="124"/>
    </row>
    <row r="2174" spans="72:74" x14ac:dyDescent="0.2">
      <c r="BT2174" s="124"/>
      <c r="BU2174" s="124"/>
      <c r="BV2174" s="124"/>
    </row>
    <row r="2175" spans="72:74" x14ac:dyDescent="0.2">
      <c r="BT2175" s="124"/>
      <c r="BU2175" s="124"/>
      <c r="BV2175" s="124"/>
    </row>
    <row r="2176" spans="72:74" x14ac:dyDescent="0.2">
      <c r="BT2176" s="124"/>
      <c r="BU2176" s="124"/>
      <c r="BV2176" s="124"/>
    </row>
    <row r="2177" spans="72:74" x14ac:dyDescent="0.2">
      <c r="BT2177" s="124"/>
      <c r="BU2177" s="124"/>
      <c r="BV2177" s="124"/>
    </row>
    <row r="2178" spans="72:74" x14ac:dyDescent="0.2">
      <c r="BT2178" s="124"/>
      <c r="BU2178" s="124"/>
      <c r="BV2178" s="124"/>
    </row>
    <row r="2179" spans="72:74" x14ac:dyDescent="0.2">
      <c r="BT2179" s="124"/>
      <c r="BU2179" s="124"/>
      <c r="BV2179" s="124"/>
    </row>
    <row r="2180" spans="72:74" x14ac:dyDescent="0.2">
      <c r="BT2180" s="124"/>
      <c r="BU2180" s="124"/>
      <c r="BV2180" s="124"/>
    </row>
    <row r="2181" spans="72:74" x14ac:dyDescent="0.2">
      <c r="BT2181" s="124"/>
      <c r="BU2181" s="124"/>
      <c r="BV2181" s="124"/>
    </row>
    <row r="2182" spans="72:74" x14ac:dyDescent="0.2">
      <c r="BT2182" s="124"/>
      <c r="BU2182" s="124"/>
      <c r="BV2182" s="124"/>
    </row>
    <row r="2183" spans="72:74" x14ac:dyDescent="0.2">
      <c r="BT2183" s="124"/>
      <c r="BU2183" s="124"/>
      <c r="BV2183" s="124"/>
    </row>
    <row r="2184" spans="72:74" x14ac:dyDescent="0.2">
      <c r="BT2184" s="124"/>
      <c r="BU2184" s="124"/>
      <c r="BV2184" s="124"/>
    </row>
    <row r="2185" spans="72:74" x14ac:dyDescent="0.2">
      <c r="BT2185" s="124"/>
      <c r="BU2185" s="124"/>
      <c r="BV2185" s="124"/>
    </row>
    <row r="2186" spans="72:74" x14ac:dyDescent="0.2">
      <c r="BT2186" s="124"/>
      <c r="BU2186" s="124"/>
      <c r="BV2186" s="124"/>
    </row>
    <row r="2187" spans="72:74" x14ac:dyDescent="0.2">
      <c r="BT2187" s="124"/>
      <c r="BU2187" s="124"/>
      <c r="BV2187" s="124"/>
    </row>
    <row r="2188" spans="72:74" x14ac:dyDescent="0.2">
      <c r="BT2188" s="124"/>
      <c r="BU2188" s="124"/>
      <c r="BV2188" s="124"/>
    </row>
    <row r="2189" spans="72:74" x14ac:dyDescent="0.2">
      <c r="BT2189" s="124"/>
      <c r="BU2189" s="124"/>
      <c r="BV2189" s="124"/>
    </row>
    <row r="2190" spans="72:74" x14ac:dyDescent="0.2">
      <c r="BT2190" s="124"/>
      <c r="BU2190" s="124"/>
      <c r="BV2190" s="124"/>
    </row>
    <row r="2191" spans="72:74" x14ac:dyDescent="0.2">
      <c r="BT2191" s="124"/>
      <c r="BU2191" s="124"/>
      <c r="BV2191" s="124"/>
    </row>
    <row r="2192" spans="72:74" x14ac:dyDescent="0.2">
      <c r="BT2192" s="124"/>
      <c r="BU2192" s="124"/>
      <c r="BV2192" s="124"/>
    </row>
    <row r="2193" spans="72:74" x14ac:dyDescent="0.2">
      <c r="BT2193" s="124"/>
      <c r="BU2193" s="124"/>
      <c r="BV2193" s="124"/>
    </row>
    <row r="2194" spans="72:74" x14ac:dyDescent="0.2">
      <c r="BT2194" s="124"/>
      <c r="BU2194" s="124"/>
      <c r="BV2194" s="124"/>
    </row>
    <row r="2195" spans="72:74" x14ac:dyDescent="0.2">
      <c r="BT2195" s="124"/>
      <c r="BU2195" s="124"/>
      <c r="BV2195" s="124"/>
    </row>
    <row r="2196" spans="72:74" x14ac:dyDescent="0.2">
      <c r="BT2196" s="124"/>
      <c r="BU2196" s="124"/>
      <c r="BV2196" s="124"/>
    </row>
    <row r="2197" spans="72:74" x14ac:dyDescent="0.2">
      <c r="BT2197" s="124"/>
      <c r="BU2197" s="124"/>
      <c r="BV2197" s="124"/>
    </row>
    <row r="2198" spans="72:74" x14ac:dyDescent="0.2">
      <c r="BT2198" s="124"/>
      <c r="BU2198" s="124"/>
      <c r="BV2198" s="124"/>
    </row>
    <row r="2199" spans="72:74" x14ac:dyDescent="0.2">
      <c r="BT2199" s="124"/>
      <c r="BU2199" s="124"/>
      <c r="BV2199" s="124"/>
    </row>
    <row r="2200" spans="72:74" x14ac:dyDescent="0.2">
      <c r="BT2200" s="124"/>
      <c r="BU2200" s="124"/>
      <c r="BV2200" s="124"/>
    </row>
    <row r="2201" spans="72:74" x14ac:dyDescent="0.2">
      <c r="BT2201" s="124"/>
      <c r="BU2201" s="124"/>
      <c r="BV2201" s="124"/>
    </row>
    <row r="2202" spans="72:74" x14ac:dyDescent="0.2">
      <c r="BT2202" s="124"/>
      <c r="BU2202" s="124"/>
      <c r="BV2202" s="124"/>
    </row>
    <row r="2203" spans="72:74" x14ac:dyDescent="0.2">
      <c r="BT2203" s="124"/>
      <c r="BU2203" s="124"/>
      <c r="BV2203" s="124"/>
    </row>
    <row r="2204" spans="72:74" x14ac:dyDescent="0.2">
      <c r="BT2204" s="124"/>
      <c r="BU2204" s="124"/>
      <c r="BV2204" s="124"/>
    </row>
    <row r="2205" spans="72:74" x14ac:dyDescent="0.2">
      <c r="BT2205" s="124"/>
      <c r="BU2205" s="124"/>
      <c r="BV2205" s="124"/>
    </row>
    <row r="2206" spans="72:74" x14ac:dyDescent="0.2">
      <c r="BT2206" s="124"/>
      <c r="BU2206" s="124"/>
      <c r="BV2206" s="124"/>
    </row>
    <row r="2207" spans="72:74" x14ac:dyDescent="0.2">
      <c r="BT2207" s="124"/>
      <c r="BU2207" s="124"/>
      <c r="BV2207" s="124"/>
    </row>
    <row r="2208" spans="72:74" x14ac:dyDescent="0.2">
      <c r="BT2208" s="124"/>
      <c r="BU2208" s="124"/>
      <c r="BV2208" s="124"/>
    </row>
    <row r="2209" spans="72:74" x14ac:dyDescent="0.2">
      <c r="BT2209" s="124"/>
      <c r="BU2209" s="124"/>
      <c r="BV2209" s="124"/>
    </row>
    <row r="2210" spans="72:74" x14ac:dyDescent="0.2">
      <c r="BT2210" s="124"/>
      <c r="BU2210" s="124"/>
      <c r="BV2210" s="124"/>
    </row>
    <row r="2211" spans="72:74" x14ac:dyDescent="0.2">
      <c r="BT2211" s="124"/>
      <c r="BU2211" s="124"/>
      <c r="BV2211" s="124"/>
    </row>
    <row r="2212" spans="72:74" x14ac:dyDescent="0.2">
      <c r="BT2212" s="124"/>
      <c r="BU2212" s="124"/>
      <c r="BV2212" s="124"/>
    </row>
    <row r="2213" spans="72:74" x14ac:dyDescent="0.2">
      <c r="BT2213" s="124"/>
      <c r="BU2213" s="124"/>
      <c r="BV2213" s="124"/>
    </row>
    <row r="2214" spans="72:74" x14ac:dyDescent="0.2">
      <c r="BT2214" s="124"/>
      <c r="BU2214" s="124"/>
      <c r="BV2214" s="124"/>
    </row>
    <row r="2215" spans="72:74" x14ac:dyDescent="0.2">
      <c r="BT2215" s="124"/>
      <c r="BU2215" s="124"/>
      <c r="BV2215" s="124"/>
    </row>
    <row r="2216" spans="72:74" x14ac:dyDescent="0.2">
      <c r="BT2216" s="124"/>
      <c r="BU2216" s="124"/>
      <c r="BV2216" s="124"/>
    </row>
    <row r="2217" spans="72:74" x14ac:dyDescent="0.2">
      <c r="BT2217" s="124"/>
      <c r="BU2217" s="124"/>
      <c r="BV2217" s="124"/>
    </row>
    <row r="2218" spans="72:74" x14ac:dyDescent="0.2">
      <c r="BT2218" s="124"/>
      <c r="BU2218" s="124"/>
      <c r="BV2218" s="124"/>
    </row>
    <row r="2219" spans="72:74" x14ac:dyDescent="0.2">
      <c r="BT2219" s="124"/>
      <c r="BU2219" s="124"/>
      <c r="BV2219" s="124"/>
    </row>
    <row r="2220" spans="72:74" x14ac:dyDescent="0.2">
      <c r="BT2220" s="124"/>
      <c r="BU2220" s="124"/>
      <c r="BV2220" s="124"/>
    </row>
    <row r="2221" spans="72:74" x14ac:dyDescent="0.2">
      <c r="BT2221" s="124"/>
      <c r="BU2221" s="124"/>
      <c r="BV2221" s="124"/>
    </row>
    <row r="2222" spans="72:74" x14ac:dyDescent="0.2">
      <c r="BT2222" s="124"/>
      <c r="BU2222" s="124"/>
      <c r="BV2222" s="124"/>
    </row>
    <row r="2223" spans="72:74" x14ac:dyDescent="0.2">
      <c r="BT2223" s="124"/>
      <c r="BU2223" s="124"/>
      <c r="BV2223" s="124"/>
    </row>
    <row r="2224" spans="72:74" x14ac:dyDescent="0.2">
      <c r="BT2224" s="124"/>
      <c r="BU2224" s="124"/>
      <c r="BV2224" s="124"/>
    </row>
    <row r="2225" spans="72:74" x14ac:dyDescent="0.2">
      <c r="BT2225" s="124"/>
      <c r="BU2225" s="124"/>
      <c r="BV2225" s="124"/>
    </row>
    <row r="2226" spans="72:74" x14ac:dyDescent="0.2">
      <c r="BT2226" s="124"/>
      <c r="BU2226" s="124"/>
      <c r="BV2226" s="124"/>
    </row>
    <row r="2227" spans="72:74" x14ac:dyDescent="0.2">
      <c r="BT2227" s="124"/>
      <c r="BU2227" s="124"/>
      <c r="BV2227" s="124"/>
    </row>
    <row r="2228" spans="72:74" x14ac:dyDescent="0.2">
      <c r="BT2228" s="124"/>
      <c r="BU2228" s="124"/>
      <c r="BV2228" s="124"/>
    </row>
    <row r="2229" spans="72:74" x14ac:dyDescent="0.2">
      <c r="BT2229" s="124"/>
      <c r="BU2229" s="124"/>
      <c r="BV2229" s="124"/>
    </row>
    <row r="2230" spans="72:74" x14ac:dyDescent="0.2">
      <c r="BT2230" s="124"/>
      <c r="BU2230" s="124"/>
      <c r="BV2230" s="124"/>
    </row>
    <row r="2231" spans="72:74" x14ac:dyDescent="0.2">
      <c r="BT2231" s="124"/>
      <c r="BU2231" s="124"/>
      <c r="BV2231" s="124"/>
    </row>
    <row r="2232" spans="72:74" x14ac:dyDescent="0.2">
      <c r="BT2232" s="124"/>
      <c r="BU2232" s="124"/>
      <c r="BV2232" s="124"/>
    </row>
    <row r="2233" spans="72:74" x14ac:dyDescent="0.2">
      <c r="BT2233" s="124"/>
      <c r="BU2233" s="124"/>
      <c r="BV2233" s="124"/>
    </row>
    <row r="2234" spans="72:74" x14ac:dyDescent="0.2">
      <c r="BT2234" s="124"/>
      <c r="BU2234" s="124"/>
      <c r="BV2234" s="124"/>
    </row>
    <row r="2235" spans="72:74" x14ac:dyDescent="0.2">
      <c r="BT2235" s="124"/>
      <c r="BU2235" s="124"/>
      <c r="BV2235" s="124"/>
    </row>
    <row r="2236" spans="72:74" x14ac:dyDescent="0.2">
      <c r="BT2236" s="124"/>
      <c r="BU2236" s="124"/>
      <c r="BV2236" s="124"/>
    </row>
    <row r="2237" spans="72:74" x14ac:dyDescent="0.2">
      <c r="BT2237" s="124"/>
      <c r="BU2237" s="124"/>
      <c r="BV2237" s="124"/>
    </row>
    <row r="2238" spans="72:74" x14ac:dyDescent="0.2">
      <c r="BT2238" s="124"/>
      <c r="BU2238" s="124"/>
      <c r="BV2238" s="124"/>
    </row>
    <row r="2239" spans="72:74" x14ac:dyDescent="0.2">
      <c r="BT2239" s="124"/>
      <c r="BU2239" s="124"/>
      <c r="BV2239" s="124"/>
    </row>
    <row r="2240" spans="72:74" x14ac:dyDescent="0.2">
      <c r="BT2240" s="124"/>
      <c r="BU2240" s="124"/>
      <c r="BV2240" s="124"/>
    </row>
    <row r="2241" spans="72:74" x14ac:dyDescent="0.2">
      <c r="BT2241" s="124"/>
      <c r="BU2241" s="124"/>
      <c r="BV2241" s="124"/>
    </row>
    <row r="2242" spans="72:74" x14ac:dyDescent="0.2">
      <c r="BT2242" s="124"/>
      <c r="BU2242" s="124"/>
      <c r="BV2242" s="124"/>
    </row>
    <row r="2243" spans="72:74" x14ac:dyDescent="0.2">
      <c r="BT2243" s="124"/>
      <c r="BU2243" s="124"/>
      <c r="BV2243" s="124"/>
    </row>
    <row r="2244" spans="72:74" x14ac:dyDescent="0.2">
      <c r="BT2244" s="124"/>
      <c r="BU2244" s="124"/>
      <c r="BV2244" s="124"/>
    </row>
    <row r="2245" spans="72:74" x14ac:dyDescent="0.2">
      <c r="BT2245" s="124"/>
      <c r="BU2245" s="124"/>
      <c r="BV2245" s="124"/>
    </row>
    <row r="2246" spans="72:74" x14ac:dyDescent="0.2">
      <c r="BT2246" s="124"/>
      <c r="BU2246" s="124"/>
      <c r="BV2246" s="124"/>
    </row>
    <row r="2247" spans="72:74" x14ac:dyDescent="0.2">
      <c r="BT2247" s="124"/>
      <c r="BU2247" s="124"/>
      <c r="BV2247" s="124"/>
    </row>
    <row r="2248" spans="72:74" x14ac:dyDescent="0.2">
      <c r="BT2248" s="124"/>
      <c r="BU2248" s="124"/>
      <c r="BV2248" s="124"/>
    </row>
    <row r="2249" spans="72:74" x14ac:dyDescent="0.2">
      <c r="BT2249" s="124"/>
      <c r="BU2249" s="124"/>
      <c r="BV2249" s="124"/>
    </row>
    <row r="2250" spans="72:74" x14ac:dyDescent="0.2">
      <c r="BT2250" s="124"/>
      <c r="BU2250" s="124"/>
      <c r="BV2250" s="124"/>
    </row>
    <row r="2251" spans="72:74" x14ac:dyDescent="0.2">
      <c r="BT2251" s="124"/>
      <c r="BU2251" s="124"/>
      <c r="BV2251" s="124"/>
    </row>
    <row r="2252" spans="72:74" x14ac:dyDescent="0.2">
      <c r="BT2252" s="124"/>
      <c r="BU2252" s="124"/>
      <c r="BV2252" s="124"/>
    </row>
    <row r="2253" spans="72:74" x14ac:dyDescent="0.2">
      <c r="BT2253" s="124"/>
      <c r="BU2253" s="124"/>
      <c r="BV2253" s="124"/>
    </row>
    <row r="2254" spans="72:74" x14ac:dyDescent="0.2">
      <c r="BT2254" s="124"/>
      <c r="BU2254" s="124"/>
      <c r="BV2254" s="124"/>
    </row>
    <row r="2255" spans="72:74" x14ac:dyDescent="0.2">
      <c r="BT2255" s="124"/>
      <c r="BU2255" s="124"/>
      <c r="BV2255" s="124"/>
    </row>
    <row r="2256" spans="72:74" x14ac:dyDescent="0.2">
      <c r="BT2256" s="124"/>
      <c r="BU2256" s="124"/>
      <c r="BV2256" s="124"/>
    </row>
    <row r="2257" spans="72:74" x14ac:dyDescent="0.2">
      <c r="BT2257" s="124"/>
      <c r="BU2257" s="124"/>
      <c r="BV2257" s="124"/>
    </row>
    <row r="2258" spans="72:74" x14ac:dyDescent="0.2">
      <c r="BT2258" s="124"/>
      <c r="BU2258" s="124"/>
      <c r="BV2258" s="124"/>
    </row>
    <row r="2259" spans="72:74" x14ac:dyDescent="0.2">
      <c r="BT2259" s="124"/>
      <c r="BU2259" s="124"/>
      <c r="BV2259" s="124"/>
    </row>
    <row r="2260" spans="72:74" x14ac:dyDescent="0.2">
      <c r="BT2260" s="124"/>
      <c r="BU2260" s="124"/>
      <c r="BV2260" s="124"/>
    </row>
    <row r="2261" spans="72:74" x14ac:dyDescent="0.2">
      <c r="BT2261" s="124"/>
      <c r="BU2261" s="124"/>
      <c r="BV2261" s="124"/>
    </row>
    <row r="2262" spans="72:74" x14ac:dyDescent="0.2">
      <c r="BT2262" s="124"/>
      <c r="BU2262" s="124"/>
      <c r="BV2262" s="124"/>
    </row>
    <row r="2263" spans="72:74" x14ac:dyDescent="0.2">
      <c r="BT2263" s="124"/>
      <c r="BU2263" s="124"/>
      <c r="BV2263" s="124"/>
    </row>
    <row r="2264" spans="72:74" x14ac:dyDescent="0.2">
      <c r="BT2264" s="124"/>
      <c r="BU2264" s="124"/>
      <c r="BV2264" s="124"/>
    </row>
    <row r="2265" spans="72:74" x14ac:dyDescent="0.2">
      <c r="BT2265" s="124"/>
      <c r="BU2265" s="124"/>
      <c r="BV2265" s="124"/>
    </row>
    <row r="2266" spans="72:74" x14ac:dyDescent="0.2">
      <c r="BT2266" s="124"/>
      <c r="BU2266" s="124"/>
      <c r="BV2266" s="124"/>
    </row>
    <row r="2267" spans="72:74" x14ac:dyDescent="0.2">
      <c r="BT2267" s="124"/>
      <c r="BU2267" s="124"/>
      <c r="BV2267" s="124"/>
    </row>
    <row r="2268" spans="72:74" x14ac:dyDescent="0.2">
      <c r="BT2268" s="124"/>
      <c r="BU2268" s="124"/>
      <c r="BV2268" s="124"/>
    </row>
    <row r="2269" spans="72:74" x14ac:dyDescent="0.2">
      <c r="BT2269" s="124"/>
      <c r="BU2269" s="124"/>
      <c r="BV2269" s="124"/>
    </row>
    <row r="2270" spans="72:74" x14ac:dyDescent="0.2">
      <c r="BT2270" s="124"/>
      <c r="BU2270" s="124"/>
      <c r="BV2270" s="124"/>
    </row>
    <row r="2271" spans="72:74" x14ac:dyDescent="0.2">
      <c r="BT2271" s="124"/>
      <c r="BU2271" s="124"/>
      <c r="BV2271" s="124"/>
    </row>
    <row r="2272" spans="72:74" x14ac:dyDescent="0.2">
      <c r="BT2272" s="124"/>
      <c r="BU2272" s="124"/>
      <c r="BV2272" s="124"/>
    </row>
    <row r="2273" spans="72:74" x14ac:dyDescent="0.2">
      <c r="BT2273" s="124"/>
      <c r="BU2273" s="124"/>
      <c r="BV2273" s="124"/>
    </row>
    <row r="2274" spans="72:74" x14ac:dyDescent="0.2">
      <c r="BT2274" s="124"/>
      <c r="BU2274" s="124"/>
      <c r="BV2274" s="124"/>
    </row>
    <row r="2275" spans="72:74" x14ac:dyDescent="0.2">
      <c r="BT2275" s="124"/>
      <c r="BU2275" s="124"/>
      <c r="BV2275" s="124"/>
    </row>
    <row r="2276" spans="72:74" x14ac:dyDescent="0.2">
      <c r="BT2276" s="124"/>
      <c r="BU2276" s="124"/>
      <c r="BV2276" s="124"/>
    </row>
    <row r="2277" spans="72:74" x14ac:dyDescent="0.2">
      <c r="BT2277" s="124"/>
      <c r="BU2277" s="124"/>
      <c r="BV2277" s="124"/>
    </row>
    <row r="2278" spans="72:74" x14ac:dyDescent="0.2">
      <c r="BT2278" s="124"/>
      <c r="BU2278" s="124"/>
      <c r="BV2278" s="124"/>
    </row>
    <row r="2279" spans="72:74" x14ac:dyDescent="0.2">
      <c r="BT2279" s="124"/>
      <c r="BU2279" s="124"/>
      <c r="BV2279" s="124"/>
    </row>
    <row r="2280" spans="72:74" x14ac:dyDescent="0.2">
      <c r="BT2280" s="124"/>
      <c r="BU2280" s="124"/>
      <c r="BV2280" s="124"/>
    </row>
    <row r="2281" spans="72:74" x14ac:dyDescent="0.2">
      <c r="BT2281" s="124"/>
      <c r="BU2281" s="124"/>
      <c r="BV2281" s="124"/>
    </row>
    <row r="2282" spans="72:74" x14ac:dyDescent="0.2">
      <c r="BT2282" s="124"/>
      <c r="BU2282" s="124"/>
      <c r="BV2282" s="124"/>
    </row>
    <row r="2283" spans="72:74" x14ac:dyDescent="0.2">
      <c r="BT2283" s="124"/>
      <c r="BU2283" s="124"/>
      <c r="BV2283" s="124"/>
    </row>
    <row r="2284" spans="72:74" x14ac:dyDescent="0.2">
      <c r="BT2284" s="124"/>
      <c r="BU2284" s="124"/>
      <c r="BV2284" s="124"/>
    </row>
    <row r="2285" spans="72:74" x14ac:dyDescent="0.2">
      <c r="BT2285" s="124"/>
      <c r="BU2285" s="124"/>
      <c r="BV2285" s="124"/>
    </row>
    <row r="2286" spans="72:74" x14ac:dyDescent="0.2">
      <c r="BT2286" s="124"/>
      <c r="BU2286" s="124"/>
      <c r="BV2286" s="124"/>
    </row>
    <row r="2287" spans="72:74" x14ac:dyDescent="0.2">
      <c r="BT2287" s="124"/>
      <c r="BU2287" s="124"/>
      <c r="BV2287" s="124"/>
    </row>
    <row r="2288" spans="72:74" x14ac:dyDescent="0.2">
      <c r="BT2288" s="124"/>
      <c r="BU2288" s="124"/>
      <c r="BV2288" s="124"/>
    </row>
    <row r="2289" spans="72:74" x14ac:dyDescent="0.2">
      <c r="BT2289" s="124"/>
      <c r="BU2289" s="124"/>
      <c r="BV2289" s="124"/>
    </row>
    <row r="2290" spans="72:74" x14ac:dyDescent="0.2">
      <c r="BT2290" s="124"/>
      <c r="BU2290" s="124"/>
      <c r="BV2290" s="124"/>
    </row>
    <row r="2291" spans="72:74" x14ac:dyDescent="0.2">
      <c r="BT2291" s="124"/>
      <c r="BU2291" s="124"/>
      <c r="BV2291" s="124"/>
    </row>
    <row r="2292" spans="72:74" x14ac:dyDescent="0.2">
      <c r="BT2292" s="124"/>
      <c r="BU2292" s="124"/>
      <c r="BV2292" s="124"/>
    </row>
    <row r="2293" spans="72:74" x14ac:dyDescent="0.2">
      <c r="BT2293" s="124"/>
      <c r="BU2293" s="124"/>
      <c r="BV2293" s="124"/>
    </row>
    <row r="2294" spans="72:74" x14ac:dyDescent="0.2">
      <c r="BT2294" s="124"/>
      <c r="BU2294" s="124"/>
      <c r="BV2294" s="124"/>
    </row>
    <row r="2295" spans="72:74" x14ac:dyDescent="0.2">
      <c r="BT2295" s="124"/>
      <c r="BU2295" s="124"/>
      <c r="BV2295" s="124"/>
    </row>
    <row r="2296" spans="72:74" x14ac:dyDescent="0.2">
      <c r="BT2296" s="124"/>
      <c r="BU2296" s="124"/>
      <c r="BV2296" s="124"/>
    </row>
    <row r="2297" spans="72:74" x14ac:dyDescent="0.2">
      <c r="BT2297" s="124"/>
      <c r="BU2297" s="124"/>
      <c r="BV2297" s="124"/>
    </row>
    <row r="2298" spans="72:74" x14ac:dyDescent="0.2">
      <c r="BT2298" s="124"/>
      <c r="BU2298" s="124"/>
      <c r="BV2298" s="124"/>
    </row>
    <row r="2299" spans="72:74" x14ac:dyDescent="0.2">
      <c r="BT2299" s="124"/>
      <c r="BU2299" s="124"/>
      <c r="BV2299" s="124"/>
    </row>
    <row r="2300" spans="72:74" x14ac:dyDescent="0.2">
      <c r="BT2300" s="124"/>
      <c r="BU2300" s="124"/>
      <c r="BV2300" s="124"/>
    </row>
    <row r="2301" spans="72:74" x14ac:dyDescent="0.2">
      <c r="BT2301" s="124"/>
      <c r="BU2301" s="124"/>
      <c r="BV2301" s="124"/>
    </row>
    <row r="2302" spans="72:74" x14ac:dyDescent="0.2">
      <c r="BT2302" s="124"/>
      <c r="BU2302" s="124"/>
      <c r="BV2302" s="124"/>
    </row>
    <row r="2303" spans="72:74" x14ac:dyDescent="0.2">
      <c r="BT2303" s="124"/>
      <c r="BU2303" s="124"/>
      <c r="BV2303" s="124"/>
    </row>
    <row r="2304" spans="72:74" x14ac:dyDescent="0.2">
      <c r="BT2304" s="124"/>
      <c r="BU2304" s="124"/>
      <c r="BV2304" s="124"/>
    </row>
    <row r="2305" spans="72:74" x14ac:dyDescent="0.2">
      <c r="BT2305" s="124"/>
      <c r="BU2305" s="124"/>
      <c r="BV2305" s="124"/>
    </row>
    <row r="2306" spans="72:74" x14ac:dyDescent="0.2">
      <c r="BT2306" s="124"/>
      <c r="BU2306" s="124"/>
      <c r="BV2306" s="124"/>
    </row>
    <row r="2307" spans="72:74" x14ac:dyDescent="0.2">
      <c r="BT2307" s="124"/>
      <c r="BU2307" s="124"/>
      <c r="BV2307" s="124"/>
    </row>
    <row r="2308" spans="72:74" x14ac:dyDescent="0.2">
      <c r="BT2308" s="124"/>
      <c r="BU2308" s="124"/>
      <c r="BV2308" s="124"/>
    </row>
    <row r="2309" spans="72:74" x14ac:dyDescent="0.2">
      <c r="BT2309" s="124"/>
      <c r="BU2309" s="124"/>
      <c r="BV2309" s="124"/>
    </row>
    <row r="2310" spans="72:74" x14ac:dyDescent="0.2">
      <c r="BT2310" s="124"/>
      <c r="BU2310" s="124"/>
      <c r="BV2310" s="124"/>
    </row>
    <row r="2311" spans="72:74" x14ac:dyDescent="0.2">
      <c r="BT2311" s="124"/>
      <c r="BU2311" s="124"/>
      <c r="BV2311" s="124"/>
    </row>
    <row r="2312" spans="72:74" x14ac:dyDescent="0.2">
      <c r="BT2312" s="124"/>
      <c r="BU2312" s="124"/>
      <c r="BV2312" s="124"/>
    </row>
    <row r="2313" spans="72:74" x14ac:dyDescent="0.2">
      <c r="BT2313" s="124"/>
      <c r="BU2313" s="124"/>
      <c r="BV2313" s="124"/>
    </row>
    <row r="2314" spans="72:74" x14ac:dyDescent="0.2">
      <c r="BT2314" s="124"/>
      <c r="BU2314" s="124"/>
      <c r="BV2314" s="124"/>
    </row>
    <row r="2315" spans="72:74" x14ac:dyDescent="0.2">
      <c r="BT2315" s="124"/>
      <c r="BU2315" s="124"/>
      <c r="BV2315" s="124"/>
    </row>
    <row r="2316" spans="72:74" x14ac:dyDescent="0.2">
      <c r="BT2316" s="124"/>
      <c r="BU2316" s="124"/>
      <c r="BV2316" s="124"/>
    </row>
    <row r="2317" spans="72:74" x14ac:dyDescent="0.2">
      <c r="BT2317" s="124"/>
      <c r="BU2317" s="124"/>
      <c r="BV2317" s="124"/>
    </row>
    <row r="2318" spans="72:74" x14ac:dyDescent="0.2">
      <c r="BT2318" s="124"/>
      <c r="BU2318" s="124"/>
      <c r="BV2318" s="124"/>
    </row>
    <row r="2319" spans="72:74" x14ac:dyDescent="0.2">
      <c r="BT2319" s="124"/>
      <c r="BU2319" s="124"/>
      <c r="BV2319" s="124"/>
    </row>
    <row r="2320" spans="72:74" x14ac:dyDescent="0.2">
      <c r="BT2320" s="124"/>
      <c r="BU2320" s="124"/>
      <c r="BV2320" s="124"/>
    </row>
    <row r="2321" spans="72:74" x14ac:dyDescent="0.2">
      <c r="BT2321" s="124"/>
      <c r="BU2321" s="124"/>
      <c r="BV2321" s="124"/>
    </row>
    <row r="2322" spans="72:74" x14ac:dyDescent="0.2">
      <c r="BT2322" s="124"/>
      <c r="BU2322" s="124"/>
      <c r="BV2322" s="124"/>
    </row>
    <row r="2323" spans="72:74" x14ac:dyDescent="0.2">
      <c r="BT2323" s="124"/>
      <c r="BU2323" s="124"/>
      <c r="BV2323" s="124"/>
    </row>
    <row r="2324" spans="72:74" x14ac:dyDescent="0.2">
      <c r="BT2324" s="124"/>
      <c r="BU2324" s="124"/>
      <c r="BV2324" s="124"/>
    </row>
    <row r="2325" spans="72:74" x14ac:dyDescent="0.2">
      <c r="BT2325" s="124"/>
      <c r="BU2325" s="124"/>
      <c r="BV2325" s="124"/>
    </row>
    <row r="2326" spans="72:74" x14ac:dyDescent="0.2">
      <c r="BT2326" s="124"/>
      <c r="BU2326" s="124"/>
      <c r="BV2326" s="124"/>
    </row>
    <row r="2327" spans="72:74" x14ac:dyDescent="0.2">
      <c r="BT2327" s="124"/>
      <c r="BU2327" s="124"/>
      <c r="BV2327" s="124"/>
    </row>
    <row r="2328" spans="72:74" x14ac:dyDescent="0.2">
      <c r="BT2328" s="124"/>
      <c r="BU2328" s="124"/>
      <c r="BV2328" s="124"/>
    </row>
    <row r="2329" spans="72:74" x14ac:dyDescent="0.2">
      <c r="BT2329" s="124"/>
      <c r="BU2329" s="124"/>
      <c r="BV2329" s="124"/>
    </row>
    <row r="2330" spans="72:74" x14ac:dyDescent="0.2">
      <c r="BT2330" s="124"/>
      <c r="BU2330" s="124"/>
      <c r="BV2330" s="124"/>
    </row>
    <row r="2331" spans="72:74" x14ac:dyDescent="0.2">
      <c r="BT2331" s="124"/>
      <c r="BU2331" s="124"/>
      <c r="BV2331" s="124"/>
    </row>
    <row r="2332" spans="72:74" x14ac:dyDescent="0.2">
      <c r="BT2332" s="124"/>
      <c r="BU2332" s="124"/>
      <c r="BV2332" s="124"/>
    </row>
    <row r="2333" spans="72:74" x14ac:dyDescent="0.2">
      <c r="BT2333" s="124"/>
      <c r="BU2333" s="124"/>
      <c r="BV2333" s="124"/>
    </row>
    <row r="2334" spans="72:74" x14ac:dyDescent="0.2">
      <c r="BT2334" s="124"/>
      <c r="BU2334" s="124"/>
      <c r="BV2334" s="124"/>
    </row>
    <row r="2335" spans="72:74" x14ac:dyDescent="0.2">
      <c r="BT2335" s="124"/>
      <c r="BU2335" s="124"/>
      <c r="BV2335" s="124"/>
    </row>
    <row r="2336" spans="72:74" x14ac:dyDescent="0.2">
      <c r="BT2336" s="124"/>
      <c r="BU2336" s="124"/>
      <c r="BV2336" s="124"/>
    </row>
    <row r="2337" spans="72:74" x14ac:dyDescent="0.2">
      <c r="BT2337" s="124"/>
      <c r="BU2337" s="124"/>
      <c r="BV2337" s="124"/>
    </row>
    <row r="2338" spans="72:74" x14ac:dyDescent="0.2">
      <c r="BT2338" s="124"/>
      <c r="BU2338" s="124"/>
      <c r="BV2338" s="124"/>
    </row>
    <row r="2339" spans="72:74" x14ac:dyDescent="0.2">
      <c r="BT2339" s="124"/>
      <c r="BU2339" s="124"/>
      <c r="BV2339" s="124"/>
    </row>
    <row r="2340" spans="72:74" x14ac:dyDescent="0.2">
      <c r="BT2340" s="124"/>
      <c r="BU2340" s="124"/>
      <c r="BV2340" s="124"/>
    </row>
    <row r="2341" spans="72:74" x14ac:dyDescent="0.2">
      <c r="BT2341" s="124"/>
      <c r="BU2341" s="124"/>
      <c r="BV2341" s="124"/>
    </row>
    <row r="2342" spans="72:74" x14ac:dyDescent="0.2">
      <c r="BT2342" s="124"/>
      <c r="BU2342" s="124"/>
      <c r="BV2342" s="124"/>
    </row>
    <row r="2343" spans="72:74" x14ac:dyDescent="0.2">
      <c r="BT2343" s="124"/>
      <c r="BU2343" s="124"/>
      <c r="BV2343" s="124"/>
    </row>
    <row r="2344" spans="72:74" x14ac:dyDescent="0.2">
      <c r="BT2344" s="124"/>
      <c r="BU2344" s="124"/>
      <c r="BV2344" s="124"/>
    </row>
    <row r="2345" spans="72:74" x14ac:dyDescent="0.2">
      <c r="BT2345" s="124"/>
      <c r="BU2345" s="124"/>
      <c r="BV2345" s="124"/>
    </row>
    <row r="2346" spans="72:74" x14ac:dyDescent="0.2">
      <c r="BT2346" s="124"/>
      <c r="BU2346" s="124"/>
      <c r="BV2346" s="124"/>
    </row>
    <row r="2347" spans="72:74" x14ac:dyDescent="0.2">
      <c r="BT2347" s="124"/>
      <c r="BU2347" s="124"/>
      <c r="BV2347" s="124"/>
    </row>
    <row r="2348" spans="72:74" x14ac:dyDescent="0.2">
      <c r="BT2348" s="124"/>
      <c r="BU2348" s="124"/>
      <c r="BV2348" s="124"/>
    </row>
    <row r="2349" spans="72:74" x14ac:dyDescent="0.2">
      <c r="BT2349" s="124"/>
      <c r="BU2349" s="124"/>
      <c r="BV2349" s="124"/>
    </row>
    <row r="2350" spans="72:74" x14ac:dyDescent="0.2">
      <c r="BT2350" s="124"/>
      <c r="BU2350" s="124"/>
      <c r="BV2350" s="124"/>
    </row>
    <row r="2351" spans="72:74" x14ac:dyDescent="0.2">
      <c r="BT2351" s="124"/>
      <c r="BU2351" s="124"/>
      <c r="BV2351" s="124"/>
    </row>
    <row r="2352" spans="72:74" x14ac:dyDescent="0.2">
      <c r="BT2352" s="124"/>
      <c r="BU2352" s="124"/>
      <c r="BV2352" s="124"/>
    </row>
    <row r="2353" spans="72:74" x14ac:dyDescent="0.2">
      <c r="BT2353" s="124"/>
      <c r="BU2353" s="124"/>
      <c r="BV2353" s="124"/>
    </row>
    <row r="2354" spans="72:74" x14ac:dyDescent="0.2">
      <c r="BT2354" s="124"/>
      <c r="BU2354" s="124"/>
      <c r="BV2354" s="124"/>
    </row>
    <row r="2355" spans="72:74" x14ac:dyDescent="0.2">
      <c r="BT2355" s="124"/>
      <c r="BU2355" s="124"/>
      <c r="BV2355" s="124"/>
    </row>
    <row r="2356" spans="72:74" x14ac:dyDescent="0.2">
      <c r="BT2356" s="124"/>
      <c r="BU2356" s="124"/>
      <c r="BV2356" s="124"/>
    </row>
    <row r="2357" spans="72:74" x14ac:dyDescent="0.2">
      <c r="BT2357" s="124"/>
      <c r="BU2357" s="124"/>
      <c r="BV2357" s="124"/>
    </row>
    <row r="2358" spans="72:74" x14ac:dyDescent="0.2">
      <c r="BT2358" s="124"/>
      <c r="BU2358" s="124"/>
      <c r="BV2358" s="124"/>
    </row>
    <row r="2359" spans="72:74" x14ac:dyDescent="0.2">
      <c r="BT2359" s="124"/>
      <c r="BU2359" s="124"/>
      <c r="BV2359" s="124"/>
    </row>
    <row r="2360" spans="72:74" x14ac:dyDescent="0.2">
      <c r="BT2360" s="124"/>
      <c r="BU2360" s="124"/>
      <c r="BV2360" s="124"/>
    </row>
    <row r="2361" spans="72:74" x14ac:dyDescent="0.2">
      <c r="BT2361" s="124"/>
      <c r="BU2361" s="124"/>
      <c r="BV2361" s="124"/>
    </row>
    <row r="2362" spans="72:74" x14ac:dyDescent="0.2">
      <c r="BT2362" s="124"/>
      <c r="BU2362" s="124"/>
      <c r="BV2362" s="124"/>
    </row>
    <row r="2363" spans="72:74" x14ac:dyDescent="0.2">
      <c r="BT2363" s="124"/>
      <c r="BU2363" s="124"/>
      <c r="BV2363" s="124"/>
    </row>
    <row r="2364" spans="72:74" x14ac:dyDescent="0.2">
      <c r="BT2364" s="124"/>
      <c r="BU2364" s="124"/>
      <c r="BV2364" s="124"/>
    </row>
    <row r="2365" spans="72:74" x14ac:dyDescent="0.2">
      <c r="BT2365" s="124"/>
      <c r="BU2365" s="124"/>
      <c r="BV2365" s="124"/>
    </row>
    <row r="2366" spans="72:74" x14ac:dyDescent="0.2">
      <c r="BT2366" s="124"/>
      <c r="BU2366" s="124"/>
      <c r="BV2366" s="124"/>
    </row>
    <row r="2367" spans="72:74" x14ac:dyDescent="0.2">
      <c r="BT2367" s="124"/>
      <c r="BU2367" s="124"/>
      <c r="BV2367" s="124"/>
    </row>
    <row r="2368" spans="72:74" x14ac:dyDescent="0.2">
      <c r="BT2368" s="124"/>
      <c r="BU2368" s="124"/>
      <c r="BV2368" s="124"/>
    </row>
    <row r="2369" spans="72:74" x14ac:dyDescent="0.2">
      <c r="BT2369" s="124"/>
      <c r="BU2369" s="124"/>
      <c r="BV2369" s="124"/>
    </row>
    <row r="2370" spans="72:74" x14ac:dyDescent="0.2">
      <c r="BT2370" s="124"/>
      <c r="BU2370" s="124"/>
      <c r="BV2370" s="124"/>
    </row>
    <row r="2371" spans="72:74" x14ac:dyDescent="0.2">
      <c r="BT2371" s="124"/>
      <c r="BU2371" s="124"/>
      <c r="BV2371" s="124"/>
    </row>
    <row r="2372" spans="72:74" x14ac:dyDescent="0.2">
      <c r="BT2372" s="124"/>
      <c r="BU2372" s="124"/>
      <c r="BV2372" s="124"/>
    </row>
    <row r="2373" spans="72:74" x14ac:dyDescent="0.2">
      <c r="BT2373" s="124"/>
      <c r="BU2373" s="124"/>
      <c r="BV2373" s="124"/>
    </row>
    <row r="2374" spans="72:74" x14ac:dyDescent="0.2">
      <c r="BT2374" s="124"/>
      <c r="BU2374" s="124"/>
      <c r="BV2374" s="124"/>
    </row>
    <row r="2375" spans="72:74" x14ac:dyDescent="0.2">
      <c r="BT2375" s="124"/>
      <c r="BU2375" s="124"/>
      <c r="BV2375" s="124"/>
    </row>
    <row r="2376" spans="72:74" x14ac:dyDescent="0.2">
      <c r="BT2376" s="124"/>
      <c r="BU2376" s="124"/>
      <c r="BV2376" s="124"/>
    </row>
    <row r="2377" spans="72:74" x14ac:dyDescent="0.2">
      <c r="BT2377" s="124"/>
      <c r="BU2377" s="124"/>
      <c r="BV2377" s="124"/>
    </row>
    <row r="2378" spans="72:74" x14ac:dyDescent="0.2">
      <c r="BT2378" s="124"/>
      <c r="BU2378" s="124"/>
      <c r="BV2378" s="124"/>
    </row>
    <row r="2379" spans="72:74" x14ac:dyDescent="0.2">
      <c r="BT2379" s="124"/>
      <c r="BU2379" s="124"/>
      <c r="BV2379" s="124"/>
    </row>
    <row r="2380" spans="72:74" x14ac:dyDescent="0.2">
      <c r="BT2380" s="124"/>
      <c r="BU2380" s="124"/>
      <c r="BV2380" s="124"/>
    </row>
    <row r="2381" spans="72:74" x14ac:dyDescent="0.2">
      <c r="BT2381" s="124"/>
      <c r="BU2381" s="124"/>
      <c r="BV2381" s="124"/>
    </row>
    <row r="2382" spans="72:74" x14ac:dyDescent="0.2">
      <c r="BT2382" s="124"/>
      <c r="BU2382" s="124"/>
      <c r="BV2382" s="124"/>
    </row>
    <row r="2383" spans="72:74" x14ac:dyDescent="0.2">
      <c r="BT2383" s="124"/>
      <c r="BU2383" s="124"/>
      <c r="BV2383" s="124"/>
    </row>
    <row r="2384" spans="72:74" x14ac:dyDescent="0.2">
      <c r="BT2384" s="124"/>
      <c r="BU2384" s="124"/>
      <c r="BV2384" s="124"/>
    </row>
    <row r="2385" spans="72:74" x14ac:dyDescent="0.2">
      <c r="BT2385" s="124"/>
      <c r="BU2385" s="124"/>
      <c r="BV2385" s="124"/>
    </row>
    <row r="2386" spans="72:74" x14ac:dyDescent="0.2">
      <c r="BT2386" s="124"/>
      <c r="BU2386" s="124"/>
      <c r="BV2386" s="124"/>
    </row>
    <row r="2387" spans="72:74" x14ac:dyDescent="0.2">
      <c r="BT2387" s="124"/>
      <c r="BU2387" s="124"/>
      <c r="BV2387" s="124"/>
    </row>
    <row r="2388" spans="72:74" x14ac:dyDescent="0.2">
      <c r="BT2388" s="124"/>
      <c r="BU2388" s="124"/>
      <c r="BV2388" s="124"/>
    </row>
    <row r="2389" spans="72:74" x14ac:dyDescent="0.2">
      <c r="BT2389" s="124"/>
      <c r="BU2389" s="124"/>
      <c r="BV2389" s="124"/>
    </row>
    <row r="2390" spans="72:74" x14ac:dyDescent="0.2">
      <c r="BT2390" s="124"/>
      <c r="BU2390" s="124"/>
      <c r="BV2390" s="124"/>
    </row>
    <row r="2391" spans="72:74" x14ac:dyDescent="0.2">
      <c r="BT2391" s="124"/>
      <c r="BU2391" s="124"/>
      <c r="BV2391" s="124"/>
    </row>
    <row r="2392" spans="72:74" x14ac:dyDescent="0.2">
      <c r="BT2392" s="124"/>
      <c r="BU2392" s="124"/>
      <c r="BV2392" s="124"/>
    </row>
    <row r="2393" spans="72:74" x14ac:dyDescent="0.2">
      <c r="BT2393" s="124"/>
      <c r="BU2393" s="124"/>
      <c r="BV2393" s="124"/>
    </row>
    <row r="2394" spans="72:74" x14ac:dyDescent="0.2">
      <c r="BT2394" s="124"/>
      <c r="BU2394" s="124"/>
      <c r="BV2394" s="124"/>
    </row>
    <row r="2395" spans="72:74" x14ac:dyDescent="0.2">
      <c r="BT2395" s="124"/>
      <c r="BU2395" s="124"/>
      <c r="BV2395" s="124"/>
    </row>
    <row r="2396" spans="72:74" x14ac:dyDescent="0.2">
      <c r="BT2396" s="124"/>
      <c r="BU2396" s="124"/>
      <c r="BV2396" s="124"/>
    </row>
    <row r="2397" spans="72:74" x14ac:dyDescent="0.2">
      <c r="BT2397" s="124"/>
      <c r="BU2397" s="124"/>
      <c r="BV2397" s="124"/>
    </row>
    <row r="2398" spans="72:74" x14ac:dyDescent="0.2">
      <c r="BT2398" s="124"/>
      <c r="BU2398" s="124"/>
      <c r="BV2398" s="124"/>
    </row>
    <row r="2399" spans="72:74" x14ac:dyDescent="0.2">
      <c r="BT2399" s="124"/>
      <c r="BU2399" s="124"/>
      <c r="BV2399" s="124"/>
    </row>
    <row r="2400" spans="72:74" x14ac:dyDescent="0.2">
      <c r="BT2400" s="124"/>
      <c r="BU2400" s="124"/>
      <c r="BV2400" s="124"/>
    </row>
    <row r="2401" spans="72:74" x14ac:dyDescent="0.2">
      <c r="BT2401" s="124"/>
      <c r="BU2401" s="124"/>
      <c r="BV2401" s="124"/>
    </row>
    <row r="2402" spans="72:74" x14ac:dyDescent="0.2">
      <c r="BT2402" s="124"/>
      <c r="BU2402" s="124"/>
      <c r="BV2402" s="124"/>
    </row>
    <row r="2403" spans="72:74" x14ac:dyDescent="0.2">
      <c r="BT2403" s="124"/>
      <c r="BU2403" s="124"/>
      <c r="BV2403" s="124"/>
    </row>
    <row r="2404" spans="72:74" x14ac:dyDescent="0.2">
      <c r="BT2404" s="124"/>
      <c r="BU2404" s="124"/>
      <c r="BV2404" s="124"/>
    </row>
    <row r="2405" spans="72:74" x14ac:dyDescent="0.2">
      <c r="BT2405" s="124"/>
      <c r="BU2405" s="124"/>
      <c r="BV2405" s="124"/>
    </row>
    <row r="2406" spans="72:74" x14ac:dyDescent="0.2">
      <c r="BT2406" s="124"/>
      <c r="BU2406" s="124"/>
      <c r="BV2406" s="124"/>
    </row>
    <row r="2407" spans="72:74" x14ac:dyDescent="0.2">
      <c r="BT2407" s="124"/>
      <c r="BU2407" s="124"/>
      <c r="BV2407" s="124"/>
    </row>
    <row r="2408" spans="72:74" x14ac:dyDescent="0.2">
      <c r="BT2408" s="124"/>
      <c r="BU2408" s="124"/>
      <c r="BV2408" s="124"/>
    </row>
    <row r="2409" spans="72:74" x14ac:dyDescent="0.2">
      <c r="BT2409" s="124"/>
      <c r="BU2409" s="124"/>
      <c r="BV2409" s="124"/>
    </row>
    <row r="2410" spans="72:74" x14ac:dyDescent="0.2">
      <c r="BT2410" s="124"/>
      <c r="BU2410" s="124"/>
      <c r="BV2410" s="124"/>
    </row>
    <row r="2411" spans="72:74" x14ac:dyDescent="0.2">
      <c r="BT2411" s="124"/>
      <c r="BU2411" s="124"/>
      <c r="BV2411" s="124"/>
    </row>
    <row r="2412" spans="72:74" x14ac:dyDescent="0.2">
      <c r="BT2412" s="124"/>
      <c r="BU2412" s="124"/>
      <c r="BV2412" s="124"/>
    </row>
    <row r="2413" spans="72:74" x14ac:dyDescent="0.2">
      <c r="BT2413" s="124"/>
      <c r="BU2413" s="124"/>
      <c r="BV2413" s="124"/>
    </row>
    <row r="2414" spans="72:74" x14ac:dyDescent="0.2">
      <c r="BT2414" s="124"/>
      <c r="BU2414" s="124"/>
      <c r="BV2414" s="124"/>
    </row>
    <row r="2415" spans="72:74" x14ac:dyDescent="0.2">
      <c r="BT2415" s="124"/>
      <c r="BU2415" s="124"/>
      <c r="BV2415" s="124"/>
    </row>
    <row r="2416" spans="72:74" x14ac:dyDescent="0.2">
      <c r="BT2416" s="124"/>
      <c r="BU2416" s="124"/>
      <c r="BV2416" s="124"/>
    </row>
    <row r="2417" spans="72:74" x14ac:dyDescent="0.2">
      <c r="BT2417" s="124"/>
      <c r="BU2417" s="124"/>
      <c r="BV2417" s="124"/>
    </row>
    <row r="2418" spans="72:74" x14ac:dyDescent="0.2">
      <c r="BT2418" s="124"/>
      <c r="BU2418" s="124"/>
      <c r="BV2418" s="124"/>
    </row>
    <row r="2419" spans="72:74" x14ac:dyDescent="0.2">
      <c r="BT2419" s="124"/>
      <c r="BU2419" s="124"/>
      <c r="BV2419" s="124"/>
    </row>
    <row r="2420" spans="72:74" x14ac:dyDescent="0.2">
      <c r="BT2420" s="124"/>
      <c r="BU2420" s="124"/>
      <c r="BV2420" s="124"/>
    </row>
    <row r="2421" spans="72:74" x14ac:dyDescent="0.2">
      <c r="BT2421" s="124"/>
      <c r="BU2421" s="124"/>
      <c r="BV2421" s="124"/>
    </row>
    <row r="2422" spans="72:74" x14ac:dyDescent="0.2">
      <c r="BT2422" s="124"/>
      <c r="BU2422" s="124"/>
      <c r="BV2422" s="124"/>
    </row>
    <row r="2423" spans="72:74" x14ac:dyDescent="0.2">
      <c r="BT2423" s="124"/>
      <c r="BU2423" s="124"/>
      <c r="BV2423" s="124"/>
    </row>
    <row r="2424" spans="72:74" x14ac:dyDescent="0.2">
      <c r="BT2424" s="124"/>
      <c r="BU2424" s="124"/>
      <c r="BV2424" s="124"/>
    </row>
    <row r="2425" spans="72:74" x14ac:dyDescent="0.2">
      <c r="BT2425" s="124"/>
      <c r="BU2425" s="124"/>
      <c r="BV2425" s="124"/>
    </row>
    <row r="2426" spans="72:74" x14ac:dyDescent="0.2">
      <c r="BT2426" s="124"/>
      <c r="BU2426" s="124"/>
      <c r="BV2426" s="124"/>
    </row>
    <row r="2427" spans="72:74" x14ac:dyDescent="0.2">
      <c r="BT2427" s="124"/>
      <c r="BU2427" s="124"/>
      <c r="BV2427" s="124"/>
    </row>
    <row r="2428" spans="72:74" x14ac:dyDescent="0.2">
      <c r="BT2428" s="124"/>
      <c r="BU2428" s="124"/>
      <c r="BV2428" s="124"/>
    </row>
    <row r="2429" spans="72:74" x14ac:dyDescent="0.2">
      <c r="BT2429" s="124"/>
      <c r="BU2429" s="124"/>
      <c r="BV2429" s="124"/>
    </row>
    <row r="2430" spans="72:74" x14ac:dyDescent="0.2">
      <c r="BT2430" s="124"/>
      <c r="BU2430" s="124"/>
      <c r="BV2430" s="124"/>
    </row>
    <row r="2431" spans="72:74" x14ac:dyDescent="0.2">
      <c r="BT2431" s="124"/>
      <c r="BU2431" s="124"/>
      <c r="BV2431" s="124"/>
    </row>
    <row r="2432" spans="72:74" x14ac:dyDescent="0.2">
      <c r="BT2432" s="124"/>
      <c r="BU2432" s="124"/>
      <c r="BV2432" s="124"/>
    </row>
    <row r="2433" spans="72:74" x14ac:dyDescent="0.2">
      <c r="BT2433" s="124"/>
      <c r="BU2433" s="124"/>
      <c r="BV2433" s="124"/>
    </row>
    <row r="2434" spans="72:74" x14ac:dyDescent="0.2">
      <c r="BT2434" s="124"/>
      <c r="BU2434" s="124"/>
      <c r="BV2434" s="124"/>
    </row>
    <row r="2435" spans="72:74" x14ac:dyDescent="0.2">
      <c r="BT2435" s="124"/>
      <c r="BU2435" s="124"/>
      <c r="BV2435" s="124"/>
    </row>
    <row r="2436" spans="72:74" x14ac:dyDescent="0.2">
      <c r="BT2436" s="124"/>
      <c r="BU2436" s="124"/>
      <c r="BV2436" s="124"/>
    </row>
    <row r="2437" spans="72:74" x14ac:dyDescent="0.2">
      <c r="BT2437" s="124"/>
      <c r="BU2437" s="124"/>
      <c r="BV2437" s="124"/>
    </row>
    <row r="2438" spans="72:74" x14ac:dyDescent="0.2">
      <c r="BT2438" s="124"/>
      <c r="BU2438" s="124"/>
      <c r="BV2438" s="124"/>
    </row>
    <row r="2439" spans="72:74" x14ac:dyDescent="0.2">
      <c r="BT2439" s="124"/>
      <c r="BU2439" s="124"/>
      <c r="BV2439" s="124"/>
    </row>
    <row r="2440" spans="72:74" x14ac:dyDescent="0.2">
      <c r="BT2440" s="124"/>
      <c r="BU2440" s="124"/>
      <c r="BV2440" s="124"/>
    </row>
    <row r="2441" spans="72:74" x14ac:dyDescent="0.2">
      <c r="BT2441" s="124"/>
      <c r="BU2441" s="124"/>
      <c r="BV2441" s="124"/>
    </row>
    <row r="2442" spans="72:74" x14ac:dyDescent="0.2">
      <c r="BT2442" s="124"/>
      <c r="BU2442" s="124"/>
      <c r="BV2442" s="124"/>
    </row>
    <row r="2443" spans="72:74" x14ac:dyDescent="0.2">
      <c r="BT2443" s="124"/>
      <c r="BU2443" s="124"/>
      <c r="BV2443" s="124"/>
    </row>
    <row r="2444" spans="72:74" x14ac:dyDescent="0.2">
      <c r="BT2444" s="124"/>
      <c r="BU2444" s="124"/>
      <c r="BV2444" s="124"/>
    </row>
    <row r="2445" spans="72:74" x14ac:dyDescent="0.2">
      <c r="BT2445" s="124"/>
      <c r="BU2445" s="124"/>
      <c r="BV2445" s="124"/>
    </row>
    <row r="2446" spans="72:74" x14ac:dyDescent="0.2">
      <c r="BT2446" s="124"/>
      <c r="BU2446" s="124"/>
      <c r="BV2446" s="124"/>
    </row>
    <row r="2447" spans="72:74" x14ac:dyDescent="0.2">
      <c r="BT2447" s="124"/>
      <c r="BU2447" s="124"/>
      <c r="BV2447" s="124"/>
    </row>
    <row r="2448" spans="72:74" x14ac:dyDescent="0.2">
      <c r="BT2448" s="124"/>
      <c r="BU2448" s="124"/>
      <c r="BV2448" s="124"/>
    </row>
    <row r="2449" spans="72:74" x14ac:dyDescent="0.2">
      <c r="BT2449" s="124"/>
      <c r="BU2449" s="124"/>
      <c r="BV2449" s="124"/>
    </row>
    <row r="2450" spans="72:74" x14ac:dyDescent="0.2">
      <c r="BT2450" s="124"/>
      <c r="BU2450" s="124"/>
      <c r="BV2450" s="124"/>
    </row>
    <row r="2451" spans="72:74" x14ac:dyDescent="0.2">
      <c r="BT2451" s="124"/>
      <c r="BU2451" s="124"/>
      <c r="BV2451" s="124"/>
    </row>
    <row r="2452" spans="72:74" x14ac:dyDescent="0.2">
      <c r="BT2452" s="124"/>
      <c r="BU2452" s="124"/>
      <c r="BV2452" s="124"/>
    </row>
    <row r="2453" spans="72:74" x14ac:dyDescent="0.2">
      <c r="BT2453" s="124"/>
      <c r="BU2453" s="124"/>
      <c r="BV2453" s="124"/>
    </row>
    <row r="2454" spans="72:74" x14ac:dyDescent="0.2">
      <c r="BT2454" s="124"/>
      <c r="BU2454" s="124"/>
      <c r="BV2454" s="124"/>
    </row>
    <row r="2455" spans="72:74" x14ac:dyDescent="0.2">
      <c r="BT2455" s="124"/>
      <c r="BU2455" s="124"/>
      <c r="BV2455" s="124"/>
    </row>
    <row r="2456" spans="72:74" x14ac:dyDescent="0.2">
      <c r="BT2456" s="124"/>
      <c r="BU2456" s="124"/>
      <c r="BV2456" s="124"/>
    </row>
    <row r="2457" spans="72:74" x14ac:dyDescent="0.2">
      <c r="BT2457" s="124"/>
      <c r="BU2457" s="124"/>
      <c r="BV2457" s="124"/>
    </row>
    <row r="2458" spans="72:74" x14ac:dyDescent="0.2">
      <c r="BT2458" s="124"/>
      <c r="BU2458" s="124"/>
      <c r="BV2458" s="124"/>
    </row>
    <row r="2459" spans="72:74" x14ac:dyDescent="0.2">
      <c r="BT2459" s="124"/>
      <c r="BU2459" s="124"/>
      <c r="BV2459" s="124"/>
    </row>
    <row r="2460" spans="72:74" x14ac:dyDescent="0.2">
      <c r="BT2460" s="124"/>
      <c r="BU2460" s="124"/>
      <c r="BV2460" s="124"/>
    </row>
    <row r="2461" spans="72:74" x14ac:dyDescent="0.2">
      <c r="BT2461" s="124"/>
      <c r="BU2461" s="124"/>
      <c r="BV2461" s="124"/>
    </row>
    <row r="2462" spans="72:74" x14ac:dyDescent="0.2">
      <c r="BT2462" s="124"/>
      <c r="BU2462" s="124"/>
      <c r="BV2462" s="124"/>
    </row>
    <row r="2463" spans="72:74" x14ac:dyDescent="0.2">
      <c r="BT2463" s="124"/>
      <c r="BU2463" s="124"/>
      <c r="BV2463" s="124"/>
    </row>
    <row r="2464" spans="72:74" x14ac:dyDescent="0.2">
      <c r="BT2464" s="124"/>
      <c r="BU2464" s="124"/>
      <c r="BV2464" s="124"/>
    </row>
    <row r="2465" spans="72:74" x14ac:dyDescent="0.2">
      <c r="BT2465" s="124"/>
      <c r="BU2465" s="124"/>
      <c r="BV2465" s="124"/>
    </row>
    <row r="2466" spans="72:74" x14ac:dyDescent="0.2">
      <c r="BT2466" s="124"/>
      <c r="BU2466" s="124"/>
      <c r="BV2466" s="124"/>
    </row>
    <row r="2467" spans="72:74" x14ac:dyDescent="0.2">
      <c r="BT2467" s="124"/>
      <c r="BU2467" s="124"/>
      <c r="BV2467" s="124"/>
    </row>
    <row r="2468" spans="72:74" x14ac:dyDescent="0.2">
      <c r="BT2468" s="124"/>
      <c r="BU2468" s="124"/>
      <c r="BV2468" s="124"/>
    </row>
    <row r="2469" spans="72:74" x14ac:dyDescent="0.2">
      <c r="BT2469" s="124"/>
      <c r="BU2469" s="124"/>
      <c r="BV2469" s="124"/>
    </row>
    <row r="2470" spans="72:74" x14ac:dyDescent="0.2">
      <c r="BT2470" s="124"/>
      <c r="BU2470" s="124"/>
      <c r="BV2470" s="124"/>
    </row>
    <row r="2471" spans="72:74" x14ac:dyDescent="0.2">
      <c r="BT2471" s="124"/>
      <c r="BU2471" s="124"/>
      <c r="BV2471" s="124"/>
    </row>
    <row r="2472" spans="72:74" x14ac:dyDescent="0.2">
      <c r="BT2472" s="124"/>
      <c r="BU2472" s="124"/>
      <c r="BV2472" s="124"/>
    </row>
    <row r="2473" spans="72:74" x14ac:dyDescent="0.2">
      <c r="BT2473" s="124"/>
      <c r="BU2473" s="124"/>
      <c r="BV2473" s="124"/>
    </row>
    <row r="2474" spans="72:74" x14ac:dyDescent="0.2">
      <c r="BT2474" s="124"/>
      <c r="BU2474" s="124"/>
      <c r="BV2474" s="124"/>
    </row>
    <row r="2475" spans="72:74" x14ac:dyDescent="0.2">
      <c r="BT2475" s="124"/>
      <c r="BU2475" s="124"/>
      <c r="BV2475" s="124"/>
    </row>
    <row r="2476" spans="72:74" x14ac:dyDescent="0.2">
      <c r="BT2476" s="124"/>
      <c r="BU2476" s="124"/>
      <c r="BV2476" s="124"/>
    </row>
    <row r="2477" spans="72:74" x14ac:dyDescent="0.2">
      <c r="BT2477" s="124"/>
      <c r="BU2477" s="124"/>
      <c r="BV2477" s="124"/>
    </row>
    <row r="2478" spans="72:74" x14ac:dyDescent="0.2">
      <c r="BT2478" s="124"/>
      <c r="BU2478" s="124"/>
      <c r="BV2478" s="124"/>
    </row>
    <row r="2479" spans="72:74" x14ac:dyDescent="0.2">
      <c r="BT2479" s="124"/>
      <c r="BU2479" s="124"/>
      <c r="BV2479" s="124"/>
    </row>
    <row r="2480" spans="72:74" x14ac:dyDescent="0.2">
      <c r="BT2480" s="124"/>
      <c r="BU2480" s="124"/>
      <c r="BV2480" s="124"/>
    </row>
    <row r="2481" spans="72:74" x14ac:dyDescent="0.2">
      <c r="BT2481" s="124"/>
      <c r="BU2481" s="124"/>
      <c r="BV2481" s="124"/>
    </row>
    <row r="2482" spans="72:74" x14ac:dyDescent="0.2">
      <c r="BT2482" s="124"/>
      <c r="BU2482" s="124"/>
      <c r="BV2482" s="124"/>
    </row>
    <row r="2483" spans="72:74" x14ac:dyDescent="0.2">
      <c r="BT2483" s="124"/>
      <c r="BU2483" s="124"/>
      <c r="BV2483" s="124"/>
    </row>
    <row r="2484" spans="72:74" x14ac:dyDescent="0.2">
      <c r="BT2484" s="124"/>
      <c r="BU2484" s="124"/>
      <c r="BV2484" s="124"/>
    </row>
    <row r="2485" spans="72:74" x14ac:dyDescent="0.2">
      <c r="BT2485" s="124"/>
      <c r="BU2485" s="124"/>
      <c r="BV2485" s="124"/>
    </row>
    <row r="2486" spans="72:74" x14ac:dyDescent="0.2">
      <c r="BT2486" s="124"/>
      <c r="BU2486" s="124"/>
      <c r="BV2486" s="124"/>
    </row>
    <row r="2487" spans="72:74" x14ac:dyDescent="0.2">
      <c r="BT2487" s="124"/>
      <c r="BU2487" s="124"/>
      <c r="BV2487" s="124"/>
    </row>
    <row r="2488" spans="72:74" x14ac:dyDescent="0.2">
      <c r="BT2488" s="124"/>
      <c r="BU2488" s="124"/>
      <c r="BV2488" s="124"/>
    </row>
    <row r="2489" spans="72:74" x14ac:dyDescent="0.2">
      <c r="BT2489" s="124"/>
      <c r="BU2489" s="124"/>
      <c r="BV2489" s="124"/>
    </row>
    <row r="2490" spans="72:74" x14ac:dyDescent="0.2">
      <c r="BT2490" s="124"/>
      <c r="BU2490" s="124"/>
      <c r="BV2490" s="124"/>
    </row>
    <row r="2491" spans="72:74" x14ac:dyDescent="0.2">
      <c r="BT2491" s="124"/>
      <c r="BU2491" s="124"/>
      <c r="BV2491" s="124"/>
    </row>
    <row r="2492" spans="72:74" x14ac:dyDescent="0.2">
      <c r="BT2492" s="124"/>
      <c r="BU2492" s="124"/>
      <c r="BV2492" s="124"/>
    </row>
    <row r="2493" spans="72:74" x14ac:dyDescent="0.2">
      <c r="BT2493" s="124"/>
      <c r="BU2493" s="124"/>
      <c r="BV2493" s="124"/>
    </row>
    <row r="2494" spans="72:74" x14ac:dyDescent="0.2">
      <c r="BT2494" s="124"/>
      <c r="BU2494" s="124"/>
      <c r="BV2494" s="124"/>
    </row>
    <row r="2495" spans="72:74" x14ac:dyDescent="0.2">
      <c r="BT2495" s="124"/>
      <c r="BU2495" s="124"/>
      <c r="BV2495" s="124"/>
    </row>
    <row r="2496" spans="72:74" x14ac:dyDescent="0.2">
      <c r="BT2496" s="124"/>
      <c r="BU2496" s="124"/>
      <c r="BV2496" s="124"/>
    </row>
    <row r="2497" spans="72:74" x14ac:dyDescent="0.2">
      <c r="BT2497" s="124"/>
      <c r="BU2497" s="124"/>
      <c r="BV2497" s="124"/>
    </row>
    <row r="2498" spans="72:74" x14ac:dyDescent="0.2">
      <c r="BT2498" s="124"/>
      <c r="BU2498" s="124"/>
      <c r="BV2498" s="124"/>
    </row>
    <row r="2499" spans="72:74" x14ac:dyDescent="0.2">
      <c r="BT2499" s="124"/>
      <c r="BU2499" s="124"/>
      <c r="BV2499" s="124"/>
    </row>
    <row r="2500" spans="72:74" x14ac:dyDescent="0.2">
      <c r="BT2500" s="124"/>
      <c r="BU2500" s="124"/>
      <c r="BV2500" s="124"/>
    </row>
    <row r="2501" spans="72:74" x14ac:dyDescent="0.2">
      <c r="BT2501" s="124"/>
      <c r="BU2501" s="124"/>
      <c r="BV2501" s="124"/>
    </row>
    <row r="2502" spans="72:74" x14ac:dyDescent="0.2">
      <c r="BT2502" s="124"/>
      <c r="BU2502" s="124"/>
      <c r="BV2502" s="124"/>
    </row>
    <row r="2503" spans="72:74" x14ac:dyDescent="0.2">
      <c r="BT2503" s="124"/>
      <c r="BU2503" s="124"/>
      <c r="BV2503" s="124"/>
    </row>
    <row r="2504" spans="72:74" x14ac:dyDescent="0.2">
      <c r="BT2504" s="124"/>
      <c r="BU2504" s="124"/>
      <c r="BV2504" s="124"/>
    </row>
    <row r="2505" spans="72:74" x14ac:dyDescent="0.2">
      <c r="BT2505" s="124"/>
      <c r="BU2505" s="124"/>
      <c r="BV2505" s="124"/>
    </row>
    <row r="2506" spans="72:74" x14ac:dyDescent="0.2">
      <c r="BT2506" s="124"/>
      <c r="BU2506" s="124"/>
      <c r="BV2506" s="124"/>
    </row>
    <row r="2507" spans="72:74" x14ac:dyDescent="0.2">
      <c r="BT2507" s="124"/>
      <c r="BU2507" s="124"/>
      <c r="BV2507" s="124"/>
    </row>
    <row r="2508" spans="72:74" x14ac:dyDescent="0.2">
      <c r="BT2508" s="124"/>
      <c r="BU2508" s="124"/>
      <c r="BV2508" s="124"/>
    </row>
    <row r="2509" spans="72:74" x14ac:dyDescent="0.2">
      <c r="BT2509" s="124"/>
      <c r="BU2509" s="124"/>
      <c r="BV2509" s="124"/>
    </row>
    <row r="2510" spans="72:74" x14ac:dyDescent="0.2">
      <c r="BT2510" s="124"/>
      <c r="BU2510" s="124"/>
      <c r="BV2510" s="124"/>
    </row>
    <row r="2511" spans="72:74" x14ac:dyDescent="0.2">
      <c r="BT2511" s="124"/>
      <c r="BU2511" s="124"/>
      <c r="BV2511" s="124"/>
    </row>
    <row r="2512" spans="72:74" x14ac:dyDescent="0.2">
      <c r="BT2512" s="124"/>
      <c r="BU2512" s="124"/>
      <c r="BV2512" s="124"/>
    </row>
    <row r="2513" spans="72:74" x14ac:dyDescent="0.2">
      <c r="BT2513" s="124"/>
      <c r="BU2513" s="124"/>
      <c r="BV2513" s="124"/>
    </row>
    <row r="2514" spans="72:74" x14ac:dyDescent="0.2">
      <c r="BT2514" s="124"/>
      <c r="BU2514" s="124"/>
      <c r="BV2514" s="124"/>
    </row>
    <row r="2515" spans="72:74" x14ac:dyDescent="0.2">
      <c r="BT2515" s="124"/>
      <c r="BU2515" s="124"/>
      <c r="BV2515" s="124"/>
    </row>
    <row r="2516" spans="72:74" x14ac:dyDescent="0.2">
      <c r="BT2516" s="124"/>
      <c r="BU2516" s="124"/>
      <c r="BV2516" s="124"/>
    </row>
    <row r="2517" spans="72:74" x14ac:dyDescent="0.2">
      <c r="BT2517" s="124"/>
      <c r="BU2517" s="124"/>
      <c r="BV2517" s="124"/>
    </row>
    <row r="2518" spans="72:74" x14ac:dyDescent="0.2">
      <c r="BT2518" s="124"/>
      <c r="BU2518" s="124"/>
      <c r="BV2518" s="124"/>
    </row>
    <row r="2519" spans="72:74" x14ac:dyDescent="0.2">
      <c r="BT2519" s="124"/>
      <c r="BU2519" s="124"/>
      <c r="BV2519" s="124"/>
    </row>
    <row r="2520" spans="72:74" x14ac:dyDescent="0.2">
      <c r="BT2520" s="124"/>
      <c r="BU2520" s="124"/>
      <c r="BV2520" s="124"/>
    </row>
    <row r="2521" spans="72:74" x14ac:dyDescent="0.2">
      <c r="BT2521" s="124"/>
      <c r="BU2521" s="124"/>
      <c r="BV2521" s="124"/>
    </row>
    <row r="2522" spans="72:74" x14ac:dyDescent="0.2">
      <c r="BT2522" s="124"/>
      <c r="BU2522" s="124"/>
      <c r="BV2522" s="124"/>
    </row>
    <row r="2523" spans="72:74" x14ac:dyDescent="0.2">
      <c r="BT2523" s="124"/>
      <c r="BU2523" s="124"/>
      <c r="BV2523" s="124"/>
    </row>
    <row r="2524" spans="72:74" x14ac:dyDescent="0.2">
      <c r="BT2524" s="124"/>
      <c r="BU2524" s="124"/>
      <c r="BV2524" s="124"/>
    </row>
    <row r="2525" spans="72:74" x14ac:dyDescent="0.2">
      <c r="BT2525" s="124"/>
      <c r="BU2525" s="124"/>
      <c r="BV2525" s="124"/>
    </row>
    <row r="2526" spans="72:74" x14ac:dyDescent="0.2">
      <c r="BT2526" s="124"/>
      <c r="BU2526" s="124"/>
      <c r="BV2526" s="124"/>
    </row>
    <row r="2527" spans="72:74" x14ac:dyDescent="0.2">
      <c r="BT2527" s="124"/>
      <c r="BU2527" s="124"/>
      <c r="BV2527" s="124"/>
    </row>
    <row r="2528" spans="72:74" x14ac:dyDescent="0.2">
      <c r="BT2528" s="124"/>
      <c r="BU2528" s="124"/>
      <c r="BV2528" s="124"/>
    </row>
    <row r="2529" spans="72:74" x14ac:dyDescent="0.2">
      <c r="BT2529" s="124"/>
      <c r="BU2529" s="124"/>
      <c r="BV2529" s="124"/>
    </row>
    <row r="2530" spans="72:74" x14ac:dyDescent="0.2">
      <c r="BT2530" s="124"/>
      <c r="BU2530" s="124"/>
      <c r="BV2530" s="124"/>
    </row>
    <row r="2531" spans="72:74" x14ac:dyDescent="0.2">
      <c r="BT2531" s="124"/>
      <c r="BU2531" s="124"/>
      <c r="BV2531" s="124"/>
    </row>
    <row r="2532" spans="72:74" x14ac:dyDescent="0.2">
      <c r="BT2532" s="124"/>
      <c r="BU2532" s="124"/>
      <c r="BV2532" s="124"/>
    </row>
    <row r="2533" spans="72:74" x14ac:dyDescent="0.2">
      <c r="BT2533" s="124"/>
      <c r="BU2533" s="124"/>
      <c r="BV2533" s="124"/>
    </row>
    <row r="2534" spans="72:74" x14ac:dyDescent="0.2">
      <c r="BT2534" s="124"/>
      <c r="BU2534" s="124"/>
      <c r="BV2534" s="124"/>
    </row>
    <row r="2535" spans="72:74" x14ac:dyDescent="0.2">
      <c r="BT2535" s="124"/>
      <c r="BU2535" s="124"/>
      <c r="BV2535" s="124"/>
    </row>
    <row r="2536" spans="72:74" x14ac:dyDescent="0.2">
      <c r="BT2536" s="124"/>
      <c r="BU2536" s="124"/>
      <c r="BV2536" s="124"/>
    </row>
    <row r="2537" spans="72:74" x14ac:dyDescent="0.2">
      <c r="BT2537" s="124"/>
      <c r="BU2537" s="124"/>
      <c r="BV2537" s="124"/>
    </row>
    <row r="2538" spans="72:74" x14ac:dyDescent="0.2">
      <c r="BT2538" s="124"/>
      <c r="BU2538" s="124"/>
      <c r="BV2538" s="124"/>
    </row>
    <row r="2539" spans="72:74" x14ac:dyDescent="0.2">
      <c r="BT2539" s="124"/>
      <c r="BU2539" s="124"/>
      <c r="BV2539" s="124"/>
    </row>
    <row r="2540" spans="72:74" x14ac:dyDescent="0.2">
      <c r="BT2540" s="124"/>
      <c r="BU2540" s="124"/>
      <c r="BV2540" s="124"/>
    </row>
    <row r="2541" spans="72:74" x14ac:dyDescent="0.2">
      <c r="BT2541" s="124"/>
      <c r="BU2541" s="124"/>
      <c r="BV2541" s="124"/>
    </row>
    <row r="2542" spans="72:74" x14ac:dyDescent="0.2">
      <c r="BT2542" s="124"/>
      <c r="BU2542" s="124"/>
      <c r="BV2542" s="124"/>
    </row>
    <row r="2543" spans="72:74" x14ac:dyDescent="0.2">
      <c r="BT2543" s="124"/>
      <c r="BU2543" s="124"/>
      <c r="BV2543" s="124"/>
    </row>
    <row r="2544" spans="72:74" x14ac:dyDescent="0.2">
      <c r="BT2544" s="124"/>
      <c r="BU2544" s="124"/>
      <c r="BV2544" s="124"/>
    </row>
    <row r="2545" spans="72:74" x14ac:dyDescent="0.2">
      <c r="BT2545" s="124"/>
      <c r="BU2545" s="124"/>
      <c r="BV2545" s="124"/>
    </row>
    <row r="2546" spans="72:74" x14ac:dyDescent="0.2">
      <c r="BT2546" s="124"/>
      <c r="BU2546" s="124"/>
      <c r="BV2546" s="124"/>
    </row>
    <row r="2547" spans="72:74" x14ac:dyDescent="0.2">
      <c r="BT2547" s="124"/>
      <c r="BU2547" s="124"/>
      <c r="BV2547" s="124"/>
    </row>
    <row r="2548" spans="72:74" x14ac:dyDescent="0.2">
      <c r="BT2548" s="124"/>
      <c r="BU2548" s="124"/>
      <c r="BV2548" s="124"/>
    </row>
    <row r="2549" spans="72:74" x14ac:dyDescent="0.2">
      <c r="BT2549" s="124"/>
      <c r="BU2549" s="124"/>
      <c r="BV2549" s="124"/>
    </row>
    <row r="2550" spans="72:74" x14ac:dyDescent="0.2">
      <c r="BT2550" s="124"/>
      <c r="BU2550" s="124"/>
      <c r="BV2550" s="124"/>
    </row>
    <row r="2551" spans="72:74" x14ac:dyDescent="0.2">
      <c r="BT2551" s="124"/>
      <c r="BU2551" s="124"/>
      <c r="BV2551" s="124"/>
    </row>
    <row r="2552" spans="72:74" x14ac:dyDescent="0.2">
      <c r="BT2552" s="124"/>
      <c r="BU2552" s="124"/>
      <c r="BV2552" s="124"/>
    </row>
    <row r="2553" spans="72:74" x14ac:dyDescent="0.2">
      <c r="BT2553" s="124"/>
      <c r="BU2553" s="124"/>
      <c r="BV2553" s="124"/>
    </row>
    <row r="2554" spans="72:74" x14ac:dyDescent="0.2">
      <c r="BT2554" s="124"/>
      <c r="BU2554" s="124"/>
      <c r="BV2554" s="124"/>
    </row>
    <row r="2555" spans="72:74" x14ac:dyDescent="0.2">
      <c r="BT2555" s="124"/>
      <c r="BU2555" s="124"/>
      <c r="BV2555" s="124"/>
    </row>
    <row r="2556" spans="72:74" x14ac:dyDescent="0.2">
      <c r="BT2556" s="124"/>
      <c r="BU2556" s="124"/>
      <c r="BV2556" s="124"/>
    </row>
    <row r="2557" spans="72:74" x14ac:dyDescent="0.2">
      <c r="BT2557" s="124"/>
      <c r="BU2557" s="124"/>
      <c r="BV2557" s="124"/>
    </row>
    <row r="2558" spans="72:74" x14ac:dyDescent="0.2">
      <c r="BT2558" s="124"/>
      <c r="BU2558" s="124"/>
      <c r="BV2558" s="124"/>
    </row>
    <row r="2559" spans="72:74" x14ac:dyDescent="0.2">
      <c r="BT2559" s="124"/>
      <c r="BU2559" s="124"/>
      <c r="BV2559" s="124"/>
    </row>
    <row r="2560" spans="72:74" x14ac:dyDescent="0.2">
      <c r="BT2560" s="124"/>
      <c r="BU2560" s="124"/>
      <c r="BV2560" s="124"/>
    </row>
    <row r="2561" spans="72:74" x14ac:dyDescent="0.2">
      <c r="BT2561" s="124"/>
      <c r="BU2561" s="124"/>
      <c r="BV2561" s="124"/>
    </row>
    <row r="2562" spans="72:74" x14ac:dyDescent="0.2">
      <c r="BT2562" s="124"/>
      <c r="BU2562" s="124"/>
      <c r="BV2562" s="124"/>
    </row>
    <row r="2563" spans="72:74" x14ac:dyDescent="0.2">
      <c r="BT2563" s="124"/>
      <c r="BU2563" s="124"/>
      <c r="BV2563" s="124"/>
    </row>
    <row r="2564" spans="72:74" x14ac:dyDescent="0.2">
      <c r="BT2564" s="124"/>
      <c r="BU2564" s="124"/>
      <c r="BV2564" s="124"/>
    </row>
    <row r="2565" spans="72:74" x14ac:dyDescent="0.2">
      <c r="BT2565" s="124"/>
      <c r="BU2565" s="124"/>
      <c r="BV2565" s="124"/>
    </row>
    <row r="2566" spans="72:74" x14ac:dyDescent="0.2">
      <c r="BT2566" s="124"/>
      <c r="BU2566" s="124"/>
      <c r="BV2566" s="124"/>
    </row>
    <row r="2567" spans="72:74" x14ac:dyDescent="0.2">
      <c r="BT2567" s="124"/>
      <c r="BU2567" s="124"/>
      <c r="BV2567" s="124"/>
    </row>
    <row r="2568" spans="72:74" x14ac:dyDescent="0.2">
      <c r="BT2568" s="124"/>
      <c r="BU2568" s="124"/>
      <c r="BV2568" s="124"/>
    </row>
    <row r="2569" spans="72:74" x14ac:dyDescent="0.2">
      <c r="BT2569" s="124"/>
      <c r="BU2569" s="124"/>
      <c r="BV2569" s="124"/>
    </row>
    <row r="2570" spans="72:74" x14ac:dyDescent="0.2">
      <c r="BT2570" s="124"/>
      <c r="BU2570" s="124"/>
      <c r="BV2570" s="124"/>
    </row>
    <row r="2571" spans="72:74" x14ac:dyDescent="0.2">
      <c r="BT2571" s="124"/>
      <c r="BU2571" s="124"/>
      <c r="BV2571" s="124"/>
    </row>
    <row r="2572" spans="72:74" x14ac:dyDescent="0.2">
      <c r="BT2572" s="124"/>
      <c r="BU2572" s="124"/>
      <c r="BV2572" s="124"/>
    </row>
    <row r="2573" spans="72:74" x14ac:dyDescent="0.2">
      <c r="BT2573" s="124"/>
      <c r="BU2573" s="124"/>
      <c r="BV2573" s="124"/>
    </row>
    <row r="2574" spans="72:74" x14ac:dyDescent="0.2">
      <c r="BT2574" s="124"/>
      <c r="BU2574" s="124"/>
      <c r="BV2574" s="124"/>
    </row>
    <row r="2575" spans="72:74" x14ac:dyDescent="0.2">
      <c r="BT2575" s="124"/>
      <c r="BU2575" s="124"/>
      <c r="BV2575" s="124"/>
    </row>
    <row r="2576" spans="72:74" x14ac:dyDescent="0.2">
      <c r="BT2576" s="124"/>
      <c r="BU2576" s="124"/>
      <c r="BV2576" s="124"/>
    </row>
    <row r="2577" spans="72:74" x14ac:dyDescent="0.2">
      <c r="BT2577" s="124"/>
      <c r="BU2577" s="124"/>
      <c r="BV2577" s="124"/>
    </row>
    <row r="2578" spans="72:74" x14ac:dyDescent="0.2">
      <c r="BT2578" s="124"/>
      <c r="BU2578" s="124"/>
      <c r="BV2578" s="124"/>
    </row>
    <row r="2579" spans="72:74" x14ac:dyDescent="0.2">
      <c r="BT2579" s="124"/>
      <c r="BU2579" s="124"/>
      <c r="BV2579" s="124"/>
    </row>
    <row r="2580" spans="72:74" x14ac:dyDescent="0.2">
      <c r="BT2580" s="124"/>
      <c r="BU2580" s="124"/>
      <c r="BV2580" s="124"/>
    </row>
    <row r="2581" spans="72:74" x14ac:dyDescent="0.2">
      <c r="BT2581" s="124"/>
      <c r="BU2581" s="124"/>
      <c r="BV2581" s="124"/>
    </row>
    <row r="2582" spans="72:74" x14ac:dyDescent="0.2">
      <c r="BT2582" s="124"/>
      <c r="BU2582" s="124"/>
      <c r="BV2582" s="124"/>
    </row>
    <row r="2583" spans="72:74" x14ac:dyDescent="0.2">
      <c r="BT2583" s="124"/>
      <c r="BU2583" s="124"/>
      <c r="BV2583" s="124"/>
    </row>
    <row r="2584" spans="72:74" x14ac:dyDescent="0.2">
      <c r="BT2584" s="124"/>
      <c r="BU2584" s="124"/>
      <c r="BV2584" s="124"/>
    </row>
    <row r="2585" spans="72:74" x14ac:dyDescent="0.2">
      <c r="BT2585" s="124"/>
      <c r="BU2585" s="124"/>
      <c r="BV2585" s="124"/>
    </row>
    <row r="2586" spans="72:74" x14ac:dyDescent="0.2">
      <c r="BT2586" s="124"/>
      <c r="BU2586" s="124"/>
      <c r="BV2586" s="124"/>
    </row>
    <row r="2587" spans="72:74" x14ac:dyDescent="0.2">
      <c r="BT2587" s="124"/>
      <c r="BU2587" s="124"/>
      <c r="BV2587" s="124"/>
    </row>
    <row r="2588" spans="72:74" x14ac:dyDescent="0.2">
      <c r="BT2588" s="124"/>
      <c r="BU2588" s="124"/>
      <c r="BV2588" s="124"/>
    </row>
    <row r="2589" spans="72:74" x14ac:dyDescent="0.2">
      <c r="BT2589" s="124"/>
      <c r="BU2589" s="124"/>
      <c r="BV2589" s="124"/>
    </row>
    <row r="2590" spans="72:74" x14ac:dyDescent="0.2">
      <c r="BT2590" s="124"/>
      <c r="BU2590" s="124"/>
      <c r="BV2590" s="124"/>
    </row>
    <row r="2591" spans="72:74" x14ac:dyDescent="0.2">
      <c r="BT2591" s="124"/>
      <c r="BU2591" s="124"/>
      <c r="BV2591" s="124"/>
    </row>
    <row r="2592" spans="72:74" x14ac:dyDescent="0.2">
      <c r="BT2592" s="124"/>
      <c r="BU2592" s="124"/>
      <c r="BV2592" s="124"/>
    </row>
    <row r="2593" spans="72:74" x14ac:dyDescent="0.2">
      <c r="BT2593" s="124"/>
      <c r="BU2593" s="124"/>
      <c r="BV2593" s="124"/>
    </row>
    <row r="2594" spans="72:74" x14ac:dyDescent="0.2">
      <c r="BT2594" s="124"/>
      <c r="BU2594" s="124"/>
      <c r="BV2594" s="124"/>
    </row>
    <row r="2595" spans="72:74" x14ac:dyDescent="0.2">
      <c r="BT2595" s="124"/>
      <c r="BU2595" s="124"/>
      <c r="BV2595" s="124"/>
    </row>
    <row r="2596" spans="72:74" x14ac:dyDescent="0.2">
      <c r="BT2596" s="124"/>
      <c r="BU2596" s="124"/>
      <c r="BV2596" s="124"/>
    </row>
    <row r="2597" spans="72:74" x14ac:dyDescent="0.2">
      <c r="BT2597" s="124"/>
      <c r="BU2597" s="124"/>
      <c r="BV2597" s="124"/>
    </row>
    <row r="2598" spans="72:74" x14ac:dyDescent="0.2">
      <c r="BT2598" s="124"/>
      <c r="BU2598" s="124"/>
      <c r="BV2598" s="124"/>
    </row>
    <row r="2599" spans="72:74" x14ac:dyDescent="0.2">
      <c r="BT2599" s="124"/>
      <c r="BU2599" s="124"/>
      <c r="BV2599" s="124"/>
    </row>
    <row r="2600" spans="72:74" x14ac:dyDescent="0.2">
      <c r="BT2600" s="124"/>
      <c r="BU2600" s="124"/>
      <c r="BV2600" s="124"/>
    </row>
    <row r="2601" spans="72:74" x14ac:dyDescent="0.2">
      <c r="BT2601" s="124"/>
      <c r="BU2601" s="124"/>
      <c r="BV2601" s="124"/>
    </row>
    <row r="2602" spans="72:74" x14ac:dyDescent="0.2">
      <c r="BT2602" s="124"/>
      <c r="BU2602" s="124"/>
      <c r="BV2602" s="124"/>
    </row>
    <row r="2603" spans="72:74" x14ac:dyDescent="0.2">
      <c r="BT2603" s="124"/>
      <c r="BU2603" s="124"/>
      <c r="BV2603" s="124"/>
    </row>
    <row r="2604" spans="72:74" x14ac:dyDescent="0.2">
      <c r="BT2604" s="124"/>
      <c r="BU2604" s="124"/>
      <c r="BV2604" s="124"/>
    </row>
    <row r="2605" spans="72:74" x14ac:dyDescent="0.2">
      <c r="BT2605" s="124"/>
      <c r="BU2605" s="124"/>
      <c r="BV2605" s="124"/>
    </row>
    <row r="2606" spans="72:74" x14ac:dyDescent="0.2">
      <c r="BT2606" s="124"/>
      <c r="BU2606" s="124"/>
      <c r="BV2606" s="124"/>
    </row>
    <row r="2607" spans="72:74" x14ac:dyDescent="0.2">
      <c r="BT2607" s="124"/>
      <c r="BU2607" s="124"/>
      <c r="BV2607" s="124"/>
    </row>
    <row r="2608" spans="72:74" x14ac:dyDescent="0.2">
      <c r="BT2608" s="124"/>
      <c r="BU2608" s="124"/>
      <c r="BV2608" s="124"/>
    </row>
    <row r="2609" spans="72:74" x14ac:dyDescent="0.2">
      <c r="BT2609" s="124"/>
      <c r="BU2609" s="124"/>
      <c r="BV2609" s="124"/>
    </row>
    <row r="2610" spans="72:74" x14ac:dyDescent="0.2">
      <c r="BT2610" s="124"/>
      <c r="BU2610" s="124"/>
      <c r="BV2610" s="124"/>
    </row>
    <row r="2611" spans="72:74" x14ac:dyDescent="0.2">
      <c r="BT2611" s="124"/>
      <c r="BU2611" s="124"/>
      <c r="BV2611" s="124"/>
    </row>
    <row r="2612" spans="72:74" x14ac:dyDescent="0.2">
      <c r="BT2612" s="124"/>
      <c r="BU2612" s="124"/>
      <c r="BV2612" s="124"/>
    </row>
    <row r="2613" spans="72:74" x14ac:dyDescent="0.2">
      <c r="BT2613" s="124"/>
      <c r="BU2613" s="124"/>
      <c r="BV2613" s="124"/>
    </row>
    <row r="2614" spans="72:74" x14ac:dyDescent="0.2">
      <c r="BT2614" s="124"/>
      <c r="BU2614" s="124"/>
      <c r="BV2614" s="124"/>
    </row>
    <row r="2615" spans="72:74" x14ac:dyDescent="0.2">
      <c r="BT2615" s="124"/>
      <c r="BU2615" s="124"/>
      <c r="BV2615" s="124"/>
    </row>
    <row r="2616" spans="72:74" x14ac:dyDescent="0.2">
      <c r="BT2616" s="124"/>
      <c r="BU2616" s="124"/>
      <c r="BV2616" s="124"/>
    </row>
    <row r="2617" spans="72:74" x14ac:dyDescent="0.2">
      <c r="BT2617" s="124"/>
      <c r="BU2617" s="124"/>
      <c r="BV2617" s="124"/>
    </row>
    <row r="2618" spans="72:74" x14ac:dyDescent="0.2">
      <c r="BT2618" s="124"/>
      <c r="BU2618" s="124"/>
      <c r="BV2618" s="124"/>
    </row>
    <row r="2619" spans="72:74" x14ac:dyDescent="0.2">
      <c r="BT2619" s="124"/>
      <c r="BU2619" s="124"/>
      <c r="BV2619" s="124"/>
    </row>
    <row r="2620" spans="72:74" x14ac:dyDescent="0.2">
      <c r="BT2620" s="124"/>
      <c r="BU2620" s="124"/>
      <c r="BV2620" s="124"/>
    </row>
    <row r="2621" spans="72:74" x14ac:dyDescent="0.2">
      <c r="BT2621" s="124"/>
      <c r="BU2621" s="124"/>
      <c r="BV2621" s="124"/>
    </row>
    <row r="2622" spans="72:74" x14ac:dyDescent="0.2">
      <c r="BT2622" s="124"/>
      <c r="BU2622" s="124"/>
      <c r="BV2622" s="124"/>
    </row>
    <row r="2623" spans="72:74" x14ac:dyDescent="0.2">
      <c r="BT2623" s="124"/>
      <c r="BU2623" s="124"/>
      <c r="BV2623" s="124"/>
    </row>
    <row r="2624" spans="72:74" x14ac:dyDescent="0.2">
      <c r="BT2624" s="124"/>
      <c r="BU2624" s="124"/>
      <c r="BV2624" s="124"/>
    </row>
    <row r="2625" spans="72:74" x14ac:dyDescent="0.2">
      <c r="BT2625" s="124"/>
      <c r="BU2625" s="124"/>
      <c r="BV2625" s="124"/>
    </row>
    <row r="2626" spans="72:74" x14ac:dyDescent="0.2">
      <c r="BT2626" s="124"/>
      <c r="BU2626" s="124"/>
      <c r="BV2626" s="124"/>
    </row>
    <row r="2627" spans="72:74" x14ac:dyDescent="0.2">
      <c r="BT2627" s="124"/>
      <c r="BU2627" s="124"/>
      <c r="BV2627" s="124"/>
    </row>
    <row r="2628" spans="72:74" x14ac:dyDescent="0.2">
      <c r="BT2628" s="124"/>
      <c r="BU2628" s="124"/>
      <c r="BV2628" s="124"/>
    </row>
    <row r="2629" spans="72:74" x14ac:dyDescent="0.2">
      <c r="BT2629" s="124"/>
      <c r="BU2629" s="124"/>
      <c r="BV2629" s="124"/>
    </row>
    <row r="2630" spans="72:74" x14ac:dyDescent="0.2">
      <c r="BT2630" s="124"/>
      <c r="BU2630" s="124"/>
      <c r="BV2630" s="124"/>
    </row>
    <row r="2631" spans="72:74" x14ac:dyDescent="0.2">
      <c r="BT2631" s="124"/>
      <c r="BU2631" s="124"/>
      <c r="BV2631" s="124"/>
    </row>
    <row r="2632" spans="72:74" x14ac:dyDescent="0.2">
      <c r="BT2632" s="124"/>
      <c r="BU2632" s="124"/>
      <c r="BV2632" s="124"/>
    </row>
    <row r="2633" spans="72:74" x14ac:dyDescent="0.2">
      <c r="BT2633" s="124"/>
      <c r="BU2633" s="124"/>
      <c r="BV2633" s="124"/>
    </row>
    <row r="2634" spans="72:74" x14ac:dyDescent="0.2">
      <c r="BT2634" s="124"/>
      <c r="BU2634" s="124"/>
      <c r="BV2634" s="124"/>
    </row>
    <row r="2635" spans="72:74" x14ac:dyDescent="0.2">
      <c r="BT2635" s="124"/>
      <c r="BU2635" s="124"/>
      <c r="BV2635" s="124"/>
    </row>
    <row r="2636" spans="72:74" x14ac:dyDescent="0.2">
      <c r="BT2636" s="124"/>
      <c r="BU2636" s="124"/>
      <c r="BV2636" s="124"/>
    </row>
    <row r="2637" spans="72:74" x14ac:dyDescent="0.2">
      <c r="BT2637" s="124"/>
      <c r="BU2637" s="124"/>
      <c r="BV2637" s="124"/>
    </row>
    <row r="2638" spans="72:74" x14ac:dyDescent="0.2">
      <c r="BT2638" s="124"/>
      <c r="BU2638" s="124"/>
      <c r="BV2638" s="124"/>
    </row>
    <row r="2639" spans="72:74" x14ac:dyDescent="0.2">
      <c r="BT2639" s="124"/>
      <c r="BU2639" s="124"/>
      <c r="BV2639" s="124"/>
    </row>
    <row r="2640" spans="72:74" x14ac:dyDescent="0.2">
      <c r="BT2640" s="124"/>
      <c r="BU2640" s="124"/>
      <c r="BV2640" s="124"/>
    </row>
    <row r="2641" spans="72:74" x14ac:dyDescent="0.2">
      <c r="BT2641" s="124"/>
      <c r="BU2641" s="124"/>
      <c r="BV2641" s="124"/>
    </row>
    <row r="2642" spans="72:74" x14ac:dyDescent="0.2">
      <c r="BT2642" s="124"/>
      <c r="BU2642" s="124"/>
      <c r="BV2642" s="124"/>
    </row>
    <row r="2643" spans="72:74" x14ac:dyDescent="0.2">
      <c r="BT2643" s="124"/>
      <c r="BU2643" s="124"/>
      <c r="BV2643" s="124"/>
    </row>
    <row r="2644" spans="72:74" x14ac:dyDescent="0.2">
      <c r="BT2644" s="124"/>
      <c r="BU2644" s="124"/>
      <c r="BV2644" s="124"/>
    </row>
    <row r="2645" spans="72:74" x14ac:dyDescent="0.2">
      <c r="BT2645" s="124"/>
      <c r="BU2645" s="124"/>
      <c r="BV2645" s="124"/>
    </row>
    <row r="2646" spans="72:74" x14ac:dyDescent="0.2">
      <c r="BT2646" s="124"/>
      <c r="BU2646" s="124"/>
      <c r="BV2646" s="124"/>
    </row>
    <row r="2647" spans="72:74" x14ac:dyDescent="0.2">
      <c r="BT2647" s="124"/>
      <c r="BU2647" s="124"/>
      <c r="BV2647" s="124"/>
    </row>
    <row r="2648" spans="72:74" x14ac:dyDescent="0.2">
      <c r="BT2648" s="124"/>
      <c r="BU2648" s="124"/>
      <c r="BV2648" s="124"/>
    </row>
    <row r="2649" spans="72:74" x14ac:dyDescent="0.2">
      <c r="BT2649" s="124"/>
      <c r="BU2649" s="124"/>
      <c r="BV2649" s="124"/>
    </row>
    <row r="2650" spans="72:74" x14ac:dyDescent="0.2">
      <c r="BT2650" s="124"/>
      <c r="BU2650" s="124"/>
      <c r="BV2650" s="124"/>
    </row>
    <row r="2651" spans="72:74" x14ac:dyDescent="0.2">
      <c r="BT2651" s="124"/>
      <c r="BU2651" s="124"/>
      <c r="BV2651" s="124"/>
    </row>
    <row r="2652" spans="72:74" x14ac:dyDescent="0.2">
      <c r="BT2652" s="124"/>
      <c r="BU2652" s="124"/>
      <c r="BV2652" s="124"/>
    </row>
    <row r="2653" spans="72:74" x14ac:dyDescent="0.2">
      <c r="BT2653" s="124"/>
      <c r="BU2653" s="124"/>
      <c r="BV2653" s="124"/>
    </row>
    <row r="2654" spans="72:74" x14ac:dyDescent="0.2">
      <c r="BT2654" s="124"/>
      <c r="BU2654" s="124"/>
      <c r="BV2654" s="124"/>
    </row>
    <row r="2655" spans="72:74" x14ac:dyDescent="0.2">
      <c r="BT2655" s="124"/>
      <c r="BU2655" s="124"/>
      <c r="BV2655" s="124"/>
    </row>
    <row r="2656" spans="72:74" x14ac:dyDescent="0.2">
      <c r="BT2656" s="124"/>
      <c r="BU2656" s="124"/>
      <c r="BV2656" s="124"/>
    </row>
    <row r="2657" spans="72:74" x14ac:dyDescent="0.2">
      <c r="BT2657" s="124"/>
      <c r="BU2657" s="124"/>
      <c r="BV2657" s="124"/>
    </row>
    <row r="2658" spans="72:74" x14ac:dyDescent="0.2">
      <c r="BT2658" s="124"/>
      <c r="BU2658" s="124"/>
      <c r="BV2658" s="124"/>
    </row>
    <row r="2659" spans="72:74" x14ac:dyDescent="0.2">
      <c r="BT2659" s="124"/>
      <c r="BU2659" s="124"/>
      <c r="BV2659" s="124"/>
    </row>
    <row r="2660" spans="72:74" x14ac:dyDescent="0.2">
      <c r="BT2660" s="124"/>
      <c r="BU2660" s="124"/>
      <c r="BV2660" s="124"/>
    </row>
    <row r="2661" spans="72:74" x14ac:dyDescent="0.2">
      <c r="BT2661" s="124"/>
      <c r="BU2661" s="124"/>
      <c r="BV2661" s="124"/>
    </row>
    <row r="2662" spans="72:74" x14ac:dyDescent="0.2">
      <c r="BT2662" s="124"/>
      <c r="BU2662" s="124"/>
      <c r="BV2662" s="124"/>
    </row>
    <row r="2663" spans="72:74" x14ac:dyDescent="0.2">
      <c r="BT2663" s="124"/>
      <c r="BU2663" s="124"/>
      <c r="BV2663" s="124"/>
    </row>
    <row r="2664" spans="72:74" x14ac:dyDescent="0.2">
      <c r="BT2664" s="124"/>
      <c r="BU2664" s="124"/>
      <c r="BV2664" s="124"/>
    </row>
    <row r="2665" spans="72:74" x14ac:dyDescent="0.2">
      <c r="BT2665" s="124"/>
      <c r="BU2665" s="124"/>
      <c r="BV2665" s="124"/>
    </row>
    <row r="2666" spans="72:74" x14ac:dyDescent="0.2">
      <c r="BT2666" s="124"/>
      <c r="BU2666" s="124"/>
      <c r="BV2666" s="124"/>
    </row>
    <row r="2667" spans="72:74" x14ac:dyDescent="0.2">
      <c r="BT2667" s="124"/>
      <c r="BU2667" s="124"/>
      <c r="BV2667" s="124"/>
    </row>
    <row r="2668" spans="72:74" x14ac:dyDescent="0.2">
      <c r="BT2668" s="124"/>
      <c r="BU2668" s="124"/>
      <c r="BV2668" s="124"/>
    </row>
    <row r="2669" spans="72:74" x14ac:dyDescent="0.2">
      <c r="BT2669" s="124"/>
      <c r="BU2669" s="124"/>
      <c r="BV2669" s="124"/>
    </row>
    <row r="2670" spans="72:74" x14ac:dyDescent="0.2">
      <c r="BT2670" s="124"/>
      <c r="BU2670" s="124"/>
      <c r="BV2670" s="124"/>
    </row>
    <row r="2671" spans="72:74" x14ac:dyDescent="0.2">
      <c r="BT2671" s="124"/>
      <c r="BU2671" s="124"/>
      <c r="BV2671" s="124"/>
    </row>
    <row r="2672" spans="72:74" x14ac:dyDescent="0.2">
      <c r="BT2672" s="124"/>
      <c r="BU2672" s="124"/>
      <c r="BV2672" s="124"/>
    </row>
    <row r="2673" spans="72:74" x14ac:dyDescent="0.2">
      <c r="BT2673" s="124"/>
      <c r="BU2673" s="124"/>
      <c r="BV2673" s="124"/>
    </row>
    <row r="2674" spans="72:74" x14ac:dyDescent="0.2">
      <c r="BT2674" s="124"/>
      <c r="BU2674" s="124"/>
      <c r="BV2674" s="124"/>
    </row>
    <row r="2675" spans="72:74" x14ac:dyDescent="0.2">
      <c r="BT2675" s="124"/>
      <c r="BU2675" s="124"/>
      <c r="BV2675" s="124"/>
    </row>
    <row r="2676" spans="72:74" x14ac:dyDescent="0.2">
      <c r="BT2676" s="124"/>
      <c r="BU2676" s="124"/>
      <c r="BV2676" s="124"/>
    </row>
    <row r="2677" spans="72:74" x14ac:dyDescent="0.2">
      <c r="BT2677" s="124"/>
      <c r="BU2677" s="124"/>
      <c r="BV2677" s="124"/>
    </row>
    <row r="2678" spans="72:74" x14ac:dyDescent="0.2">
      <c r="BT2678" s="124"/>
      <c r="BU2678" s="124"/>
      <c r="BV2678" s="124"/>
    </row>
    <row r="2679" spans="72:74" x14ac:dyDescent="0.2">
      <c r="BT2679" s="124"/>
      <c r="BU2679" s="124"/>
      <c r="BV2679" s="124"/>
    </row>
    <row r="2680" spans="72:74" x14ac:dyDescent="0.2">
      <c r="BT2680" s="124"/>
      <c r="BU2680" s="124"/>
      <c r="BV2680" s="124"/>
    </row>
    <row r="2681" spans="72:74" x14ac:dyDescent="0.2">
      <c r="BT2681" s="124"/>
      <c r="BU2681" s="124"/>
      <c r="BV2681" s="124"/>
    </row>
    <row r="2682" spans="72:74" x14ac:dyDescent="0.2">
      <c r="BT2682" s="124"/>
      <c r="BU2682" s="124"/>
      <c r="BV2682" s="124"/>
    </row>
    <row r="2683" spans="72:74" x14ac:dyDescent="0.2">
      <c r="BT2683" s="124"/>
      <c r="BU2683" s="124"/>
      <c r="BV2683" s="124"/>
    </row>
    <row r="2684" spans="72:74" x14ac:dyDescent="0.2">
      <c r="BT2684" s="124"/>
      <c r="BU2684" s="124"/>
      <c r="BV2684" s="124"/>
    </row>
    <row r="2685" spans="72:74" x14ac:dyDescent="0.2">
      <c r="BT2685" s="124"/>
      <c r="BU2685" s="124"/>
      <c r="BV2685" s="124"/>
    </row>
    <row r="2686" spans="72:74" x14ac:dyDescent="0.2">
      <c r="BT2686" s="124"/>
      <c r="BU2686" s="124"/>
      <c r="BV2686" s="124"/>
    </row>
    <row r="2687" spans="72:74" x14ac:dyDescent="0.2">
      <c r="BT2687" s="124"/>
      <c r="BU2687" s="124"/>
      <c r="BV2687" s="124"/>
    </row>
    <row r="2688" spans="72:74" x14ac:dyDescent="0.2">
      <c r="BT2688" s="124"/>
      <c r="BU2688" s="124"/>
      <c r="BV2688" s="124"/>
    </row>
    <row r="2689" spans="72:74" x14ac:dyDescent="0.2">
      <c r="BT2689" s="124"/>
      <c r="BU2689" s="124"/>
      <c r="BV2689" s="124"/>
    </row>
    <row r="2690" spans="72:74" x14ac:dyDescent="0.2">
      <c r="BT2690" s="124"/>
      <c r="BU2690" s="124"/>
      <c r="BV2690" s="124"/>
    </row>
    <row r="2691" spans="72:74" x14ac:dyDescent="0.2">
      <c r="BT2691" s="124"/>
      <c r="BU2691" s="124"/>
      <c r="BV2691" s="124"/>
    </row>
    <row r="2692" spans="72:74" x14ac:dyDescent="0.2">
      <c r="BT2692" s="124"/>
      <c r="BU2692" s="124"/>
      <c r="BV2692" s="124"/>
    </row>
    <row r="2693" spans="72:74" x14ac:dyDescent="0.2">
      <c r="BT2693" s="124"/>
      <c r="BU2693" s="124"/>
      <c r="BV2693" s="124"/>
    </row>
    <row r="2694" spans="72:74" x14ac:dyDescent="0.2">
      <c r="BT2694" s="124"/>
      <c r="BU2694" s="124"/>
      <c r="BV2694" s="124"/>
    </row>
    <row r="2695" spans="72:74" x14ac:dyDescent="0.2">
      <c r="BT2695" s="124"/>
      <c r="BU2695" s="124"/>
      <c r="BV2695" s="124"/>
    </row>
    <row r="2696" spans="72:74" x14ac:dyDescent="0.2">
      <c r="BT2696" s="124"/>
      <c r="BU2696" s="124"/>
      <c r="BV2696" s="124"/>
    </row>
    <row r="2697" spans="72:74" x14ac:dyDescent="0.2">
      <c r="BT2697" s="124"/>
      <c r="BU2697" s="124"/>
      <c r="BV2697" s="124"/>
    </row>
    <row r="2698" spans="72:74" x14ac:dyDescent="0.2">
      <c r="BT2698" s="124"/>
      <c r="BU2698" s="124"/>
      <c r="BV2698" s="124"/>
    </row>
    <row r="2699" spans="72:74" x14ac:dyDescent="0.2">
      <c r="BT2699" s="124"/>
      <c r="BU2699" s="124"/>
      <c r="BV2699" s="124"/>
    </row>
    <row r="2700" spans="72:74" x14ac:dyDescent="0.2">
      <c r="BT2700" s="124"/>
      <c r="BU2700" s="124"/>
      <c r="BV2700" s="124"/>
    </row>
    <row r="2701" spans="72:74" x14ac:dyDescent="0.2">
      <c r="BT2701" s="124"/>
      <c r="BU2701" s="124"/>
      <c r="BV2701" s="124"/>
    </row>
    <row r="2702" spans="72:74" x14ac:dyDescent="0.2">
      <c r="BT2702" s="124"/>
      <c r="BU2702" s="124"/>
      <c r="BV2702" s="124"/>
    </row>
    <row r="2703" spans="72:74" x14ac:dyDescent="0.2">
      <c r="BT2703" s="124"/>
      <c r="BU2703" s="124"/>
      <c r="BV2703" s="124"/>
    </row>
    <row r="2704" spans="72:74" x14ac:dyDescent="0.2">
      <c r="BT2704" s="124"/>
      <c r="BU2704" s="124"/>
      <c r="BV2704" s="124"/>
    </row>
    <row r="2705" spans="72:74" x14ac:dyDescent="0.2">
      <c r="BT2705" s="124"/>
      <c r="BU2705" s="124"/>
      <c r="BV2705" s="124"/>
    </row>
    <row r="2706" spans="72:74" x14ac:dyDescent="0.2">
      <c r="BT2706" s="124"/>
      <c r="BU2706" s="124"/>
      <c r="BV2706" s="124"/>
    </row>
    <row r="2707" spans="72:74" x14ac:dyDescent="0.2">
      <c r="BT2707" s="124"/>
      <c r="BU2707" s="124"/>
      <c r="BV2707" s="124"/>
    </row>
    <row r="2708" spans="72:74" x14ac:dyDescent="0.2">
      <c r="BT2708" s="124"/>
      <c r="BU2708" s="124"/>
      <c r="BV2708" s="124"/>
    </row>
    <row r="2709" spans="72:74" x14ac:dyDescent="0.2">
      <c r="BT2709" s="124"/>
      <c r="BU2709" s="124"/>
      <c r="BV2709" s="124"/>
    </row>
    <row r="2710" spans="72:74" x14ac:dyDescent="0.2">
      <c r="BT2710" s="124"/>
      <c r="BU2710" s="124"/>
      <c r="BV2710" s="124"/>
    </row>
    <row r="2711" spans="72:74" x14ac:dyDescent="0.2">
      <c r="BT2711" s="124"/>
      <c r="BU2711" s="124"/>
      <c r="BV2711" s="124"/>
    </row>
    <row r="2712" spans="72:74" x14ac:dyDescent="0.2">
      <c r="BT2712" s="124"/>
      <c r="BU2712" s="124"/>
      <c r="BV2712" s="124"/>
    </row>
    <row r="2713" spans="72:74" x14ac:dyDescent="0.2">
      <c r="BT2713" s="124"/>
      <c r="BU2713" s="124"/>
      <c r="BV2713" s="124"/>
    </row>
    <row r="2714" spans="72:74" x14ac:dyDescent="0.2">
      <c r="BT2714" s="124"/>
      <c r="BU2714" s="124"/>
      <c r="BV2714" s="124"/>
    </row>
    <row r="2715" spans="72:74" x14ac:dyDescent="0.2">
      <c r="BT2715" s="124"/>
      <c r="BU2715" s="124"/>
      <c r="BV2715" s="124"/>
    </row>
    <row r="2716" spans="72:74" x14ac:dyDescent="0.2">
      <c r="BT2716" s="124"/>
      <c r="BU2716" s="124"/>
      <c r="BV2716" s="124"/>
    </row>
    <row r="2717" spans="72:74" x14ac:dyDescent="0.2">
      <c r="BT2717" s="124"/>
      <c r="BU2717" s="124"/>
      <c r="BV2717" s="124"/>
    </row>
    <row r="2718" spans="72:74" x14ac:dyDescent="0.2">
      <c r="BT2718" s="124"/>
      <c r="BU2718" s="124"/>
      <c r="BV2718" s="124"/>
    </row>
    <row r="2719" spans="72:74" x14ac:dyDescent="0.2">
      <c r="BT2719" s="124"/>
      <c r="BU2719" s="124"/>
      <c r="BV2719" s="124"/>
    </row>
    <row r="2720" spans="72:74" x14ac:dyDescent="0.2">
      <c r="BT2720" s="124"/>
      <c r="BU2720" s="124"/>
      <c r="BV2720" s="124"/>
    </row>
    <row r="2721" spans="72:74" x14ac:dyDescent="0.2">
      <c r="BT2721" s="124"/>
      <c r="BU2721" s="124"/>
      <c r="BV2721" s="124"/>
    </row>
    <row r="2722" spans="72:74" x14ac:dyDescent="0.2">
      <c r="BT2722" s="124"/>
      <c r="BU2722" s="124"/>
      <c r="BV2722" s="124"/>
    </row>
    <row r="2723" spans="72:74" x14ac:dyDescent="0.2">
      <c r="BT2723" s="124"/>
      <c r="BU2723" s="124"/>
      <c r="BV2723" s="124"/>
    </row>
    <row r="2724" spans="72:74" x14ac:dyDescent="0.2">
      <c r="BT2724" s="124"/>
      <c r="BU2724" s="124"/>
      <c r="BV2724" s="124"/>
    </row>
    <row r="2725" spans="72:74" x14ac:dyDescent="0.2">
      <c r="BT2725" s="124"/>
      <c r="BU2725" s="124"/>
      <c r="BV2725" s="124"/>
    </row>
    <row r="2726" spans="72:74" x14ac:dyDescent="0.2">
      <c r="BT2726" s="124"/>
      <c r="BU2726" s="124"/>
      <c r="BV2726" s="124"/>
    </row>
    <row r="2727" spans="72:74" x14ac:dyDescent="0.2">
      <c r="BT2727" s="124"/>
      <c r="BU2727" s="124"/>
      <c r="BV2727" s="124"/>
    </row>
    <row r="2728" spans="72:74" x14ac:dyDescent="0.2">
      <c r="BT2728" s="124"/>
      <c r="BU2728" s="124"/>
      <c r="BV2728" s="124"/>
    </row>
    <row r="2729" spans="72:74" x14ac:dyDescent="0.2">
      <c r="BT2729" s="124"/>
      <c r="BU2729" s="124"/>
      <c r="BV2729" s="124"/>
    </row>
    <row r="2730" spans="72:74" x14ac:dyDescent="0.2">
      <c r="BT2730" s="124"/>
      <c r="BU2730" s="124"/>
      <c r="BV2730" s="124"/>
    </row>
    <row r="2731" spans="72:74" x14ac:dyDescent="0.2">
      <c r="BT2731" s="124"/>
      <c r="BU2731" s="124"/>
      <c r="BV2731" s="124"/>
    </row>
    <row r="2732" spans="72:74" x14ac:dyDescent="0.2">
      <c r="BT2732" s="124"/>
      <c r="BU2732" s="124"/>
      <c r="BV2732" s="124"/>
    </row>
    <row r="2733" spans="72:74" x14ac:dyDescent="0.2">
      <c r="BT2733" s="124"/>
      <c r="BU2733" s="124"/>
      <c r="BV2733" s="124"/>
    </row>
    <row r="2734" spans="72:74" x14ac:dyDescent="0.2">
      <c r="BT2734" s="124"/>
      <c r="BU2734" s="124"/>
      <c r="BV2734" s="124"/>
    </row>
    <row r="2735" spans="72:74" x14ac:dyDescent="0.2">
      <c r="BT2735" s="124"/>
      <c r="BU2735" s="124"/>
      <c r="BV2735" s="124"/>
    </row>
    <row r="2736" spans="72:74" x14ac:dyDescent="0.2">
      <c r="BT2736" s="124"/>
      <c r="BU2736" s="124"/>
      <c r="BV2736" s="124"/>
    </row>
    <row r="2737" spans="72:74" x14ac:dyDescent="0.2">
      <c r="BT2737" s="124"/>
      <c r="BU2737" s="124"/>
      <c r="BV2737" s="124"/>
    </row>
    <row r="2738" spans="72:74" x14ac:dyDescent="0.2">
      <c r="BT2738" s="124"/>
      <c r="BU2738" s="124"/>
      <c r="BV2738" s="124"/>
    </row>
    <row r="2739" spans="72:74" x14ac:dyDescent="0.2">
      <c r="BT2739" s="124"/>
      <c r="BU2739" s="124"/>
      <c r="BV2739" s="124"/>
    </row>
    <row r="2740" spans="72:74" x14ac:dyDescent="0.2">
      <c r="BT2740" s="124"/>
      <c r="BU2740" s="124"/>
      <c r="BV2740" s="124"/>
    </row>
    <row r="2741" spans="72:74" x14ac:dyDescent="0.2">
      <c r="BT2741" s="124"/>
      <c r="BU2741" s="124"/>
      <c r="BV2741" s="124"/>
    </row>
    <row r="2742" spans="72:74" x14ac:dyDescent="0.2">
      <c r="BT2742" s="124"/>
      <c r="BU2742" s="124"/>
      <c r="BV2742" s="124"/>
    </row>
    <row r="2743" spans="72:74" x14ac:dyDescent="0.2">
      <c r="BT2743" s="124"/>
      <c r="BU2743" s="124"/>
      <c r="BV2743" s="124"/>
    </row>
    <row r="2744" spans="72:74" x14ac:dyDescent="0.2">
      <c r="BT2744" s="124"/>
      <c r="BU2744" s="124"/>
      <c r="BV2744" s="124"/>
    </row>
    <row r="2745" spans="72:74" x14ac:dyDescent="0.2">
      <c r="BT2745" s="124"/>
      <c r="BU2745" s="124"/>
      <c r="BV2745" s="124"/>
    </row>
    <row r="2746" spans="72:74" x14ac:dyDescent="0.2">
      <c r="BT2746" s="124"/>
      <c r="BU2746" s="124"/>
      <c r="BV2746" s="124"/>
    </row>
    <row r="2747" spans="72:74" x14ac:dyDescent="0.2">
      <c r="BT2747" s="124"/>
      <c r="BU2747" s="124"/>
      <c r="BV2747" s="124"/>
    </row>
    <row r="2748" spans="72:74" x14ac:dyDescent="0.2">
      <c r="BT2748" s="124"/>
      <c r="BU2748" s="124"/>
      <c r="BV2748" s="124"/>
    </row>
    <row r="2749" spans="72:74" x14ac:dyDescent="0.2">
      <c r="BT2749" s="124"/>
      <c r="BU2749" s="124"/>
      <c r="BV2749" s="124"/>
    </row>
    <row r="2750" spans="72:74" x14ac:dyDescent="0.2">
      <c r="BT2750" s="124"/>
      <c r="BU2750" s="124"/>
      <c r="BV2750" s="124"/>
    </row>
    <row r="2751" spans="72:74" x14ac:dyDescent="0.2">
      <c r="BT2751" s="124"/>
      <c r="BU2751" s="124"/>
      <c r="BV2751" s="124"/>
    </row>
    <row r="2752" spans="72:74" x14ac:dyDescent="0.2">
      <c r="BT2752" s="124"/>
      <c r="BU2752" s="124"/>
      <c r="BV2752" s="124"/>
    </row>
    <row r="2753" spans="72:74" x14ac:dyDescent="0.2">
      <c r="BT2753" s="124"/>
      <c r="BU2753" s="124"/>
      <c r="BV2753" s="124"/>
    </row>
    <row r="2754" spans="72:74" x14ac:dyDescent="0.2">
      <c r="BT2754" s="124"/>
      <c r="BU2754" s="124"/>
      <c r="BV2754" s="124"/>
    </row>
    <row r="2755" spans="72:74" x14ac:dyDescent="0.2">
      <c r="BT2755" s="124"/>
      <c r="BU2755" s="124"/>
      <c r="BV2755" s="124"/>
    </row>
    <row r="2756" spans="72:74" x14ac:dyDescent="0.2">
      <c r="BT2756" s="124"/>
      <c r="BU2756" s="124"/>
      <c r="BV2756" s="124"/>
    </row>
    <row r="2757" spans="72:74" x14ac:dyDescent="0.2">
      <c r="BT2757" s="124"/>
      <c r="BU2757" s="124"/>
      <c r="BV2757" s="124"/>
    </row>
    <row r="2758" spans="72:74" x14ac:dyDescent="0.2">
      <c r="BT2758" s="124"/>
      <c r="BU2758" s="124"/>
      <c r="BV2758" s="124"/>
    </row>
    <row r="2759" spans="72:74" x14ac:dyDescent="0.2">
      <c r="BT2759" s="124"/>
      <c r="BU2759" s="124"/>
      <c r="BV2759" s="124"/>
    </row>
    <row r="2760" spans="72:74" x14ac:dyDescent="0.2">
      <c r="BT2760" s="124"/>
      <c r="BU2760" s="124"/>
      <c r="BV2760" s="124"/>
    </row>
    <row r="2761" spans="72:74" x14ac:dyDescent="0.2">
      <c r="BT2761" s="124"/>
      <c r="BU2761" s="124"/>
      <c r="BV2761" s="124"/>
    </row>
    <row r="2762" spans="72:74" x14ac:dyDescent="0.2">
      <c r="BT2762" s="124"/>
      <c r="BU2762" s="124"/>
      <c r="BV2762" s="124"/>
    </row>
    <row r="2763" spans="72:74" x14ac:dyDescent="0.2">
      <c r="BT2763" s="124"/>
      <c r="BU2763" s="124"/>
      <c r="BV2763" s="124"/>
    </row>
    <row r="2764" spans="72:74" x14ac:dyDescent="0.2">
      <c r="BT2764" s="124"/>
      <c r="BU2764" s="124"/>
      <c r="BV2764" s="124"/>
    </row>
    <row r="2765" spans="72:74" x14ac:dyDescent="0.2">
      <c r="BT2765" s="124"/>
      <c r="BU2765" s="124"/>
      <c r="BV2765" s="124"/>
    </row>
    <row r="2766" spans="72:74" x14ac:dyDescent="0.2">
      <c r="BT2766" s="124"/>
      <c r="BU2766" s="124"/>
      <c r="BV2766" s="124"/>
    </row>
    <row r="2767" spans="72:74" x14ac:dyDescent="0.2">
      <c r="BT2767" s="124"/>
      <c r="BU2767" s="124"/>
      <c r="BV2767" s="124"/>
    </row>
    <row r="2768" spans="72:74" x14ac:dyDescent="0.2">
      <c r="BT2768" s="124"/>
      <c r="BU2768" s="124"/>
      <c r="BV2768" s="124"/>
    </row>
    <row r="2769" spans="72:74" x14ac:dyDescent="0.2">
      <c r="BT2769" s="124"/>
      <c r="BU2769" s="124"/>
      <c r="BV2769" s="124"/>
    </row>
    <row r="2770" spans="72:74" x14ac:dyDescent="0.2">
      <c r="BT2770" s="124"/>
      <c r="BU2770" s="124"/>
      <c r="BV2770" s="124"/>
    </row>
    <row r="2771" spans="72:74" x14ac:dyDescent="0.2">
      <c r="BT2771" s="124"/>
      <c r="BU2771" s="124"/>
      <c r="BV2771" s="124"/>
    </row>
    <row r="2772" spans="72:74" x14ac:dyDescent="0.2">
      <c r="BT2772" s="124"/>
      <c r="BU2772" s="124"/>
      <c r="BV2772" s="124"/>
    </row>
    <row r="2773" spans="72:74" x14ac:dyDescent="0.2">
      <c r="BT2773" s="124"/>
      <c r="BU2773" s="124"/>
      <c r="BV2773" s="124"/>
    </row>
    <row r="2774" spans="72:74" x14ac:dyDescent="0.2">
      <c r="BT2774" s="124"/>
      <c r="BU2774" s="124"/>
      <c r="BV2774" s="124"/>
    </row>
    <row r="2775" spans="72:74" x14ac:dyDescent="0.2">
      <c r="BT2775" s="124"/>
      <c r="BU2775" s="124"/>
      <c r="BV2775" s="124"/>
    </row>
    <row r="2776" spans="72:74" x14ac:dyDescent="0.2">
      <c r="BT2776" s="124"/>
      <c r="BU2776" s="124"/>
      <c r="BV2776" s="124"/>
    </row>
    <row r="2777" spans="72:74" x14ac:dyDescent="0.2">
      <c r="BT2777" s="124"/>
      <c r="BU2777" s="124"/>
      <c r="BV2777" s="124"/>
    </row>
    <row r="2778" spans="72:74" x14ac:dyDescent="0.2">
      <c r="BT2778" s="124"/>
      <c r="BU2778" s="124"/>
      <c r="BV2778" s="124"/>
    </row>
    <row r="2779" spans="72:74" x14ac:dyDescent="0.2">
      <c r="BT2779" s="124"/>
      <c r="BU2779" s="124"/>
      <c r="BV2779" s="124"/>
    </row>
    <row r="2780" spans="72:74" x14ac:dyDescent="0.2">
      <c r="BT2780" s="124"/>
      <c r="BU2780" s="124"/>
      <c r="BV2780" s="124"/>
    </row>
    <row r="2781" spans="72:74" x14ac:dyDescent="0.2">
      <c r="BT2781" s="124"/>
      <c r="BU2781" s="124"/>
      <c r="BV2781" s="124"/>
    </row>
    <row r="2782" spans="72:74" x14ac:dyDescent="0.2">
      <c r="BT2782" s="124"/>
      <c r="BU2782" s="124"/>
      <c r="BV2782" s="124"/>
    </row>
    <row r="2783" spans="72:74" x14ac:dyDescent="0.2">
      <c r="BT2783" s="124"/>
      <c r="BU2783" s="124"/>
      <c r="BV2783" s="124"/>
    </row>
    <row r="2784" spans="72:74" x14ac:dyDescent="0.2">
      <c r="BT2784" s="124"/>
      <c r="BU2784" s="124"/>
      <c r="BV2784" s="124"/>
    </row>
    <row r="2785" spans="72:74" x14ac:dyDescent="0.2">
      <c r="BT2785" s="124"/>
      <c r="BU2785" s="124"/>
      <c r="BV2785" s="124"/>
    </row>
    <row r="2786" spans="72:74" x14ac:dyDescent="0.2">
      <c r="BT2786" s="124"/>
      <c r="BU2786" s="124"/>
      <c r="BV2786" s="124"/>
    </row>
    <row r="2787" spans="72:74" x14ac:dyDescent="0.2">
      <c r="BT2787" s="124"/>
      <c r="BU2787" s="124"/>
      <c r="BV2787" s="124"/>
    </row>
    <row r="2788" spans="72:74" x14ac:dyDescent="0.2">
      <c r="BT2788" s="124"/>
      <c r="BU2788" s="124"/>
      <c r="BV2788" s="124"/>
    </row>
    <row r="2789" spans="72:74" x14ac:dyDescent="0.2">
      <c r="BT2789" s="124"/>
      <c r="BU2789" s="124"/>
      <c r="BV2789" s="124"/>
    </row>
    <row r="2790" spans="72:74" x14ac:dyDescent="0.2">
      <c r="BT2790" s="124"/>
      <c r="BU2790" s="124"/>
      <c r="BV2790" s="124"/>
    </row>
    <row r="2791" spans="72:74" x14ac:dyDescent="0.2">
      <c r="BT2791" s="124"/>
      <c r="BU2791" s="124"/>
      <c r="BV2791" s="124"/>
    </row>
    <row r="2792" spans="72:74" x14ac:dyDescent="0.2">
      <c r="BT2792" s="124"/>
      <c r="BU2792" s="124"/>
      <c r="BV2792" s="124"/>
    </row>
    <row r="2793" spans="72:74" x14ac:dyDescent="0.2">
      <c r="BT2793" s="124"/>
      <c r="BU2793" s="124"/>
      <c r="BV2793" s="124"/>
    </row>
    <row r="2794" spans="72:74" x14ac:dyDescent="0.2">
      <c r="BT2794" s="124"/>
      <c r="BU2794" s="124"/>
      <c r="BV2794" s="124"/>
    </row>
    <row r="2795" spans="72:74" x14ac:dyDescent="0.2">
      <c r="BT2795" s="124"/>
      <c r="BU2795" s="124"/>
      <c r="BV2795" s="124"/>
    </row>
    <row r="2796" spans="72:74" x14ac:dyDescent="0.2">
      <c r="BT2796" s="124"/>
      <c r="BU2796" s="124"/>
      <c r="BV2796" s="124"/>
    </row>
    <row r="2797" spans="72:74" x14ac:dyDescent="0.2">
      <c r="BT2797" s="124"/>
      <c r="BU2797" s="124"/>
      <c r="BV2797" s="124"/>
    </row>
    <row r="2798" spans="72:74" x14ac:dyDescent="0.2">
      <c r="BT2798" s="124"/>
      <c r="BU2798" s="124"/>
      <c r="BV2798" s="124"/>
    </row>
    <row r="2799" spans="72:74" x14ac:dyDescent="0.2">
      <c r="BT2799" s="124"/>
      <c r="BU2799" s="124"/>
      <c r="BV2799" s="124"/>
    </row>
    <row r="2800" spans="72:74" x14ac:dyDescent="0.2">
      <c r="BT2800" s="124"/>
      <c r="BU2800" s="124"/>
      <c r="BV2800" s="124"/>
    </row>
    <row r="2801" spans="72:74" x14ac:dyDescent="0.2">
      <c r="BT2801" s="124"/>
      <c r="BU2801" s="124"/>
      <c r="BV2801" s="124"/>
    </row>
    <row r="2802" spans="72:74" x14ac:dyDescent="0.2">
      <c r="BT2802" s="124"/>
      <c r="BU2802" s="124"/>
      <c r="BV2802" s="124"/>
    </row>
    <row r="2803" spans="72:74" x14ac:dyDescent="0.2">
      <c r="BT2803" s="124"/>
      <c r="BU2803" s="124"/>
      <c r="BV2803" s="124"/>
    </row>
    <row r="2804" spans="72:74" x14ac:dyDescent="0.2">
      <c r="BT2804" s="124"/>
      <c r="BU2804" s="124"/>
      <c r="BV2804" s="124"/>
    </row>
    <row r="2805" spans="72:74" x14ac:dyDescent="0.2">
      <c r="BT2805" s="124"/>
      <c r="BU2805" s="124"/>
      <c r="BV2805" s="124"/>
    </row>
    <row r="2806" spans="72:74" x14ac:dyDescent="0.2">
      <c r="BT2806" s="124"/>
      <c r="BU2806" s="124"/>
      <c r="BV2806" s="124"/>
    </row>
    <row r="2807" spans="72:74" x14ac:dyDescent="0.2">
      <c r="BT2807" s="124"/>
      <c r="BU2807" s="124"/>
      <c r="BV2807" s="124"/>
    </row>
    <row r="2808" spans="72:74" x14ac:dyDescent="0.2">
      <c r="BT2808" s="124"/>
      <c r="BU2808" s="124"/>
      <c r="BV2808" s="124"/>
    </row>
    <row r="2809" spans="72:74" x14ac:dyDescent="0.2">
      <c r="BT2809" s="124"/>
      <c r="BU2809" s="124"/>
      <c r="BV2809" s="124"/>
    </row>
    <row r="2810" spans="72:74" x14ac:dyDescent="0.2">
      <c r="BT2810" s="124"/>
      <c r="BU2810" s="124"/>
      <c r="BV2810" s="124"/>
    </row>
    <row r="2811" spans="72:74" x14ac:dyDescent="0.2">
      <c r="BT2811" s="124"/>
      <c r="BU2811" s="124"/>
      <c r="BV2811" s="124"/>
    </row>
    <row r="2812" spans="72:74" x14ac:dyDescent="0.2">
      <c r="BT2812" s="124"/>
      <c r="BU2812" s="124"/>
      <c r="BV2812" s="124"/>
    </row>
    <row r="2813" spans="72:74" x14ac:dyDescent="0.2">
      <c r="BT2813" s="124"/>
      <c r="BU2813" s="124"/>
      <c r="BV2813" s="124"/>
    </row>
    <row r="2814" spans="72:74" x14ac:dyDescent="0.2">
      <c r="BT2814" s="124"/>
      <c r="BU2814" s="124"/>
      <c r="BV2814" s="124"/>
    </row>
    <row r="2815" spans="72:74" x14ac:dyDescent="0.2">
      <c r="BT2815" s="124"/>
      <c r="BU2815" s="124"/>
      <c r="BV2815" s="124"/>
    </row>
    <row r="2816" spans="72:74" x14ac:dyDescent="0.2">
      <c r="BT2816" s="124"/>
      <c r="BU2816" s="124"/>
      <c r="BV2816" s="124"/>
    </row>
    <row r="2817" spans="72:74" x14ac:dyDescent="0.2">
      <c r="BT2817" s="124"/>
      <c r="BU2817" s="124"/>
      <c r="BV2817" s="124"/>
    </row>
    <row r="2818" spans="72:74" x14ac:dyDescent="0.2">
      <c r="BT2818" s="124"/>
      <c r="BU2818" s="124"/>
      <c r="BV2818" s="124"/>
    </row>
    <row r="2819" spans="72:74" x14ac:dyDescent="0.2">
      <c r="BT2819" s="124"/>
      <c r="BU2819" s="124"/>
      <c r="BV2819" s="124"/>
    </row>
    <row r="2820" spans="72:74" x14ac:dyDescent="0.2">
      <c r="BT2820" s="124"/>
      <c r="BU2820" s="124"/>
      <c r="BV2820" s="124"/>
    </row>
    <row r="2821" spans="72:74" x14ac:dyDescent="0.2">
      <c r="BT2821" s="124"/>
      <c r="BU2821" s="124"/>
      <c r="BV2821" s="124"/>
    </row>
    <row r="2822" spans="72:74" x14ac:dyDescent="0.2">
      <c r="BT2822" s="124"/>
      <c r="BU2822" s="124"/>
      <c r="BV2822" s="124"/>
    </row>
    <row r="2823" spans="72:74" x14ac:dyDescent="0.2">
      <c r="BT2823" s="124"/>
      <c r="BU2823" s="124"/>
      <c r="BV2823" s="124"/>
    </row>
    <row r="2824" spans="72:74" x14ac:dyDescent="0.2">
      <c r="BT2824" s="124"/>
      <c r="BU2824" s="124"/>
      <c r="BV2824" s="124"/>
    </row>
    <row r="2825" spans="72:74" x14ac:dyDescent="0.2">
      <c r="BT2825" s="124"/>
      <c r="BU2825" s="124"/>
      <c r="BV2825" s="124"/>
    </row>
    <row r="2826" spans="72:74" x14ac:dyDescent="0.2">
      <c r="BT2826" s="124"/>
      <c r="BU2826" s="124"/>
      <c r="BV2826" s="124"/>
    </row>
    <row r="2827" spans="72:74" x14ac:dyDescent="0.2">
      <c r="BT2827" s="124"/>
      <c r="BU2827" s="124"/>
      <c r="BV2827" s="124"/>
    </row>
    <row r="2828" spans="72:74" x14ac:dyDescent="0.2">
      <c r="BT2828" s="124"/>
      <c r="BU2828" s="124"/>
      <c r="BV2828" s="124"/>
    </row>
    <row r="2829" spans="72:74" x14ac:dyDescent="0.2">
      <c r="BT2829" s="124"/>
      <c r="BU2829" s="124"/>
      <c r="BV2829" s="124"/>
    </row>
    <row r="2830" spans="72:74" x14ac:dyDescent="0.2">
      <c r="BT2830" s="124"/>
      <c r="BU2830" s="124"/>
      <c r="BV2830" s="124"/>
    </row>
    <row r="2831" spans="72:74" x14ac:dyDescent="0.2">
      <c r="BT2831" s="124"/>
      <c r="BU2831" s="124"/>
      <c r="BV2831" s="124"/>
    </row>
    <row r="2832" spans="72:74" x14ac:dyDescent="0.2">
      <c r="BT2832" s="124"/>
      <c r="BU2832" s="124"/>
      <c r="BV2832" s="124"/>
    </row>
    <row r="2833" spans="72:74" x14ac:dyDescent="0.2">
      <c r="BT2833" s="124"/>
      <c r="BU2833" s="124"/>
      <c r="BV2833" s="124"/>
    </row>
    <row r="2834" spans="72:74" x14ac:dyDescent="0.2">
      <c r="BT2834" s="124"/>
      <c r="BU2834" s="124"/>
      <c r="BV2834" s="124"/>
    </row>
    <row r="2835" spans="72:74" x14ac:dyDescent="0.2">
      <c r="BT2835" s="124"/>
      <c r="BU2835" s="124"/>
      <c r="BV2835" s="124"/>
    </row>
    <row r="2836" spans="72:74" x14ac:dyDescent="0.2">
      <c r="BT2836" s="124"/>
      <c r="BU2836" s="124"/>
      <c r="BV2836" s="124"/>
    </row>
    <row r="2837" spans="72:74" x14ac:dyDescent="0.2">
      <c r="BT2837" s="124"/>
      <c r="BU2837" s="124"/>
      <c r="BV2837" s="124"/>
    </row>
    <row r="2838" spans="72:74" x14ac:dyDescent="0.2">
      <c r="BT2838" s="124"/>
      <c r="BU2838" s="124"/>
      <c r="BV2838" s="124"/>
    </row>
    <row r="2839" spans="72:74" x14ac:dyDescent="0.2">
      <c r="BT2839" s="124"/>
      <c r="BU2839" s="124"/>
      <c r="BV2839" s="124"/>
    </row>
    <row r="2840" spans="72:74" x14ac:dyDescent="0.2">
      <c r="BT2840" s="124"/>
      <c r="BU2840" s="124"/>
      <c r="BV2840" s="124"/>
    </row>
    <row r="2841" spans="72:74" x14ac:dyDescent="0.2">
      <c r="BT2841" s="124"/>
      <c r="BU2841" s="124"/>
      <c r="BV2841" s="124"/>
    </row>
    <row r="2842" spans="72:74" x14ac:dyDescent="0.2">
      <c r="BT2842" s="124"/>
      <c r="BU2842" s="124"/>
      <c r="BV2842" s="124"/>
    </row>
    <row r="2843" spans="72:74" x14ac:dyDescent="0.2">
      <c r="BT2843" s="124"/>
      <c r="BU2843" s="124"/>
      <c r="BV2843" s="124"/>
    </row>
    <row r="2844" spans="72:74" x14ac:dyDescent="0.2">
      <c r="BT2844" s="124"/>
      <c r="BU2844" s="124"/>
      <c r="BV2844" s="124"/>
    </row>
    <row r="2845" spans="72:74" x14ac:dyDescent="0.2">
      <c r="BT2845" s="124"/>
      <c r="BU2845" s="124"/>
      <c r="BV2845" s="124"/>
    </row>
    <row r="2846" spans="72:74" x14ac:dyDescent="0.2">
      <c r="BT2846" s="124"/>
      <c r="BU2846" s="124"/>
      <c r="BV2846" s="124"/>
    </row>
    <row r="2847" spans="72:74" x14ac:dyDescent="0.2">
      <c r="BT2847" s="124"/>
      <c r="BU2847" s="124"/>
      <c r="BV2847" s="124"/>
    </row>
    <row r="2848" spans="72:74" x14ac:dyDescent="0.2">
      <c r="BT2848" s="124"/>
      <c r="BU2848" s="124"/>
      <c r="BV2848" s="124"/>
    </row>
    <row r="2849" spans="72:74" x14ac:dyDescent="0.2">
      <c r="BT2849" s="124"/>
      <c r="BU2849" s="124"/>
      <c r="BV2849" s="124"/>
    </row>
    <row r="2850" spans="72:74" x14ac:dyDescent="0.2">
      <c r="BT2850" s="124"/>
      <c r="BU2850" s="124"/>
      <c r="BV2850" s="124"/>
    </row>
    <row r="2851" spans="72:74" x14ac:dyDescent="0.2">
      <c r="BT2851" s="124"/>
      <c r="BU2851" s="124"/>
      <c r="BV2851" s="124"/>
    </row>
    <row r="2852" spans="72:74" x14ac:dyDescent="0.2">
      <c r="BT2852" s="124"/>
      <c r="BU2852" s="124"/>
      <c r="BV2852" s="124"/>
    </row>
    <row r="2853" spans="72:74" x14ac:dyDescent="0.2">
      <c r="BT2853" s="124"/>
      <c r="BU2853" s="124"/>
      <c r="BV2853" s="124"/>
    </row>
    <row r="2854" spans="72:74" x14ac:dyDescent="0.2">
      <c r="BT2854" s="124"/>
      <c r="BU2854" s="124"/>
      <c r="BV2854" s="124"/>
    </row>
    <row r="2855" spans="72:74" x14ac:dyDescent="0.2">
      <c r="BT2855" s="124"/>
      <c r="BU2855" s="124"/>
      <c r="BV2855" s="124"/>
    </row>
    <row r="2856" spans="72:74" x14ac:dyDescent="0.2">
      <c r="BT2856" s="124"/>
      <c r="BU2856" s="124"/>
      <c r="BV2856" s="124"/>
    </row>
    <row r="2857" spans="72:74" x14ac:dyDescent="0.2">
      <c r="BT2857" s="124"/>
      <c r="BU2857" s="124"/>
      <c r="BV2857" s="124"/>
    </row>
    <row r="2858" spans="72:74" x14ac:dyDescent="0.2">
      <c r="BT2858" s="124"/>
      <c r="BU2858" s="124"/>
      <c r="BV2858" s="124"/>
    </row>
    <row r="2859" spans="72:74" x14ac:dyDescent="0.2">
      <c r="BT2859" s="124"/>
      <c r="BU2859" s="124"/>
      <c r="BV2859" s="124"/>
    </row>
    <row r="2860" spans="72:74" x14ac:dyDescent="0.2">
      <c r="BT2860" s="124"/>
      <c r="BU2860" s="124"/>
      <c r="BV2860" s="124"/>
    </row>
    <row r="2861" spans="72:74" x14ac:dyDescent="0.2">
      <c r="BT2861" s="124"/>
      <c r="BU2861" s="124"/>
      <c r="BV2861" s="124"/>
    </row>
    <row r="2862" spans="72:74" x14ac:dyDescent="0.2">
      <c r="BT2862" s="124"/>
      <c r="BU2862" s="124"/>
      <c r="BV2862" s="124"/>
    </row>
    <row r="2863" spans="72:74" x14ac:dyDescent="0.2">
      <c r="BT2863" s="124"/>
      <c r="BU2863" s="124"/>
      <c r="BV2863" s="124"/>
    </row>
    <row r="2864" spans="72:74" x14ac:dyDescent="0.2">
      <c r="BT2864" s="124"/>
      <c r="BU2864" s="124"/>
      <c r="BV2864" s="124"/>
    </row>
    <row r="2865" spans="72:74" x14ac:dyDescent="0.2">
      <c r="BT2865" s="124"/>
      <c r="BU2865" s="124"/>
      <c r="BV2865" s="124"/>
    </row>
    <row r="2866" spans="72:74" x14ac:dyDescent="0.2">
      <c r="BT2866" s="124"/>
      <c r="BU2866" s="124"/>
      <c r="BV2866" s="124"/>
    </row>
    <row r="2867" spans="72:74" x14ac:dyDescent="0.2">
      <c r="BT2867" s="124"/>
      <c r="BU2867" s="124"/>
      <c r="BV2867" s="124"/>
    </row>
    <row r="2868" spans="72:74" x14ac:dyDescent="0.2">
      <c r="BT2868" s="124"/>
      <c r="BU2868" s="124"/>
      <c r="BV2868" s="124"/>
    </row>
    <row r="2869" spans="72:74" x14ac:dyDescent="0.2">
      <c r="BT2869" s="124"/>
      <c r="BU2869" s="124"/>
      <c r="BV2869" s="124"/>
    </row>
    <row r="2870" spans="72:74" x14ac:dyDescent="0.2">
      <c r="BT2870" s="124"/>
      <c r="BU2870" s="124"/>
      <c r="BV2870" s="124"/>
    </row>
    <row r="2871" spans="72:74" x14ac:dyDescent="0.2">
      <c r="BT2871" s="124"/>
      <c r="BU2871" s="124"/>
      <c r="BV2871" s="124"/>
    </row>
    <row r="2872" spans="72:74" x14ac:dyDescent="0.2">
      <c r="BT2872" s="124"/>
      <c r="BU2872" s="124"/>
      <c r="BV2872" s="124"/>
    </row>
    <row r="2873" spans="72:74" x14ac:dyDescent="0.2">
      <c r="BT2873" s="124"/>
      <c r="BU2873" s="124"/>
      <c r="BV2873" s="124"/>
    </row>
    <row r="2874" spans="72:74" x14ac:dyDescent="0.2">
      <c r="BT2874" s="124"/>
      <c r="BU2874" s="124"/>
      <c r="BV2874" s="124"/>
    </row>
    <row r="2875" spans="72:74" x14ac:dyDescent="0.2">
      <c r="BT2875" s="124"/>
      <c r="BU2875" s="124"/>
      <c r="BV2875" s="124"/>
    </row>
    <row r="2876" spans="72:74" x14ac:dyDescent="0.2">
      <c r="BT2876" s="124"/>
      <c r="BU2876" s="124"/>
      <c r="BV2876" s="124"/>
    </row>
    <row r="2877" spans="72:74" x14ac:dyDescent="0.2">
      <c r="BT2877" s="124"/>
      <c r="BU2877" s="124"/>
      <c r="BV2877" s="124"/>
    </row>
    <row r="2878" spans="72:74" x14ac:dyDescent="0.2">
      <c r="BT2878" s="124"/>
      <c r="BU2878" s="124"/>
      <c r="BV2878" s="124"/>
    </row>
    <row r="2879" spans="72:74" x14ac:dyDescent="0.2">
      <c r="BT2879" s="124"/>
      <c r="BU2879" s="124"/>
      <c r="BV2879" s="124"/>
    </row>
    <row r="2880" spans="72:74" x14ac:dyDescent="0.2">
      <c r="BT2880" s="124"/>
      <c r="BU2880" s="124"/>
      <c r="BV2880" s="124"/>
    </row>
    <row r="2881" spans="72:74" x14ac:dyDescent="0.2">
      <c r="BT2881" s="124"/>
      <c r="BU2881" s="124"/>
      <c r="BV2881" s="124"/>
    </row>
    <row r="2882" spans="72:74" x14ac:dyDescent="0.2">
      <c r="BT2882" s="124"/>
      <c r="BU2882" s="124"/>
      <c r="BV2882" s="124"/>
    </row>
    <row r="2883" spans="72:74" x14ac:dyDescent="0.2">
      <c r="BT2883" s="124"/>
      <c r="BU2883" s="124"/>
      <c r="BV2883" s="124"/>
    </row>
    <row r="2884" spans="72:74" x14ac:dyDescent="0.2">
      <c r="BT2884" s="124"/>
      <c r="BU2884" s="124"/>
      <c r="BV2884" s="124"/>
    </row>
    <row r="2885" spans="72:74" x14ac:dyDescent="0.2">
      <c r="BT2885" s="124"/>
      <c r="BU2885" s="124"/>
      <c r="BV2885" s="124"/>
    </row>
    <row r="2886" spans="72:74" x14ac:dyDescent="0.2">
      <c r="BT2886" s="124"/>
      <c r="BU2886" s="124"/>
      <c r="BV2886" s="124"/>
    </row>
    <row r="2887" spans="72:74" x14ac:dyDescent="0.2">
      <c r="BT2887" s="124"/>
      <c r="BU2887" s="124"/>
      <c r="BV2887" s="124"/>
    </row>
    <row r="2888" spans="72:74" x14ac:dyDescent="0.2">
      <c r="BT2888" s="124"/>
      <c r="BU2888" s="124"/>
      <c r="BV2888" s="124"/>
    </row>
    <row r="2889" spans="72:74" x14ac:dyDescent="0.2">
      <c r="BT2889" s="124"/>
      <c r="BU2889" s="124"/>
      <c r="BV2889" s="124"/>
    </row>
    <row r="2890" spans="72:74" x14ac:dyDescent="0.2">
      <c r="BT2890" s="124"/>
      <c r="BU2890" s="124"/>
      <c r="BV2890" s="124"/>
    </row>
    <row r="2891" spans="72:74" x14ac:dyDescent="0.2">
      <c r="BT2891" s="124"/>
      <c r="BU2891" s="124"/>
      <c r="BV2891" s="124"/>
    </row>
    <row r="2892" spans="72:74" x14ac:dyDescent="0.2">
      <c r="BT2892" s="124"/>
      <c r="BU2892" s="124"/>
      <c r="BV2892" s="124"/>
    </row>
    <row r="2893" spans="72:74" x14ac:dyDescent="0.2">
      <c r="BT2893" s="124"/>
      <c r="BU2893" s="124"/>
      <c r="BV2893" s="124"/>
    </row>
    <row r="2894" spans="72:74" x14ac:dyDescent="0.2">
      <c r="BT2894" s="124"/>
      <c r="BU2894" s="124"/>
      <c r="BV2894" s="124"/>
    </row>
    <row r="2895" spans="72:74" x14ac:dyDescent="0.2">
      <c r="BT2895" s="124"/>
      <c r="BU2895" s="124"/>
      <c r="BV2895" s="124"/>
    </row>
    <row r="2896" spans="72:74" x14ac:dyDescent="0.2">
      <c r="BT2896" s="124"/>
      <c r="BU2896" s="124"/>
      <c r="BV2896" s="124"/>
    </row>
    <row r="2897" spans="72:74" x14ac:dyDescent="0.2">
      <c r="BT2897" s="124"/>
      <c r="BU2897" s="124"/>
      <c r="BV2897" s="124"/>
    </row>
    <row r="2898" spans="72:74" x14ac:dyDescent="0.2">
      <c r="BT2898" s="124"/>
      <c r="BU2898" s="124"/>
      <c r="BV2898" s="124"/>
    </row>
    <row r="2899" spans="72:74" x14ac:dyDescent="0.2">
      <c r="BT2899" s="124"/>
      <c r="BU2899" s="124"/>
      <c r="BV2899" s="124"/>
    </row>
    <row r="2900" spans="72:74" x14ac:dyDescent="0.2">
      <c r="BT2900" s="124"/>
      <c r="BU2900" s="124"/>
      <c r="BV2900" s="124"/>
    </row>
    <row r="2901" spans="72:74" x14ac:dyDescent="0.2">
      <c r="BT2901" s="124"/>
      <c r="BU2901" s="124"/>
      <c r="BV2901" s="124"/>
    </row>
    <row r="2902" spans="72:74" x14ac:dyDescent="0.2">
      <c r="BT2902" s="124"/>
      <c r="BU2902" s="124"/>
      <c r="BV2902" s="124"/>
    </row>
    <row r="2903" spans="72:74" x14ac:dyDescent="0.2">
      <c r="BT2903" s="124"/>
      <c r="BU2903" s="124"/>
      <c r="BV2903" s="124"/>
    </row>
    <row r="2904" spans="72:74" x14ac:dyDescent="0.2">
      <c r="BT2904" s="124"/>
      <c r="BU2904" s="124"/>
      <c r="BV2904" s="124"/>
    </row>
    <row r="2905" spans="72:74" x14ac:dyDescent="0.2">
      <c r="BT2905" s="124"/>
      <c r="BU2905" s="124"/>
      <c r="BV2905" s="124"/>
    </row>
    <row r="2906" spans="72:74" x14ac:dyDescent="0.2">
      <c r="BT2906" s="124"/>
      <c r="BU2906" s="124"/>
      <c r="BV2906" s="124"/>
    </row>
    <row r="2907" spans="72:74" x14ac:dyDescent="0.2">
      <c r="BT2907" s="124"/>
      <c r="BU2907" s="124"/>
      <c r="BV2907" s="124"/>
    </row>
    <row r="2908" spans="72:74" x14ac:dyDescent="0.2">
      <c r="BT2908" s="124"/>
      <c r="BU2908" s="124"/>
      <c r="BV2908" s="124"/>
    </row>
    <row r="2909" spans="72:74" x14ac:dyDescent="0.2">
      <c r="BT2909" s="124"/>
      <c r="BU2909" s="124"/>
      <c r="BV2909" s="124"/>
    </row>
    <row r="2910" spans="72:74" x14ac:dyDescent="0.2">
      <c r="BT2910" s="124"/>
      <c r="BU2910" s="124"/>
      <c r="BV2910" s="124"/>
    </row>
    <row r="2911" spans="72:74" x14ac:dyDescent="0.2">
      <c r="BT2911" s="124"/>
      <c r="BU2911" s="124"/>
      <c r="BV2911" s="124"/>
    </row>
    <row r="2912" spans="72:74" x14ac:dyDescent="0.2">
      <c r="BT2912" s="124"/>
      <c r="BU2912" s="124"/>
      <c r="BV2912" s="124"/>
    </row>
    <row r="2913" spans="72:74" x14ac:dyDescent="0.2">
      <c r="BT2913" s="124"/>
      <c r="BU2913" s="124"/>
      <c r="BV2913" s="124"/>
    </row>
    <row r="2914" spans="72:74" x14ac:dyDescent="0.2">
      <c r="BT2914" s="124"/>
      <c r="BU2914" s="124"/>
      <c r="BV2914" s="124"/>
    </row>
    <row r="2915" spans="72:74" x14ac:dyDescent="0.2">
      <c r="BT2915" s="124"/>
      <c r="BU2915" s="124"/>
      <c r="BV2915" s="124"/>
    </row>
    <row r="2916" spans="72:74" x14ac:dyDescent="0.2">
      <c r="BT2916" s="124"/>
      <c r="BU2916" s="124"/>
      <c r="BV2916" s="124"/>
    </row>
    <row r="2917" spans="72:74" x14ac:dyDescent="0.2">
      <c r="BT2917" s="124"/>
      <c r="BU2917" s="124"/>
      <c r="BV2917" s="124"/>
    </row>
    <row r="2918" spans="72:74" x14ac:dyDescent="0.2">
      <c r="BT2918" s="124"/>
      <c r="BU2918" s="124"/>
      <c r="BV2918" s="124"/>
    </row>
    <row r="2919" spans="72:74" x14ac:dyDescent="0.2">
      <c r="BT2919" s="124"/>
      <c r="BU2919" s="124"/>
      <c r="BV2919" s="124"/>
    </row>
    <row r="2920" spans="72:74" x14ac:dyDescent="0.2">
      <c r="BT2920" s="124"/>
      <c r="BU2920" s="124"/>
      <c r="BV2920" s="124"/>
    </row>
    <row r="2921" spans="72:74" x14ac:dyDescent="0.2">
      <c r="BT2921" s="124"/>
      <c r="BU2921" s="124"/>
      <c r="BV2921" s="124"/>
    </row>
    <row r="2922" spans="72:74" x14ac:dyDescent="0.2">
      <c r="BT2922" s="124"/>
      <c r="BU2922" s="124"/>
      <c r="BV2922" s="124"/>
    </row>
    <row r="2923" spans="72:74" x14ac:dyDescent="0.2">
      <c r="BT2923" s="124"/>
      <c r="BU2923" s="124"/>
      <c r="BV2923" s="124"/>
    </row>
    <row r="2924" spans="72:74" x14ac:dyDescent="0.2">
      <c r="BT2924" s="124"/>
      <c r="BU2924" s="124"/>
      <c r="BV2924" s="124"/>
    </row>
    <row r="2925" spans="72:74" x14ac:dyDescent="0.2">
      <c r="BT2925" s="124"/>
      <c r="BU2925" s="124"/>
      <c r="BV2925" s="124"/>
    </row>
    <row r="2926" spans="72:74" x14ac:dyDescent="0.2">
      <c r="BT2926" s="124"/>
      <c r="BU2926" s="124"/>
      <c r="BV2926" s="124"/>
    </row>
    <row r="2927" spans="72:74" x14ac:dyDescent="0.2">
      <c r="BT2927" s="124"/>
      <c r="BU2927" s="124"/>
      <c r="BV2927" s="124"/>
    </row>
    <row r="2928" spans="72:74" x14ac:dyDescent="0.2">
      <c r="BT2928" s="124"/>
      <c r="BU2928" s="124"/>
      <c r="BV2928" s="124"/>
    </row>
    <row r="2929" spans="72:74" x14ac:dyDescent="0.2">
      <c r="BT2929" s="124"/>
      <c r="BU2929" s="124"/>
      <c r="BV2929" s="124"/>
    </row>
    <row r="2930" spans="72:74" x14ac:dyDescent="0.2">
      <c r="BT2930" s="124"/>
      <c r="BU2930" s="124"/>
      <c r="BV2930" s="124"/>
    </row>
    <row r="2931" spans="72:74" x14ac:dyDescent="0.2">
      <c r="BT2931" s="124"/>
      <c r="BU2931" s="124"/>
      <c r="BV2931" s="124"/>
    </row>
    <row r="2932" spans="72:74" x14ac:dyDescent="0.2">
      <c r="BT2932" s="124"/>
      <c r="BU2932" s="124"/>
      <c r="BV2932" s="124"/>
    </row>
    <row r="2933" spans="72:74" x14ac:dyDescent="0.2">
      <c r="BT2933" s="124"/>
      <c r="BU2933" s="124"/>
      <c r="BV2933" s="124"/>
    </row>
    <row r="2934" spans="72:74" x14ac:dyDescent="0.2">
      <c r="BT2934" s="124"/>
      <c r="BU2934" s="124"/>
      <c r="BV2934" s="124"/>
    </row>
    <row r="2935" spans="72:74" x14ac:dyDescent="0.2">
      <c r="BT2935" s="124"/>
      <c r="BU2935" s="124"/>
      <c r="BV2935" s="124"/>
    </row>
    <row r="2936" spans="72:74" x14ac:dyDescent="0.2">
      <c r="BT2936" s="124"/>
      <c r="BU2936" s="124"/>
      <c r="BV2936" s="124"/>
    </row>
    <row r="2937" spans="72:74" x14ac:dyDescent="0.2">
      <c r="BT2937" s="124"/>
      <c r="BU2937" s="124"/>
      <c r="BV2937" s="124"/>
    </row>
    <row r="2938" spans="72:74" x14ac:dyDescent="0.2">
      <c r="BT2938" s="124"/>
      <c r="BU2938" s="124"/>
      <c r="BV2938" s="124"/>
    </row>
    <row r="2939" spans="72:74" x14ac:dyDescent="0.2">
      <c r="BT2939" s="124"/>
      <c r="BU2939" s="124"/>
      <c r="BV2939" s="124"/>
    </row>
    <row r="2940" spans="72:74" x14ac:dyDescent="0.2">
      <c r="BT2940" s="124"/>
      <c r="BU2940" s="124"/>
      <c r="BV2940" s="124"/>
    </row>
    <row r="2941" spans="72:74" x14ac:dyDescent="0.2">
      <c r="BT2941" s="124"/>
      <c r="BU2941" s="124"/>
      <c r="BV2941" s="124"/>
    </row>
    <row r="2942" spans="72:74" x14ac:dyDescent="0.2">
      <c r="BT2942" s="124"/>
      <c r="BU2942" s="124"/>
      <c r="BV2942" s="124"/>
    </row>
    <row r="2943" spans="72:74" x14ac:dyDescent="0.2">
      <c r="BT2943" s="124"/>
      <c r="BU2943" s="124"/>
      <c r="BV2943" s="124"/>
    </row>
    <row r="2944" spans="72:74" x14ac:dyDescent="0.2">
      <c r="BT2944" s="124"/>
      <c r="BU2944" s="124"/>
      <c r="BV2944" s="124"/>
    </row>
    <row r="2945" spans="72:74" x14ac:dyDescent="0.2">
      <c r="BT2945" s="124"/>
      <c r="BU2945" s="124"/>
      <c r="BV2945" s="124"/>
    </row>
    <row r="2946" spans="72:74" x14ac:dyDescent="0.2">
      <c r="BT2946" s="124"/>
      <c r="BU2946" s="124"/>
      <c r="BV2946" s="124"/>
    </row>
    <row r="2947" spans="72:74" x14ac:dyDescent="0.2">
      <c r="BT2947" s="124"/>
      <c r="BU2947" s="124"/>
      <c r="BV2947" s="124"/>
    </row>
    <row r="2948" spans="72:74" x14ac:dyDescent="0.2">
      <c r="BT2948" s="124"/>
      <c r="BU2948" s="124"/>
      <c r="BV2948" s="124"/>
    </row>
    <row r="2949" spans="72:74" x14ac:dyDescent="0.2">
      <c r="BT2949" s="124"/>
      <c r="BU2949" s="124"/>
      <c r="BV2949" s="124"/>
    </row>
    <row r="2950" spans="72:74" x14ac:dyDescent="0.2">
      <c r="BT2950" s="124"/>
      <c r="BU2950" s="124"/>
      <c r="BV2950" s="124"/>
    </row>
    <row r="2951" spans="72:74" x14ac:dyDescent="0.2">
      <c r="BT2951" s="124"/>
      <c r="BU2951" s="124"/>
      <c r="BV2951" s="124"/>
    </row>
    <row r="2952" spans="72:74" x14ac:dyDescent="0.2">
      <c r="BT2952" s="124"/>
      <c r="BU2952" s="124"/>
      <c r="BV2952" s="124"/>
    </row>
    <row r="2953" spans="72:74" x14ac:dyDescent="0.2">
      <c r="BT2953" s="124"/>
      <c r="BU2953" s="124"/>
      <c r="BV2953" s="124"/>
    </row>
    <row r="2954" spans="72:74" x14ac:dyDescent="0.2">
      <c r="BT2954" s="124"/>
      <c r="BU2954" s="124"/>
      <c r="BV2954" s="124"/>
    </row>
    <row r="2955" spans="72:74" x14ac:dyDescent="0.2">
      <c r="BT2955" s="124"/>
      <c r="BU2955" s="124"/>
      <c r="BV2955" s="124"/>
    </row>
    <row r="2956" spans="72:74" x14ac:dyDescent="0.2">
      <c r="BT2956" s="124"/>
      <c r="BU2956" s="124"/>
      <c r="BV2956" s="124"/>
    </row>
    <row r="2957" spans="72:74" x14ac:dyDescent="0.2">
      <c r="BT2957" s="124"/>
      <c r="BU2957" s="124"/>
      <c r="BV2957" s="124"/>
    </row>
    <row r="2958" spans="72:74" x14ac:dyDescent="0.2">
      <c r="BT2958" s="124"/>
      <c r="BU2958" s="124"/>
      <c r="BV2958" s="124"/>
    </row>
    <row r="2959" spans="72:74" x14ac:dyDescent="0.2">
      <c r="BT2959" s="124"/>
      <c r="BU2959" s="124"/>
      <c r="BV2959" s="124"/>
    </row>
    <row r="2960" spans="72:74" x14ac:dyDescent="0.2">
      <c r="BT2960" s="124"/>
      <c r="BU2960" s="124"/>
      <c r="BV2960" s="124"/>
    </row>
    <row r="2961" spans="72:74" x14ac:dyDescent="0.2">
      <c r="BT2961" s="124"/>
      <c r="BU2961" s="124"/>
      <c r="BV2961" s="124"/>
    </row>
    <row r="2962" spans="72:74" x14ac:dyDescent="0.2">
      <c r="BT2962" s="124"/>
      <c r="BU2962" s="124"/>
      <c r="BV2962" s="124"/>
    </row>
    <row r="2963" spans="72:74" x14ac:dyDescent="0.2">
      <c r="BT2963" s="124"/>
      <c r="BU2963" s="124"/>
      <c r="BV2963" s="124"/>
    </row>
    <row r="2964" spans="72:74" x14ac:dyDescent="0.2">
      <c r="BT2964" s="124"/>
      <c r="BU2964" s="124"/>
      <c r="BV2964" s="124"/>
    </row>
    <row r="2965" spans="72:74" x14ac:dyDescent="0.2">
      <c r="BT2965" s="124"/>
      <c r="BU2965" s="124"/>
      <c r="BV2965" s="124"/>
    </row>
    <row r="2966" spans="72:74" x14ac:dyDescent="0.2">
      <c r="BT2966" s="124"/>
      <c r="BU2966" s="124"/>
      <c r="BV2966" s="124"/>
    </row>
    <row r="2967" spans="72:74" x14ac:dyDescent="0.2">
      <c r="BT2967" s="124"/>
      <c r="BU2967" s="124"/>
      <c r="BV2967" s="124"/>
    </row>
    <row r="2968" spans="72:74" x14ac:dyDescent="0.2">
      <c r="BT2968" s="124"/>
      <c r="BU2968" s="124"/>
      <c r="BV2968" s="124"/>
    </row>
    <row r="2969" spans="72:74" x14ac:dyDescent="0.2">
      <c r="BT2969" s="124"/>
      <c r="BU2969" s="124"/>
      <c r="BV2969" s="124"/>
    </row>
    <row r="2970" spans="72:74" x14ac:dyDescent="0.2">
      <c r="BT2970" s="124"/>
      <c r="BU2970" s="124"/>
      <c r="BV2970" s="124"/>
    </row>
    <row r="2971" spans="72:74" x14ac:dyDescent="0.2">
      <c r="BT2971" s="124"/>
      <c r="BU2971" s="124"/>
      <c r="BV2971" s="124"/>
    </row>
    <row r="2972" spans="72:74" x14ac:dyDescent="0.2">
      <c r="BT2972" s="124"/>
      <c r="BU2972" s="124"/>
      <c r="BV2972" s="124"/>
    </row>
    <row r="2973" spans="72:74" x14ac:dyDescent="0.2">
      <c r="BT2973" s="124"/>
      <c r="BU2973" s="124"/>
      <c r="BV2973" s="124"/>
    </row>
    <row r="2974" spans="72:74" x14ac:dyDescent="0.2">
      <c r="BT2974" s="124"/>
      <c r="BU2974" s="124"/>
      <c r="BV2974" s="124"/>
    </row>
    <row r="2975" spans="72:74" x14ac:dyDescent="0.2">
      <c r="BT2975" s="124"/>
      <c r="BU2975" s="124"/>
      <c r="BV2975" s="124"/>
    </row>
    <row r="2976" spans="72:74" x14ac:dyDescent="0.2">
      <c r="BT2976" s="124"/>
      <c r="BU2976" s="124"/>
      <c r="BV2976" s="124"/>
    </row>
    <row r="2977" spans="72:74" x14ac:dyDescent="0.2">
      <c r="BT2977" s="124"/>
      <c r="BU2977" s="124"/>
      <c r="BV2977" s="124"/>
    </row>
    <row r="2978" spans="72:74" x14ac:dyDescent="0.2">
      <c r="BT2978" s="124"/>
      <c r="BU2978" s="124"/>
      <c r="BV2978" s="124"/>
    </row>
    <row r="2979" spans="72:74" x14ac:dyDescent="0.2">
      <c r="BT2979" s="124"/>
      <c r="BU2979" s="124"/>
      <c r="BV2979" s="124"/>
    </row>
    <row r="2980" spans="72:74" x14ac:dyDescent="0.2">
      <c r="BT2980" s="124"/>
      <c r="BU2980" s="124"/>
      <c r="BV2980" s="124"/>
    </row>
    <row r="2981" spans="72:74" x14ac:dyDescent="0.2">
      <c r="BT2981" s="124"/>
      <c r="BU2981" s="124"/>
      <c r="BV2981" s="124"/>
    </row>
    <row r="2982" spans="72:74" x14ac:dyDescent="0.2">
      <c r="BT2982" s="124"/>
      <c r="BU2982" s="124"/>
      <c r="BV2982" s="124"/>
    </row>
    <row r="2983" spans="72:74" x14ac:dyDescent="0.2">
      <c r="BT2983" s="124"/>
      <c r="BU2983" s="124"/>
      <c r="BV2983" s="124"/>
    </row>
    <row r="2984" spans="72:74" x14ac:dyDescent="0.2">
      <c r="BT2984" s="124"/>
      <c r="BU2984" s="124"/>
      <c r="BV2984" s="124"/>
    </row>
    <row r="2985" spans="72:74" x14ac:dyDescent="0.2">
      <c r="BT2985" s="124"/>
      <c r="BU2985" s="124"/>
      <c r="BV2985" s="124"/>
    </row>
    <row r="2986" spans="72:74" x14ac:dyDescent="0.2">
      <c r="BT2986" s="124"/>
      <c r="BU2986" s="124"/>
      <c r="BV2986" s="124"/>
    </row>
    <row r="2987" spans="72:74" x14ac:dyDescent="0.2">
      <c r="BT2987" s="124"/>
      <c r="BU2987" s="124"/>
      <c r="BV2987" s="124"/>
    </row>
    <row r="2988" spans="72:74" x14ac:dyDescent="0.2">
      <c r="BT2988" s="124"/>
      <c r="BU2988" s="124"/>
      <c r="BV2988" s="124"/>
    </row>
    <row r="2989" spans="72:74" x14ac:dyDescent="0.2">
      <c r="BT2989" s="124"/>
      <c r="BU2989" s="124"/>
      <c r="BV2989" s="124"/>
    </row>
    <row r="2990" spans="72:74" x14ac:dyDescent="0.2">
      <c r="BT2990" s="124"/>
      <c r="BU2990" s="124"/>
      <c r="BV2990" s="124"/>
    </row>
    <row r="2991" spans="72:74" x14ac:dyDescent="0.2">
      <c r="BT2991" s="124"/>
      <c r="BU2991" s="124"/>
      <c r="BV2991" s="124"/>
    </row>
    <row r="2992" spans="72:74" x14ac:dyDescent="0.2">
      <c r="BT2992" s="124"/>
      <c r="BU2992" s="124"/>
      <c r="BV2992" s="124"/>
    </row>
    <row r="2993" spans="72:74" x14ac:dyDescent="0.2">
      <c r="BT2993" s="124"/>
      <c r="BU2993" s="124"/>
      <c r="BV2993" s="124"/>
    </row>
    <row r="2994" spans="72:74" x14ac:dyDescent="0.2">
      <c r="BT2994" s="124"/>
      <c r="BU2994" s="124"/>
      <c r="BV2994" s="124"/>
    </row>
    <row r="2995" spans="72:74" x14ac:dyDescent="0.2">
      <c r="BT2995" s="124"/>
      <c r="BU2995" s="124"/>
      <c r="BV2995" s="124"/>
    </row>
    <row r="2996" spans="72:74" x14ac:dyDescent="0.2">
      <c r="BT2996" s="124"/>
      <c r="BU2996" s="124"/>
      <c r="BV2996" s="124"/>
    </row>
    <row r="2997" spans="72:74" x14ac:dyDescent="0.2">
      <c r="BT2997" s="124"/>
      <c r="BU2997" s="124"/>
      <c r="BV2997" s="124"/>
    </row>
    <row r="2998" spans="72:74" x14ac:dyDescent="0.2">
      <c r="BT2998" s="124"/>
      <c r="BU2998" s="124"/>
      <c r="BV2998" s="124"/>
    </row>
    <row r="2999" spans="72:74" x14ac:dyDescent="0.2">
      <c r="BT2999" s="124"/>
      <c r="BU2999" s="124"/>
      <c r="BV2999" s="124"/>
    </row>
    <row r="3000" spans="72:74" x14ac:dyDescent="0.2">
      <c r="BT3000" s="124"/>
      <c r="BU3000" s="124"/>
      <c r="BV3000" s="124"/>
    </row>
    <row r="3001" spans="72:74" x14ac:dyDescent="0.2">
      <c r="BT3001" s="124"/>
      <c r="BU3001" s="124"/>
      <c r="BV3001" s="124"/>
    </row>
    <row r="3002" spans="72:74" x14ac:dyDescent="0.2">
      <c r="BT3002" s="124"/>
      <c r="BU3002" s="124"/>
      <c r="BV3002" s="124"/>
    </row>
    <row r="3003" spans="72:74" x14ac:dyDescent="0.2">
      <c r="BT3003" s="124"/>
      <c r="BU3003" s="124"/>
      <c r="BV3003" s="124"/>
    </row>
    <row r="3004" spans="72:74" x14ac:dyDescent="0.2">
      <c r="BT3004" s="124"/>
      <c r="BU3004" s="124"/>
      <c r="BV3004" s="124"/>
    </row>
    <row r="3005" spans="72:74" x14ac:dyDescent="0.2">
      <c r="BT3005" s="124"/>
      <c r="BU3005" s="124"/>
      <c r="BV3005" s="124"/>
    </row>
    <row r="3006" spans="72:74" x14ac:dyDescent="0.2">
      <c r="BT3006" s="124"/>
      <c r="BU3006" s="124"/>
      <c r="BV3006" s="124"/>
    </row>
    <row r="3007" spans="72:74" x14ac:dyDescent="0.2">
      <c r="BT3007" s="124"/>
      <c r="BU3007" s="124"/>
      <c r="BV3007" s="124"/>
    </row>
    <row r="3008" spans="72:74" x14ac:dyDescent="0.2">
      <c r="BT3008" s="124"/>
      <c r="BU3008" s="124"/>
      <c r="BV3008" s="124"/>
    </row>
    <row r="3009" spans="72:74" x14ac:dyDescent="0.2">
      <c r="BT3009" s="124"/>
      <c r="BU3009" s="124"/>
      <c r="BV3009" s="124"/>
    </row>
    <row r="3010" spans="72:74" x14ac:dyDescent="0.2">
      <c r="BT3010" s="124"/>
      <c r="BU3010" s="124"/>
      <c r="BV3010" s="124"/>
    </row>
    <row r="3011" spans="72:74" x14ac:dyDescent="0.2">
      <c r="BT3011" s="124"/>
      <c r="BU3011" s="124"/>
      <c r="BV3011" s="124"/>
    </row>
    <row r="3012" spans="72:74" x14ac:dyDescent="0.2">
      <c r="BT3012" s="124"/>
      <c r="BU3012" s="124"/>
      <c r="BV3012" s="124"/>
    </row>
    <row r="3013" spans="72:74" x14ac:dyDescent="0.2">
      <c r="BT3013" s="124"/>
      <c r="BU3013" s="124"/>
      <c r="BV3013" s="124"/>
    </row>
    <row r="3014" spans="72:74" x14ac:dyDescent="0.2">
      <c r="BT3014" s="124"/>
      <c r="BU3014" s="124"/>
      <c r="BV3014" s="124"/>
    </row>
    <row r="3015" spans="72:74" x14ac:dyDescent="0.2">
      <c r="BT3015" s="124"/>
      <c r="BU3015" s="124"/>
      <c r="BV3015" s="124"/>
    </row>
    <row r="3016" spans="72:74" x14ac:dyDescent="0.2">
      <c r="BT3016" s="124"/>
      <c r="BU3016" s="124"/>
      <c r="BV3016" s="124"/>
    </row>
    <row r="3017" spans="72:74" x14ac:dyDescent="0.2">
      <c r="BT3017" s="124"/>
      <c r="BU3017" s="124"/>
      <c r="BV3017" s="124"/>
    </row>
    <row r="3018" spans="72:74" x14ac:dyDescent="0.2">
      <c r="BT3018" s="124"/>
      <c r="BU3018" s="124"/>
      <c r="BV3018" s="124"/>
    </row>
    <row r="3019" spans="72:74" x14ac:dyDescent="0.2">
      <c r="BT3019" s="124"/>
      <c r="BU3019" s="124"/>
      <c r="BV3019" s="124"/>
    </row>
    <row r="3020" spans="72:74" x14ac:dyDescent="0.2">
      <c r="BT3020" s="124"/>
      <c r="BU3020" s="124"/>
      <c r="BV3020" s="124"/>
    </row>
    <row r="3021" spans="72:74" x14ac:dyDescent="0.2">
      <c r="BT3021" s="124"/>
      <c r="BU3021" s="124"/>
      <c r="BV3021" s="124"/>
    </row>
    <row r="3022" spans="72:74" x14ac:dyDescent="0.2">
      <c r="BT3022" s="124"/>
      <c r="BU3022" s="124"/>
      <c r="BV3022" s="124"/>
    </row>
    <row r="3023" spans="72:74" x14ac:dyDescent="0.2">
      <c r="BT3023" s="124"/>
      <c r="BU3023" s="124"/>
      <c r="BV3023" s="124"/>
    </row>
    <row r="3024" spans="72:74" x14ac:dyDescent="0.2">
      <c r="BT3024" s="124"/>
      <c r="BU3024" s="124"/>
      <c r="BV3024" s="124"/>
    </row>
    <row r="3025" spans="72:74" x14ac:dyDescent="0.2">
      <c r="BT3025" s="124"/>
      <c r="BU3025" s="124"/>
      <c r="BV3025" s="124"/>
    </row>
    <row r="3026" spans="72:74" x14ac:dyDescent="0.2">
      <c r="BT3026" s="124"/>
      <c r="BU3026" s="124"/>
      <c r="BV3026" s="124"/>
    </row>
    <row r="3027" spans="72:74" x14ac:dyDescent="0.2">
      <c r="BT3027" s="124"/>
      <c r="BU3027" s="124"/>
      <c r="BV3027" s="124"/>
    </row>
    <row r="3028" spans="72:74" x14ac:dyDescent="0.2">
      <c r="BT3028" s="124"/>
      <c r="BU3028" s="124"/>
      <c r="BV3028" s="124"/>
    </row>
    <row r="3029" spans="72:74" x14ac:dyDescent="0.2">
      <c r="BT3029" s="124"/>
      <c r="BU3029" s="124"/>
      <c r="BV3029" s="124"/>
    </row>
    <row r="3030" spans="72:74" x14ac:dyDescent="0.2">
      <c r="BT3030" s="124"/>
      <c r="BU3030" s="124"/>
      <c r="BV3030" s="124"/>
    </row>
    <row r="3031" spans="72:74" x14ac:dyDescent="0.2">
      <c r="BT3031" s="124"/>
      <c r="BU3031" s="124"/>
      <c r="BV3031" s="124"/>
    </row>
    <row r="3032" spans="72:74" x14ac:dyDescent="0.2">
      <c r="BT3032" s="124"/>
      <c r="BU3032" s="124"/>
      <c r="BV3032" s="124"/>
    </row>
    <row r="3033" spans="72:74" x14ac:dyDescent="0.2">
      <c r="BT3033" s="124"/>
      <c r="BU3033" s="124"/>
      <c r="BV3033" s="124"/>
    </row>
    <row r="3034" spans="72:74" x14ac:dyDescent="0.2">
      <c r="BT3034" s="124"/>
      <c r="BU3034" s="124"/>
      <c r="BV3034" s="124"/>
    </row>
    <row r="3035" spans="72:74" x14ac:dyDescent="0.2">
      <c r="BT3035" s="124"/>
      <c r="BU3035" s="124"/>
      <c r="BV3035" s="124"/>
    </row>
    <row r="3036" spans="72:74" x14ac:dyDescent="0.2">
      <c r="BT3036" s="124"/>
      <c r="BU3036" s="124"/>
      <c r="BV3036" s="124"/>
    </row>
    <row r="3037" spans="72:74" x14ac:dyDescent="0.2">
      <c r="BT3037" s="124"/>
      <c r="BU3037" s="124"/>
      <c r="BV3037" s="124"/>
    </row>
    <row r="3038" spans="72:74" x14ac:dyDescent="0.2">
      <c r="BT3038" s="124"/>
      <c r="BU3038" s="124"/>
      <c r="BV3038" s="124"/>
    </row>
    <row r="3039" spans="72:74" x14ac:dyDescent="0.2">
      <c r="BT3039" s="124"/>
      <c r="BU3039" s="124"/>
      <c r="BV3039" s="124"/>
    </row>
    <row r="3040" spans="72:74" x14ac:dyDescent="0.2">
      <c r="BT3040" s="124"/>
      <c r="BU3040" s="124"/>
      <c r="BV3040" s="124"/>
    </row>
    <row r="3041" spans="72:74" x14ac:dyDescent="0.2">
      <c r="BT3041" s="124"/>
      <c r="BU3041" s="124"/>
      <c r="BV3041" s="124"/>
    </row>
    <row r="3042" spans="72:74" x14ac:dyDescent="0.2">
      <c r="BT3042" s="124"/>
      <c r="BU3042" s="124"/>
      <c r="BV3042" s="124"/>
    </row>
    <row r="3043" spans="72:74" x14ac:dyDescent="0.2">
      <c r="BT3043" s="124"/>
      <c r="BU3043" s="124"/>
      <c r="BV3043" s="124"/>
    </row>
    <row r="3044" spans="72:74" x14ac:dyDescent="0.2">
      <c r="BT3044" s="124"/>
      <c r="BU3044" s="124"/>
      <c r="BV3044" s="124"/>
    </row>
    <row r="3045" spans="72:74" x14ac:dyDescent="0.2">
      <c r="BT3045" s="124"/>
      <c r="BU3045" s="124"/>
      <c r="BV3045" s="124"/>
    </row>
    <row r="3046" spans="72:74" x14ac:dyDescent="0.2">
      <c r="BT3046" s="124"/>
      <c r="BU3046" s="124"/>
      <c r="BV3046" s="124"/>
    </row>
    <row r="3047" spans="72:74" x14ac:dyDescent="0.2">
      <c r="BT3047" s="124"/>
      <c r="BU3047" s="124"/>
      <c r="BV3047" s="124"/>
    </row>
    <row r="3048" spans="72:74" x14ac:dyDescent="0.2">
      <c r="BT3048" s="124"/>
      <c r="BU3048" s="124"/>
      <c r="BV3048" s="124"/>
    </row>
    <row r="3049" spans="72:74" x14ac:dyDescent="0.2">
      <c r="BT3049" s="124"/>
      <c r="BU3049" s="124"/>
      <c r="BV3049" s="124"/>
    </row>
    <row r="3050" spans="72:74" x14ac:dyDescent="0.2">
      <c r="BT3050" s="124"/>
      <c r="BU3050" s="124"/>
      <c r="BV3050" s="124"/>
    </row>
    <row r="3051" spans="72:74" x14ac:dyDescent="0.2">
      <c r="BT3051" s="124"/>
      <c r="BU3051" s="124"/>
      <c r="BV3051" s="124"/>
    </row>
    <row r="3052" spans="72:74" x14ac:dyDescent="0.2">
      <c r="BT3052" s="124"/>
      <c r="BU3052" s="124"/>
      <c r="BV3052" s="124"/>
    </row>
    <row r="3053" spans="72:74" x14ac:dyDescent="0.2">
      <c r="BT3053" s="124"/>
      <c r="BU3053" s="124"/>
      <c r="BV3053" s="124"/>
    </row>
    <row r="3054" spans="72:74" x14ac:dyDescent="0.2">
      <c r="BT3054" s="124"/>
      <c r="BU3054" s="124"/>
      <c r="BV3054" s="124"/>
    </row>
    <row r="3055" spans="72:74" x14ac:dyDescent="0.2">
      <c r="BT3055" s="124"/>
      <c r="BU3055" s="124"/>
      <c r="BV3055" s="124"/>
    </row>
    <row r="3056" spans="72:74" x14ac:dyDescent="0.2">
      <c r="BT3056" s="124"/>
      <c r="BU3056" s="124"/>
      <c r="BV3056" s="124"/>
    </row>
    <row r="3057" spans="72:74" x14ac:dyDescent="0.2">
      <c r="BT3057" s="124"/>
      <c r="BU3057" s="124"/>
      <c r="BV3057" s="124"/>
    </row>
    <row r="3058" spans="72:74" x14ac:dyDescent="0.2">
      <c r="BT3058" s="124"/>
      <c r="BU3058" s="124"/>
      <c r="BV3058" s="124"/>
    </row>
    <row r="3059" spans="72:74" x14ac:dyDescent="0.2">
      <c r="BT3059" s="124"/>
      <c r="BU3059" s="124"/>
      <c r="BV3059" s="124"/>
    </row>
    <row r="3060" spans="72:74" x14ac:dyDescent="0.2">
      <c r="BT3060" s="124"/>
      <c r="BU3060" s="124"/>
      <c r="BV3060" s="124"/>
    </row>
    <row r="3061" spans="72:74" x14ac:dyDescent="0.2">
      <c r="BT3061" s="124"/>
      <c r="BU3061" s="124"/>
      <c r="BV3061" s="124"/>
    </row>
    <row r="3062" spans="72:74" x14ac:dyDescent="0.2">
      <c r="BT3062" s="124"/>
      <c r="BU3062" s="124"/>
      <c r="BV3062" s="124"/>
    </row>
    <row r="3063" spans="72:74" x14ac:dyDescent="0.2">
      <c r="BT3063" s="124"/>
      <c r="BU3063" s="124"/>
      <c r="BV3063" s="124"/>
    </row>
    <row r="3064" spans="72:74" x14ac:dyDescent="0.2">
      <c r="BT3064" s="124"/>
      <c r="BU3064" s="124"/>
      <c r="BV3064" s="124"/>
    </row>
    <row r="3065" spans="72:74" x14ac:dyDescent="0.2">
      <c r="BT3065" s="124"/>
      <c r="BU3065" s="124"/>
      <c r="BV3065" s="124"/>
    </row>
    <row r="3066" spans="72:74" x14ac:dyDescent="0.2">
      <c r="BT3066" s="124"/>
      <c r="BU3066" s="124"/>
      <c r="BV3066" s="124"/>
    </row>
    <row r="3067" spans="72:74" x14ac:dyDescent="0.2">
      <c r="BT3067" s="124"/>
      <c r="BU3067" s="124"/>
      <c r="BV3067" s="124"/>
    </row>
    <row r="3068" spans="72:74" x14ac:dyDescent="0.2">
      <c r="BT3068" s="124"/>
      <c r="BU3068" s="124"/>
      <c r="BV3068" s="124"/>
    </row>
    <row r="3069" spans="72:74" x14ac:dyDescent="0.2">
      <c r="BT3069" s="124"/>
      <c r="BU3069" s="124"/>
      <c r="BV3069" s="124"/>
    </row>
    <row r="3070" spans="72:74" x14ac:dyDescent="0.2">
      <c r="BT3070" s="124"/>
      <c r="BU3070" s="124"/>
      <c r="BV3070" s="124"/>
    </row>
    <row r="3071" spans="72:74" x14ac:dyDescent="0.2">
      <c r="BT3071" s="124"/>
      <c r="BU3071" s="124"/>
      <c r="BV3071" s="124"/>
    </row>
    <row r="3072" spans="72:74" x14ac:dyDescent="0.2">
      <c r="BT3072" s="124"/>
      <c r="BU3072" s="124"/>
      <c r="BV3072" s="124"/>
    </row>
    <row r="3073" spans="72:74" x14ac:dyDescent="0.2">
      <c r="BT3073" s="124"/>
      <c r="BU3073" s="124"/>
      <c r="BV3073" s="124"/>
    </row>
    <row r="3074" spans="72:74" x14ac:dyDescent="0.2">
      <c r="BT3074" s="124"/>
      <c r="BU3074" s="124"/>
      <c r="BV3074" s="124"/>
    </row>
    <row r="3075" spans="72:74" x14ac:dyDescent="0.2">
      <c r="BT3075" s="124"/>
      <c r="BU3075" s="124"/>
      <c r="BV3075" s="124"/>
    </row>
    <row r="3076" spans="72:74" x14ac:dyDescent="0.2">
      <c r="BT3076" s="124"/>
      <c r="BU3076" s="124"/>
      <c r="BV3076" s="124"/>
    </row>
    <row r="3077" spans="72:74" x14ac:dyDescent="0.2">
      <c r="BT3077" s="124"/>
      <c r="BU3077" s="124"/>
      <c r="BV3077" s="124"/>
    </row>
    <row r="3078" spans="72:74" x14ac:dyDescent="0.2">
      <c r="BT3078" s="124"/>
      <c r="BU3078" s="124"/>
      <c r="BV3078" s="124"/>
    </row>
    <row r="3079" spans="72:74" x14ac:dyDescent="0.2">
      <c r="BT3079" s="124"/>
      <c r="BU3079" s="124"/>
      <c r="BV3079" s="124"/>
    </row>
    <row r="3080" spans="72:74" x14ac:dyDescent="0.2">
      <c r="BT3080" s="124"/>
      <c r="BU3080" s="124"/>
      <c r="BV3080" s="124"/>
    </row>
    <row r="3081" spans="72:74" x14ac:dyDescent="0.2">
      <c r="BT3081" s="124"/>
      <c r="BU3081" s="124"/>
      <c r="BV3081" s="124"/>
    </row>
    <row r="3082" spans="72:74" x14ac:dyDescent="0.2">
      <c r="BT3082" s="124"/>
      <c r="BU3082" s="124"/>
      <c r="BV3082" s="124"/>
    </row>
    <row r="3083" spans="72:74" x14ac:dyDescent="0.2">
      <c r="BT3083" s="124"/>
      <c r="BU3083" s="124"/>
      <c r="BV3083" s="124"/>
    </row>
    <row r="3084" spans="72:74" x14ac:dyDescent="0.2">
      <c r="BT3084" s="124"/>
      <c r="BU3084" s="124"/>
      <c r="BV3084" s="124"/>
    </row>
    <row r="3085" spans="72:74" x14ac:dyDescent="0.2">
      <c r="BT3085" s="124"/>
      <c r="BU3085" s="124"/>
      <c r="BV3085" s="124"/>
    </row>
    <row r="3086" spans="72:74" x14ac:dyDescent="0.2">
      <c r="BT3086" s="124"/>
      <c r="BU3086" s="124"/>
      <c r="BV3086" s="124"/>
    </row>
    <row r="3087" spans="72:74" x14ac:dyDescent="0.2">
      <c r="BT3087" s="124"/>
      <c r="BU3087" s="124"/>
      <c r="BV3087" s="124"/>
    </row>
    <row r="3088" spans="72:74" x14ac:dyDescent="0.2">
      <c r="BT3088" s="124"/>
      <c r="BU3088" s="124"/>
      <c r="BV3088" s="124"/>
    </row>
    <row r="3089" spans="72:74" x14ac:dyDescent="0.2">
      <c r="BT3089" s="124"/>
      <c r="BU3089" s="124"/>
      <c r="BV3089" s="124"/>
    </row>
    <row r="3090" spans="72:74" x14ac:dyDescent="0.2">
      <c r="BT3090" s="124"/>
      <c r="BU3090" s="124"/>
      <c r="BV3090" s="124"/>
    </row>
    <row r="3091" spans="72:74" x14ac:dyDescent="0.2">
      <c r="BT3091" s="124"/>
      <c r="BU3091" s="124"/>
      <c r="BV3091" s="124"/>
    </row>
    <row r="3092" spans="72:74" x14ac:dyDescent="0.2">
      <c r="BT3092" s="124"/>
      <c r="BU3092" s="124"/>
      <c r="BV3092" s="124"/>
    </row>
    <row r="3093" spans="72:74" x14ac:dyDescent="0.2">
      <c r="BT3093" s="124"/>
      <c r="BU3093" s="124"/>
      <c r="BV3093" s="124"/>
    </row>
    <row r="3094" spans="72:74" x14ac:dyDescent="0.2">
      <c r="BT3094" s="124"/>
      <c r="BU3094" s="124"/>
      <c r="BV3094" s="124"/>
    </row>
    <row r="3095" spans="72:74" x14ac:dyDescent="0.2">
      <c r="BT3095" s="124"/>
      <c r="BU3095" s="124"/>
      <c r="BV3095" s="124"/>
    </row>
    <row r="3096" spans="72:74" x14ac:dyDescent="0.2">
      <c r="BT3096" s="124"/>
      <c r="BU3096" s="124"/>
      <c r="BV3096" s="124"/>
    </row>
    <row r="3097" spans="72:74" x14ac:dyDescent="0.2">
      <c r="BT3097" s="124"/>
      <c r="BU3097" s="124"/>
      <c r="BV3097" s="124"/>
    </row>
    <row r="3098" spans="72:74" x14ac:dyDescent="0.2">
      <c r="BT3098" s="124"/>
      <c r="BU3098" s="124"/>
      <c r="BV3098" s="124"/>
    </row>
    <row r="3099" spans="72:74" x14ac:dyDescent="0.2">
      <c r="BT3099" s="124"/>
      <c r="BU3099" s="124"/>
      <c r="BV3099" s="124"/>
    </row>
    <row r="3100" spans="72:74" x14ac:dyDescent="0.2">
      <c r="BT3100" s="124"/>
      <c r="BU3100" s="124"/>
      <c r="BV3100" s="124"/>
    </row>
    <row r="3101" spans="72:74" x14ac:dyDescent="0.2">
      <c r="BT3101" s="124"/>
      <c r="BU3101" s="124"/>
      <c r="BV3101" s="124"/>
    </row>
    <row r="3102" spans="72:74" x14ac:dyDescent="0.2">
      <c r="BT3102" s="124"/>
      <c r="BU3102" s="124"/>
      <c r="BV3102" s="124"/>
    </row>
    <row r="3103" spans="72:74" x14ac:dyDescent="0.2">
      <c r="BT3103" s="124"/>
      <c r="BU3103" s="124"/>
      <c r="BV3103" s="124"/>
    </row>
    <row r="3104" spans="72:74" x14ac:dyDescent="0.2">
      <c r="BT3104" s="124"/>
      <c r="BU3104" s="124"/>
      <c r="BV3104" s="124"/>
    </row>
    <row r="3105" spans="72:74" x14ac:dyDescent="0.2">
      <c r="BT3105" s="124"/>
      <c r="BU3105" s="124"/>
      <c r="BV3105" s="124"/>
    </row>
    <row r="3106" spans="72:74" x14ac:dyDescent="0.2">
      <c r="BT3106" s="124"/>
      <c r="BU3106" s="124"/>
      <c r="BV3106" s="124"/>
    </row>
    <row r="3107" spans="72:74" x14ac:dyDescent="0.2">
      <c r="BT3107" s="124"/>
      <c r="BU3107" s="124"/>
      <c r="BV3107" s="124"/>
    </row>
    <row r="3108" spans="72:74" x14ac:dyDescent="0.2">
      <c r="BT3108" s="124"/>
      <c r="BU3108" s="124"/>
      <c r="BV3108" s="124"/>
    </row>
    <row r="3109" spans="72:74" x14ac:dyDescent="0.2">
      <c r="BT3109" s="124"/>
      <c r="BU3109" s="124"/>
      <c r="BV3109" s="124"/>
    </row>
    <row r="3110" spans="72:74" x14ac:dyDescent="0.2">
      <c r="BT3110" s="124"/>
      <c r="BU3110" s="124"/>
      <c r="BV3110" s="124"/>
    </row>
    <row r="3111" spans="72:74" x14ac:dyDescent="0.2">
      <c r="BT3111" s="124"/>
      <c r="BU3111" s="124"/>
      <c r="BV3111" s="124"/>
    </row>
    <row r="3112" spans="72:74" x14ac:dyDescent="0.2">
      <c r="BT3112" s="124"/>
      <c r="BU3112" s="124"/>
      <c r="BV3112" s="124"/>
    </row>
    <row r="3113" spans="72:74" x14ac:dyDescent="0.2">
      <c r="BT3113" s="124"/>
      <c r="BU3113" s="124"/>
      <c r="BV3113" s="124"/>
    </row>
    <row r="3114" spans="72:74" x14ac:dyDescent="0.2">
      <c r="BT3114" s="124"/>
      <c r="BU3114" s="124"/>
      <c r="BV3114" s="124"/>
    </row>
    <row r="3115" spans="72:74" x14ac:dyDescent="0.2">
      <c r="BT3115" s="124"/>
      <c r="BU3115" s="124"/>
      <c r="BV3115" s="124"/>
    </row>
    <row r="3116" spans="72:74" x14ac:dyDescent="0.2">
      <c r="BT3116" s="124"/>
      <c r="BU3116" s="124"/>
      <c r="BV3116" s="124"/>
    </row>
    <row r="3117" spans="72:74" x14ac:dyDescent="0.2">
      <c r="BT3117" s="124"/>
      <c r="BU3117" s="124"/>
      <c r="BV3117" s="124"/>
    </row>
    <row r="3118" spans="72:74" x14ac:dyDescent="0.2">
      <c r="BT3118" s="124"/>
      <c r="BU3118" s="124"/>
      <c r="BV3118" s="124"/>
    </row>
    <row r="3119" spans="72:74" x14ac:dyDescent="0.2">
      <c r="BT3119" s="124"/>
      <c r="BU3119" s="124"/>
      <c r="BV3119" s="124"/>
    </row>
    <row r="3120" spans="72:74" x14ac:dyDescent="0.2">
      <c r="BT3120" s="124"/>
      <c r="BU3120" s="124"/>
      <c r="BV3120" s="124"/>
    </row>
    <row r="3121" spans="72:74" x14ac:dyDescent="0.2">
      <c r="BT3121" s="124"/>
      <c r="BU3121" s="124"/>
      <c r="BV3121" s="124"/>
    </row>
    <row r="3122" spans="72:74" x14ac:dyDescent="0.2">
      <c r="BT3122" s="124"/>
      <c r="BU3122" s="124"/>
      <c r="BV3122" s="124"/>
    </row>
    <row r="3123" spans="72:74" x14ac:dyDescent="0.2">
      <c r="BT3123" s="124"/>
      <c r="BU3123" s="124"/>
      <c r="BV3123" s="124"/>
    </row>
    <row r="3124" spans="72:74" x14ac:dyDescent="0.2">
      <c r="BT3124" s="124"/>
      <c r="BU3124" s="124"/>
      <c r="BV3124" s="124"/>
    </row>
    <row r="3125" spans="72:74" x14ac:dyDescent="0.2">
      <c r="BT3125" s="124"/>
      <c r="BU3125" s="124"/>
      <c r="BV3125" s="124"/>
    </row>
    <row r="3126" spans="72:74" x14ac:dyDescent="0.2">
      <c r="BT3126" s="124"/>
      <c r="BU3126" s="124"/>
      <c r="BV3126" s="124"/>
    </row>
    <row r="3127" spans="72:74" x14ac:dyDescent="0.2">
      <c r="BT3127" s="124"/>
      <c r="BU3127" s="124"/>
      <c r="BV3127" s="124"/>
    </row>
    <row r="3128" spans="72:74" x14ac:dyDescent="0.2">
      <c r="BT3128" s="124"/>
      <c r="BU3128" s="124"/>
      <c r="BV3128" s="124"/>
    </row>
    <row r="3129" spans="72:74" x14ac:dyDescent="0.2">
      <c r="BT3129" s="124"/>
      <c r="BU3129" s="124"/>
      <c r="BV3129" s="124"/>
    </row>
    <row r="3130" spans="72:74" x14ac:dyDescent="0.2">
      <c r="BT3130" s="124"/>
      <c r="BU3130" s="124"/>
      <c r="BV3130" s="124"/>
    </row>
    <row r="3131" spans="72:74" x14ac:dyDescent="0.2">
      <c r="BT3131" s="124"/>
      <c r="BU3131" s="124"/>
      <c r="BV3131" s="124"/>
    </row>
    <row r="3132" spans="72:74" x14ac:dyDescent="0.2">
      <c r="BT3132" s="124"/>
      <c r="BU3132" s="124"/>
      <c r="BV3132" s="124"/>
    </row>
    <row r="3133" spans="72:74" x14ac:dyDescent="0.2">
      <c r="BT3133" s="124"/>
      <c r="BU3133" s="124"/>
      <c r="BV3133" s="124"/>
    </row>
    <row r="3134" spans="72:74" x14ac:dyDescent="0.2">
      <c r="BT3134" s="124"/>
      <c r="BU3134" s="124"/>
      <c r="BV3134" s="124"/>
    </row>
    <row r="3135" spans="72:74" x14ac:dyDescent="0.2">
      <c r="BT3135" s="124"/>
      <c r="BU3135" s="124"/>
      <c r="BV3135" s="124"/>
    </row>
    <row r="3136" spans="72:74" x14ac:dyDescent="0.2">
      <c r="BT3136" s="124"/>
      <c r="BU3136" s="124"/>
      <c r="BV3136" s="124"/>
    </row>
    <row r="3137" spans="72:74" x14ac:dyDescent="0.2">
      <c r="BT3137" s="124"/>
      <c r="BU3137" s="124"/>
      <c r="BV3137" s="124"/>
    </row>
    <row r="3138" spans="72:74" x14ac:dyDescent="0.2">
      <c r="BT3138" s="124"/>
      <c r="BU3138" s="124"/>
      <c r="BV3138" s="124"/>
    </row>
    <row r="3139" spans="72:74" x14ac:dyDescent="0.2">
      <c r="BT3139" s="124"/>
      <c r="BU3139" s="124"/>
      <c r="BV3139" s="124"/>
    </row>
    <row r="3140" spans="72:74" x14ac:dyDescent="0.2">
      <c r="BT3140" s="124"/>
      <c r="BU3140" s="124"/>
      <c r="BV3140" s="124"/>
    </row>
    <row r="3141" spans="72:74" x14ac:dyDescent="0.2">
      <c r="BT3141" s="124"/>
      <c r="BU3141" s="124"/>
      <c r="BV3141" s="124"/>
    </row>
    <row r="3142" spans="72:74" x14ac:dyDescent="0.2">
      <c r="BT3142" s="124"/>
      <c r="BU3142" s="124"/>
      <c r="BV3142" s="124"/>
    </row>
    <row r="3143" spans="72:74" x14ac:dyDescent="0.2">
      <c r="BT3143" s="124"/>
      <c r="BU3143" s="124"/>
      <c r="BV3143" s="124"/>
    </row>
    <row r="3144" spans="72:74" x14ac:dyDescent="0.2">
      <c r="BT3144" s="124"/>
      <c r="BU3144" s="124"/>
      <c r="BV3144" s="124"/>
    </row>
    <row r="3145" spans="72:74" x14ac:dyDescent="0.2">
      <c r="BT3145" s="124"/>
      <c r="BU3145" s="124"/>
      <c r="BV3145" s="124"/>
    </row>
    <row r="3146" spans="72:74" x14ac:dyDescent="0.2">
      <c r="BT3146" s="124"/>
      <c r="BU3146" s="124"/>
      <c r="BV3146" s="124"/>
    </row>
    <row r="3147" spans="72:74" x14ac:dyDescent="0.2">
      <c r="BT3147" s="124"/>
      <c r="BU3147" s="124"/>
      <c r="BV3147" s="124"/>
    </row>
    <row r="3148" spans="72:74" x14ac:dyDescent="0.2">
      <c r="BT3148" s="124"/>
      <c r="BU3148" s="124"/>
      <c r="BV3148" s="124"/>
    </row>
    <row r="3149" spans="72:74" x14ac:dyDescent="0.2">
      <c r="BT3149" s="124"/>
      <c r="BU3149" s="124"/>
      <c r="BV3149" s="124"/>
    </row>
    <row r="3150" spans="72:74" x14ac:dyDescent="0.2">
      <c r="BT3150" s="124"/>
      <c r="BU3150" s="124"/>
      <c r="BV3150" s="124"/>
    </row>
    <row r="3151" spans="72:74" x14ac:dyDescent="0.2">
      <c r="BT3151" s="124"/>
      <c r="BU3151" s="124"/>
      <c r="BV3151" s="124"/>
    </row>
    <row r="3152" spans="72:74" x14ac:dyDescent="0.2">
      <c r="BT3152" s="124"/>
      <c r="BU3152" s="124"/>
      <c r="BV3152" s="124"/>
    </row>
    <row r="3153" spans="72:74" x14ac:dyDescent="0.2">
      <c r="BT3153" s="124"/>
      <c r="BU3153" s="124"/>
      <c r="BV3153" s="124"/>
    </row>
    <row r="3154" spans="72:74" x14ac:dyDescent="0.2">
      <c r="BT3154" s="124"/>
      <c r="BU3154" s="124"/>
      <c r="BV3154" s="124"/>
    </row>
    <row r="3155" spans="72:74" x14ac:dyDescent="0.2">
      <c r="BT3155" s="124"/>
      <c r="BU3155" s="124"/>
      <c r="BV3155" s="124"/>
    </row>
    <row r="3156" spans="72:74" x14ac:dyDescent="0.2">
      <c r="BT3156" s="124"/>
      <c r="BU3156" s="124"/>
      <c r="BV3156" s="124"/>
    </row>
    <row r="3157" spans="72:74" x14ac:dyDescent="0.2">
      <c r="BT3157" s="124"/>
      <c r="BU3157" s="124"/>
      <c r="BV3157" s="124"/>
    </row>
    <row r="3158" spans="72:74" x14ac:dyDescent="0.2">
      <c r="BT3158" s="124"/>
      <c r="BU3158" s="124"/>
      <c r="BV3158" s="124"/>
    </row>
    <row r="3159" spans="72:74" x14ac:dyDescent="0.2">
      <c r="BT3159" s="124"/>
      <c r="BU3159" s="124"/>
      <c r="BV3159" s="124"/>
    </row>
    <row r="3160" spans="72:74" x14ac:dyDescent="0.2">
      <c r="BT3160" s="124"/>
      <c r="BU3160" s="124"/>
      <c r="BV3160" s="124"/>
    </row>
    <row r="3161" spans="72:74" x14ac:dyDescent="0.2">
      <c r="BT3161" s="124"/>
      <c r="BU3161" s="124"/>
      <c r="BV3161" s="124"/>
    </row>
    <row r="3162" spans="72:74" x14ac:dyDescent="0.2">
      <c r="BT3162" s="124"/>
      <c r="BU3162" s="124"/>
      <c r="BV3162" s="124"/>
    </row>
    <row r="3163" spans="72:74" x14ac:dyDescent="0.2">
      <c r="BT3163" s="124"/>
      <c r="BU3163" s="124"/>
      <c r="BV3163" s="124"/>
    </row>
    <row r="3164" spans="72:74" x14ac:dyDescent="0.2">
      <c r="BT3164" s="124"/>
      <c r="BU3164" s="124"/>
      <c r="BV3164" s="124"/>
    </row>
    <row r="3165" spans="72:74" x14ac:dyDescent="0.2">
      <c r="BT3165" s="124"/>
      <c r="BU3165" s="124"/>
      <c r="BV3165" s="124"/>
    </row>
    <row r="3166" spans="72:74" x14ac:dyDescent="0.2">
      <c r="BT3166" s="124"/>
      <c r="BU3166" s="124"/>
      <c r="BV3166" s="124"/>
    </row>
    <row r="3167" spans="72:74" x14ac:dyDescent="0.2">
      <c r="BT3167" s="124"/>
      <c r="BU3167" s="124"/>
      <c r="BV3167" s="124"/>
    </row>
    <row r="3168" spans="72:74" x14ac:dyDescent="0.2">
      <c r="BT3168" s="124"/>
      <c r="BU3168" s="124"/>
      <c r="BV3168" s="124"/>
    </row>
    <row r="3169" spans="72:74" x14ac:dyDescent="0.2">
      <c r="BT3169" s="124"/>
      <c r="BU3169" s="124"/>
      <c r="BV3169" s="124"/>
    </row>
    <row r="3170" spans="72:74" x14ac:dyDescent="0.2">
      <c r="BT3170" s="124"/>
      <c r="BU3170" s="124"/>
      <c r="BV3170" s="124"/>
    </row>
    <row r="3171" spans="72:74" x14ac:dyDescent="0.2">
      <c r="BT3171" s="124"/>
      <c r="BU3171" s="124"/>
      <c r="BV3171" s="124"/>
    </row>
    <row r="3172" spans="72:74" x14ac:dyDescent="0.2">
      <c r="BT3172" s="124"/>
      <c r="BU3172" s="124"/>
      <c r="BV3172" s="124"/>
    </row>
    <row r="3173" spans="72:74" x14ac:dyDescent="0.2">
      <c r="BT3173" s="124"/>
      <c r="BU3173" s="124"/>
      <c r="BV3173" s="124"/>
    </row>
    <row r="3174" spans="72:74" x14ac:dyDescent="0.2">
      <c r="BT3174" s="124"/>
      <c r="BU3174" s="124"/>
      <c r="BV3174" s="124"/>
    </row>
    <row r="3175" spans="72:74" x14ac:dyDescent="0.2">
      <c r="BT3175" s="124"/>
      <c r="BU3175" s="124"/>
      <c r="BV3175" s="124"/>
    </row>
    <row r="3176" spans="72:74" x14ac:dyDescent="0.2">
      <c r="BT3176" s="124"/>
      <c r="BU3176" s="124"/>
      <c r="BV3176" s="124"/>
    </row>
    <row r="3177" spans="72:74" x14ac:dyDescent="0.2">
      <c r="BT3177" s="124"/>
      <c r="BU3177" s="124"/>
      <c r="BV3177" s="124"/>
    </row>
    <row r="3178" spans="72:74" x14ac:dyDescent="0.2">
      <c r="BT3178" s="124"/>
      <c r="BU3178" s="124"/>
      <c r="BV3178" s="124"/>
    </row>
    <row r="3179" spans="72:74" x14ac:dyDescent="0.2">
      <c r="BT3179" s="124"/>
      <c r="BU3179" s="124"/>
      <c r="BV3179" s="124"/>
    </row>
    <row r="3180" spans="72:74" x14ac:dyDescent="0.2">
      <c r="BT3180" s="124"/>
      <c r="BU3180" s="124"/>
      <c r="BV3180" s="124"/>
    </row>
    <row r="3181" spans="72:74" x14ac:dyDescent="0.2">
      <c r="BT3181" s="124"/>
      <c r="BU3181" s="124"/>
      <c r="BV3181" s="124"/>
    </row>
    <row r="3182" spans="72:74" x14ac:dyDescent="0.2">
      <c r="BT3182" s="124"/>
      <c r="BU3182" s="124"/>
      <c r="BV3182" s="124"/>
    </row>
    <row r="3183" spans="72:74" x14ac:dyDescent="0.2">
      <c r="BT3183" s="124"/>
      <c r="BU3183" s="124"/>
      <c r="BV3183" s="124"/>
    </row>
    <row r="3184" spans="72:74" x14ac:dyDescent="0.2">
      <c r="BT3184" s="124"/>
      <c r="BU3184" s="124"/>
      <c r="BV3184" s="124"/>
    </row>
    <row r="3185" spans="72:74" x14ac:dyDescent="0.2">
      <c r="BT3185" s="124"/>
      <c r="BU3185" s="124"/>
      <c r="BV3185" s="124"/>
    </row>
    <row r="3186" spans="72:74" x14ac:dyDescent="0.2">
      <c r="BT3186" s="124"/>
      <c r="BU3186" s="124"/>
      <c r="BV3186" s="124"/>
    </row>
    <row r="3187" spans="72:74" x14ac:dyDescent="0.2">
      <c r="BT3187" s="124"/>
      <c r="BU3187" s="124"/>
      <c r="BV3187" s="124"/>
    </row>
    <row r="3188" spans="72:74" x14ac:dyDescent="0.2">
      <c r="BT3188" s="124"/>
      <c r="BU3188" s="124"/>
      <c r="BV3188" s="124"/>
    </row>
    <row r="3189" spans="72:74" x14ac:dyDescent="0.2">
      <c r="BT3189" s="124"/>
      <c r="BU3189" s="124"/>
      <c r="BV3189" s="124"/>
    </row>
    <row r="3190" spans="72:74" x14ac:dyDescent="0.2">
      <c r="BT3190" s="124"/>
      <c r="BU3190" s="124"/>
      <c r="BV3190" s="124"/>
    </row>
    <row r="3191" spans="72:74" x14ac:dyDescent="0.2">
      <c r="BT3191" s="124"/>
      <c r="BU3191" s="124"/>
      <c r="BV3191" s="124"/>
    </row>
    <row r="3192" spans="72:74" x14ac:dyDescent="0.2">
      <c r="BT3192" s="124"/>
      <c r="BU3192" s="124"/>
      <c r="BV3192" s="124"/>
    </row>
    <row r="3193" spans="72:74" x14ac:dyDescent="0.2">
      <c r="BT3193" s="124"/>
      <c r="BU3193" s="124"/>
      <c r="BV3193" s="124"/>
    </row>
    <row r="3194" spans="72:74" x14ac:dyDescent="0.2">
      <c r="BT3194" s="124"/>
      <c r="BU3194" s="124"/>
      <c r="BV3194" s="124"/>
    </row>
    <row r="3195" spans="72:74" x14ac:dyDescent="0.2">
      <c r="BT3195" s="124"/>
      <c r="BU3195" s="124"/>
      <c r="BV3195" s="124"/>
    </row>
    <row r="3196" spans="72:74" x14ac:dyDescent="0.2">
      <c r="BT3196" s="124"/>
      <c r="BU3196" s="124"/>
      <c r="BV3196" s="124"/>
    </row>
    <row r="3197" spans="72:74" x14ac:dyDescent="0.2">
      <c r="BT3197" s="124"/>
      <c r="BU3197" s="124"/>
      <c r="BV3197" s="124"/>
    </row>
    <row r="3198" spans="72:74" x14ac:dyDescent="0.2">
      <c r="BT3198" s="124"/>
      <c r="BU3198" s="124"/>
      <c r="BV3198" s="124"/>
    </row>
    <row r="3199" spans="72:74" x14ac:dyDescent="0.2">
      <c r="BT3199" s="124"/>
      <c r="BU3199" s="124"/>
      <c r="BV3199" s="124"/>
    </row>
    <row r="3200" spans="72:74" x14ac:dyDescent="0.2">
      <c r="BT3200" s="124"/>
      <c r="BU3200" s="124"/>
      <c r="BV3200" s="124"/>
    </row>
    <row r="3201" spans="72:74" x14ac:dyDescent="0.2">
      <c r="BT3201" s="124"/>
      <c r="BU3201" s="124"/>
      <c r="BV3201" s="124"/>
    </row>
    <row r="3202" spans="72:74" x14ac:dyDescent="0.2">
      <c r="BT3202" s="124"/>
      <c r="BU3202" s="124"/>
      <c r="BV3202" s="124"/>
    </row>
    <row r="3203" spans="72:74" x14ac:dyDescent="0.2">
      <c r="BT3203" s="124"/>
      <c r="BU3203" s="124"/>
      <c r="BV3203" s="124"/>
    </row>
    <row r="3204" spans="72:74" x14ac:dyDescent="0.2">
      <c r="BT3204" s="124"/>
      <c r="BU3204" s="124"/>
      <c r="BV3204" s="124"/>
    </row>
    <row r="3205" spans="72:74" x14ac:dyDescent="0.2">
      <c r="BT3205" s="124"/>
      <c r="BU3205" s="124"/>
      <c r="BV3205" s="124"/>
    </row>
    <row r="3206" spans="72:74" x14ac:dyDescent="0.2">
      <c r="BT3206" s="124"/>
      <c r="BU3206" s="124"/>
      <c r="BV3206" s="124"/>
    </row>
    <row r="3207" spans="72:74" x14ac:dyDescent="0.2">
      <c r="BT3207" s="124"/>
      <c r="BU3207" s="124"/>
      <c r="BV3207" s="124"/>
    </row>
    <row r="3208" spans="72:74" x14ac:dyDescent="0.2">
      <c r="BT3208" s="124"/>
      <c r="BU3208" s="124"/>
      <c r="BV3208" s="124"/>
    </row>
    <row r="3209" spans="72:74" x14ac:dyDescent="0.2">
      <c r="BT3209" s="124"/>
      <c r="BU3209" s="124"/>
      <c r="BV3209" s="124"/>
    </row>
    <row r="3210" spans="72:74" x14ac:dyDescent="0.2">
      <c r="BT3210" s="124"/>
      <c r="BU3210" s="124"/>
      <c r="BV3210" s="124"/>
    </row>
    <row r="3211" spans="72:74" x14ac:dyDescent="0.2">
      <c r="BT3211" s="124"/>
      <c r="BU3211" s="124"/>
      <c r="BV3211" s="124"/>
    </row>
    <row r="3212" spans="72:74" x14ac:dyDescent="0.2">
      <c r="BT3212" s="124"/>
      <c r="BU3212" s="124"/>
      <c r="BV3212" s="124"/>
    </row>
    <row r="3213" spans="72:74" x14ac:dyDescent="0.2">
      <c r="BT3213" s="124"/>
      <c r="BU3213" s="124"/>
      <c r="BV3213" s="124"/>
    </row>
    <row r="3214" spans="72:74" x14ac:dyDescent="0.2">
      <c r="BT3214" s="124"/>
      <c r="BU3214" s="124"/>
      <c r="BV3214" s="124"/>
    </row>
    <row r="3215" spans="72:74" x14ac:dyDescent="0.2">
      <c r="BT3215" s="124"/>
      <c r="BU3215" s="124"/>
      <c r="BV3215" s="124"/>
    </row>
    <row r="3216" spans="72:74" x14ac:dyDescent="0.2">
      <c r="BT3216" s="124"/>
      <c r="BU3216" s="124"/>
      <c r="BV3216" s="124"/>
    </row>
    <row r="3217" spans="72:74" x14ac:dyDescent="0.2">
      <c r="BT3217" s="124"/>
      <c r="BU3217" s="124"/>
      <c r="BV3217" s="124"/>
    </row>
    <row r="3218" spans="72:74" x14ac:dyDescent="0.2">
      <c r="BT3218" s="124"/>
      <c r="BU3218" s="124"/>
      <c r="BV3218" s="124"/>
    </row>
    <row r="3219" spans="72:74" x14ac:dyDescent="0.2">
      <c r="BT3219" s="124"/>
      <c r="BU3219" s="124"/>
      <c r="BV3219" s="124"/>
    </row>
    <row r="3220" spans="72:74" x14ac:dyDescent="0.2">
      <c r="BT3220" s="124"/>
      <c r="BU3220" s="124"/>
      <c r="BV3220" s="124"/>
    </row>
    <row r="3221" spans="72:74" x14ac:dyDescent="0.2">
      <c r="BT3221" s="124"/>
      <c r="BU3221" s="124"/>
      <c r="BV3221" s="124"/>
    </row>
    <row r="3222" spans="72:74" x14ac:dyDescent="0.2">
      <c r="BT3222" s="124"/>
      <c r="BU3222" s="124"/>
      <c r="BV3222" s="124"/>
    </row>
    <row r="3223" spans="72:74" x14ac:dyDescent="0.2">
      <c r="BT3223" s="124"/>
      <c r="BU3223" s="124"/>
      <c r="BV3223" s="124"/>
    </row>
    <row r="3224" spans="72:74" x14ac:dyDescent="0.2">
      <c r="BT3224" s="124"/>
      <c r="BU3224" s="124"/>
      <c r="BV3224" s="124"/>
    </row>
    <row r="3225" spans="72:74" x14ac:dyDescent="0.2">
      <c r="BT3225" s="124"/>
      <c r="BU3225" s="124"/>
      <c r="BV3225" s="124"/>
    </row>
    <row r="3226" spans="72:74" x14ac:dyDescent="0.2">
      <c r="BT3226" s="124"/>
      <c r="BU3226" s="124"/>
      <c r="BV3226" s="124"/>
    </row>
    <row r="3227" spans="72:74" x14ac:dyDescent="0.2">
      <c r="BT3227" s="124"/>
      <c r="BU3227" s="124"/>
      <c r="BV3227" s="124"/>
    </row>
    <row r="3228" spans="72:74" x14ac:dyDescent="0.2">
      <c r="BT3228" s="124"/>
      <c r="BU3228" s="124"/>
      <c r="BV3228" s="124"/>
    </row>
    <row r="3229" spans="72:74" x14ac:dyDescent="0.2">
      <c r="BT3229" s="124"/>
      <c r="BU3229" s="124"/>
      <c r="BV3229" s="124"/>
    </row>
    <row r="3230" spans="72:74" x14ac:dyDescent="0.2">
      <c r="BT3230" s="124"/>
      <c r="BU3230" s="124"/>
      <c r="BV3230" s="124"/>
    </row>
    <row r="3231" spans="72:74" x14ac:dyDescent="0.2">
      <c r="BT3231" s="124"/>
      <c r="BU3231" s="124"/>
      <c r="BV3231" s="124"/>
    </row>
    <row r="3232" spans="72:74" x14ac:dyDescent="0.2">
      <c r="BT3232" s="124"/>
      <c r="BU3232" s="124"/>
      <c r="BV3232" s="124"/>
    </row>
    <row r="3233" spans="72:74" x14ac:dyDescent="0.2">
      <c r="BT3233" s="124"/>
      <c r="BU3233" s="124"/>
      <c r="BV3233" s="124"/>
    </row>
    <row r="3234" spans="72:74" x14ac:dyDescent="0.2">
      <c r="BT3234" s="124"/>
      <c r="BU3234" s="124"/>
      <c r="BV3234" s="124"/>
    </row>
    <row r="3235" spans="72:74" x14ac:dyDescent="0.2">
      <c r="BT3235" s="124"/>
      <c r="BU3235" s="124"/>
      <c r="BV3235" s="124"/>
    </row>
    <row r="3236" spans="72:74" x14ac:dyDescent="0.2">
      <c r="BT3236" s="124"/>
      <c r="BU3236" s="124"/>
      <c r="BV3236" s="124"/>
    </row>
    <row r="3237" spans="72:74" x14ac:dyDescent="0.2">
      <c r="BT3237" s="124"/>
      <c r="BU3237" s="124"/>
      <c r="BV3237" s="124"/>
    </row>
    <row r="3238" spans="72:74" x14ac:dyDescent="0.2">
      <c r="BT3238" s="124"/>
      <c r="BU3238" s="124"/>
      <c r="BV3238" s="124"/>
    </row>
    <row r="3239" spans="72:74" x14ac:dyDescent="0.2">
      <c r="BT3239" s="124"/>
      <c r="BU3239" s="124"/>
      <c r="BV3239" s="124"/>
    </row>
    <row r="3240" spans="72:74" x14ac:dyDescent="0.2">
      <c r="BT3240" s="124"/>
      <c r="BU3240" s="124"/>
      <c r="BV3240" s="124"/>
    </row>
    <row r="3241" spans="72:74" x14ac:dyDescent="0.2">
      <c r="BT3241" s="124"/>
      <c r="BU3241" s="124"/>
      <c r="BV3241" s="124"/>
    </row>
    <row r="3242" spans="72:74" x14ac:dyDescent="0.2">
      <c r="BT3242" s="124"/>
      <c r="BU3242" s="124"/>
      <c r="BV3242" s="124"/>
    </row>
    <row r="3243" spans="72:74" x14ac:dyDescent="0.2">
      <c r="BT3243" s="124"/>
      <c r="BU3243" s="124"/>
      <c r="BV3243" s="124"/>
    </row>
    <row r="3244" spans="72:74" x14ac:dyDescent="0.2">
      <c r="BT3244" s="124"/>
      <c r="BU3244" s="124"/>
      <c r="BV3244" s="124"/>
    </row>
    <row r="3245" spans="72:74" x14ac:dyDescent="0.2">
      <c r="BT3245" s="124"/>
      <c r="BU3245" s="124"/>
      <c r="BV3245" s="124"/>
    </row>
    <row r="3246" spans="72:74" x14ac:dyDescent="0.2">
      <c r="BT3246" s="124"/>
      <c r="BU3246" s="124"/>
      <c r="BV3246" s="124"/>
    </row>
    <row r="3247" spans="72:74" x14ac:dyDescent="0.2">
      <c r="BT3247" s="124"/>
      <c r="BU3247" s="124"/>
      <c r="BV3247" s="124"/>
    </row>
    <row r="3248" spans="72:74" x14ac:dyDescent="0.2">
      <c r="BT3248" s="124"/>
      <c r="BU3248" s="124"/>
      <c r="BV3248" s="124"/>
    </row>
    <row r="3249" spans="72:74" x14ac:dyDescent="0.2">
      <c r="BT3249" s="124"/>
      <c r="BU3249" s="124"/>
      <c r="BV3249" s="124"/>
    </row>
    <row r="3250" spans="72:74" x14ac:dyDescent="0.2">
      <c r="BT3250" s="124"/>
      <c r="BU3250" s="124"/>
      <c r="BV3250" s="124"/>
    </row>
    <row r="3251" spans="72:74" x14ac:dyDescent="0.2">
      <c r="BT3251" s="124"/>
      <c r="BU3251" s="124"/>
      <c r="BV3251" s="124"/>
    </row>
    <row r="3252" spans="72:74" x14ac:dyDescent="0.2">
      <c r="BT3252" s="124"/>
      <c r="BU3252" s="124"/>
      <c r="BV3252" s="124"/>
    </row>
    <row r="3253" spans="72:74" x14ac:dyDescent="0.2">
      <c r="BT3253" s="124"/>
      <c r="BU3253" s="124"/>
      <c r="BV3253" s="124"/>
    </row>
    <row r="3254" spans="72:74" x14ac:dyDescent="0.2">
      <c r="BT3254" s="124"/>
      <c r="BU3254" s="124"/>
      <c r="BV3254" s="124"/>
    </row>
    <row r="3255" spans="72:74" x14ac:dyDescent="0.2">
      <c r="BT3255" s="124"/>
      <c r="BU3255" s="124"/>
      <c r="BV3255" s="124"/>
    </row>
    <row r="3256" spans="72:74" x14ac:dyDescent="0.2">
      <c r="BT3256" s="124"/>
      <c r="BU3256" s="124"/>
      <c r="BV3256" s="124"/>
    </row>
    <row r="3257" spans="72:74" x14ac:dyDescent="0.2">
      <c r="BT3257" s="124"/>
      <c r="BU3257" s="124"/>
      <c r="BV3257" s="124"/>
    </row>
    <row r="3258" spans="72:74" x14ac:dyDescent="0.2">
      <c r="BT3258" s="124"/>
      <c r="BU3258" s="124"/>
      <c r="BV3258" s="124"/>
    </row>
    <row r="3259" spans="72:74" x14ac:dyDescent="0.2">
      <c r="BT3259" s="124"/>
      <c r="BU3259" s="124"/>
      <c r="BV3259" s="124"/>
    </row>
    <row r="3260" spans="72:74" x14ac:dyDescent="0.2">
      <c r="BT3260" s="124"/>
      <c r="BU3260" s="124"/>
      <c r="BV3260" s="124"/>
    </row>
    <row r="3261" spans="72:74" x14ac:dyDescent="0.2">
      <c r="BT3261" s="124"/>
      <c r="BU3261" s="124"/>
      <c r="BV3261" s="124"/>
    </row>
    <row r="3262" spans="72:74" x14ac:dyDescent="0.2">
      <c r="BT3262" s="124"/>
      <c r="BU3262" s="124"/>
      <c r="BV3262" s="124"/>
    </row>
    <row r="3263" spans="72:74" x14ac:dyDescent="0.2">
      <c r="BT3263" s="124"/>
      <c r="BU3263" s="124"/>
      <c r="BV3263" s="124"/>
    </row>
    <row r="3264" spans="72:74" x14ac:dyDescent="0.2">
      <c r="BT3264" s="124"/>
      <c r="BU3264" s="124"/>
      <c r="BV3264" s="124"/>
    </row>
    <row r="3265" spans="72:74" x14ac:dyDescent="0.2">
      <c r="BT3265" s="124"/>
      <c r="BU3265" s="124"/>
      <c r="BV3265" s="124"/>
    </row>
    <row r="3266" spans="72:74" x14ac:dyDescent="0.2">
      <c r="BT3266" s="124"/>
      <c r="BU3266" s="124"/>
      <c r="BV3266" s="124"/>
    </row>
    <row r="3267" spans="72:74" x14ac:dyDescent="0.2">
      <c r="BT3267" s="124"/>
      <c r="BU3267" s="124"/>
      <c r="BV3267" s="124"/>
    </row>
    <row r="3268" spans="72:74" x14ac:dyDescent="0.2">
      <c r="BT3268" s="124"/>
      <c r="BU3268" s="124"/>
      <c r="BV3268" s="124"/>
    </row>
    <row r="3269" spans="72:74" x14ac:dyDescent="0.2">
      <c r="BT3269" s="124"/>
      <c r="BU3269" s="124"/>
      <c r="BV3269" s="124"/>
    </row>
    <row r="3270" spans="72:74" x14ac:dyDescent="0.2">
      <c r="BT3270" s="124"/>
      <c r="BU3270" s="124"/>
      <c r="BV3270" s="124"/>
    </row>
    <row r="3271" spans="72:74" x14ac:dyDescent="0.2">
      <c r="BT3271" s="124"/>
      <c r="BU3271" s="124"/>
      <c r="BV3271" s="124"/>
    </row>
    <row r="3272" spans="72:74" x14ac:dyDescent="0.2">
      <c r="BT3272" s="124"/>
      <c r="BU3272" s="124"/>
      <c r="BV3272" s="124"/>
    </row>
    <row r="3273" spans="72:74" x14ac:dyDescent="0.2">
      <c r="BT3273" s="124"/>
      <c r="BU3273" s="124"/>
      <c r="BV3273" s="124"/>
    </row>
    <row r="3274" spans="72:74" x14ac:dyDescent="0.2">
      <c r="BT3274" s="124"/>
      <c r="BU3274" s="124"/>
      <c r="BV3274" s="124"/>
    </row>
    <row r="3275" spans="72:74" x14ac:dyDescent="0.2">
      <c r="BT3275" s="124"/>
      <c r="BU3275" s="124"/>
      <c r="BV3275" s="124"/>
    </row>
    <row r="3276" spans="72:74" x14ac:dyDescent="0.2">
      <c r="BT3276" s="124"/>
      <c r="BU3276" s="124"/>
      <c r="BV3276" s="124"/>
    </row>
    <row r="3277" spans="72:74" x14ac:dyDescent="0.2">
      <c r="BT3277" s="124"/>
      <c r="BU3277" s="124"/>
      <c r="BV3277" s="124"/>
    </row>
    <row r="3278" spans="72:74" x14ac:dyDescent="0.2">
      <c r="BT3278" s="124"/>
      <c r="BU3278" s="124"/>
      <c r="BV3278" s="124"/>
    </row>
    <row r="3279" spans="72:74" x14ac:dyDescent="0.2">
      <c r="BT3279" s="124"/>
      <c r="BU3279" s="124"/>
      <c r="BV3279" s="124"/>
    </row>
    <row r="3280" spans="72:74" x14ac:dyDescent="0.2">
      <c r="BT3280" s="124"/>
      <c r="BU3280" s="124"/>
      <c r="BV3280" s="124"/>
    </row>
    <row r="3281" spans="72:74" x14ac:dyDescent="0.2">
      <c r="BT3281" s="124"/>
      <c r="BU3281" s="124"/>
      <c r="BV3281" s="124"/>
    </row>
    <row r="3282" spans="72:74" x14ac:dyDescent="0.2">
      <c r="BT3282" s="124"/>
      <c r="BU3282" s="124"/>
      <c r="BV3282" s="124"/>
    </row>
    <row r="3283" spans="72:74" x14ac:dyDescent="0.2">
      <c r="BT3283" s="124"/>
      <c r="BU3283" s="124"/>
      <c r="BV3283" s="124"/>
    </row>
    <row r="3284" spans="72:74" x14ac:dyDescent="0.2">
      <c r="BT3284" s="124"/>
      <c r="BU3284" s="124"/>
      <c r="BV3284" s="124"/>
    </row>
    <row r="3285" spans="72:74" x14ac:dyDescent="0.2">
      <c r="BT3285" s="124"/>
      <c r="BU3285" s="124"/>
      <c r="BV3285" s="124"/>
    </row>
    <row r="3286" spans="72:74" x14ac:dyDescent="0.2">
      <c r="BT3286" s="124"/>
      <c r="BU3286" s="124"/>
      <c r="BV3286" s="124"/>
    </row>
    <row r="3287" spans="72:74" x14ac:dyDescent="0.2">
      <c r="BT3287" s="124"/>
      <c r="BU3287" s="124"/>
      <c r="BV3287" s="124"/>
    </row>
    <row r="3288" spans="72:74" x14ac:dyDescent="0.2">
      <c r="BT3288" s="124"/>
      <c r="BU3288" s="124"/>
      <c r="BV3288" s="124"/>
    </row>
    <row r="3289" spans="72:74" x14ac:dyDescent="0.2">
      <c r="BT3289" s="124"/>
      <c r="BU3289" s="124"/>
      <c r="BV3289" s="124"/>
    </row>
    <row r="3290" spans="72:74" x14ac:dyDescent="0.2">
      <c r="BT3290" s="124"/>
      <c r="BU3290" s="124"/>
      <c r="BV3290" s="124"/>
    </row>
    <row r="3291" spans="72:74" x14ac:dyDescent="0.2">
      <c r="BT3291" s="124"/>
      <c r="BU3291" s="124"/>
      <c r="BV3291" s="124"/>
    </row>
    <row r="3292" spans="72:74" x14ac:dyDescent="0.2">
      <c r="BT3292" s="124"/>
      <c r="BU3292" s="124"/>
      <c r="BV3292" s="124"/>
    </row>
    <row r="3293" spans="72:74" x14ac:dyDescent="0.2">
      <c r="BT3293" s="124"/>
      <c r="BU3293" s="124"/>
      <c r="BV3293" s="124"/>
    </row>
    <row r="3294" spans="72:74" x14ac:dyDescent="0.2">
      <c r="BT3294" s="124"/>
      <c r="BU3294" s="124"/>
      <c r="BV3294" s="124"/>
    </row>
    <row r="3295" spans="72:74" x14ac:dyDescent="0.2">
      <c r="BT3295" s="124"/>
      <c r="BU3295" s="124"/>
      <c r="BV3295" s="124"/>
    </row>
    <row r="3296" spans="72:74" x14ac:dyDescent="0.2">
      <c r="BT3296" s="124"/>
      <c r="BU3296" s="124"/>
      <c r="BV3296" s="124"/>
    </row>
    <row r="3297" spans="72:74" x14ac:dyDescent="0.2">
      <c r="BT3297" s="124"/>
      <c r="BU3297" s="124"/>
      <c r="BV3297" s="124"/>
    </row>
    <row r="3298" spans="72:74" x14ac:dyDescent="0.2">
      <c r="BT3298" s="124"/>
      <c r="BU3298" s="124"/>
      <c r="BV3298" s="124"/>
    </row>
    <row r="3299" spans="72:74" x14ac:dyDescent="0.2">
      <c r="BT3299" s="124"/>
      <c r="BU3299" s="124"/>
      <c r="BV3299" s="124"/>
    </row>
    <row r="3300" spans="72:74" x14ac:dyDescent="0.2">
      <c r="BT3300" s="124"/>
      <c r="BU3300" s="124"/>
      <c r="BV3300" s="124"/>
    </row>
    <row r="3301" spans="72:74" x14ac:dyDescent="0.2">
      <c r="BT3301" s="124"/>
      <c r="BU3301" s="124"/>
      <c r="BV3301" s="124"/>
    </row>
    <row r="3302" spans="72:74" x14ac:dyDescent="0.2">
      <c r="BT3302" s="124"/>
      <c r="BU3302" s="124"/>
      <c r="BV3302" s="124"/>
    </row>
    <row r="3303" spans="72:74" x14ac:dyDescent="0.2">
      <c r="BT3303" s="124"/>
      <c r="BU3303" s="124"/>
      <c r="BV3303" s="124"/>
    </row>
    <row r="3304" spans="72:74" x14ac:dyDescent="0.2">
      <c r="BT3304" s="124"/>
      <c r="BU3304" s="124"/>
      <c r="BV3304" s="124"/>
    </row>
    <row r="3305" spans="72:74" x14ac:dyDescent="0.2">
      <c r="BT3305" s="124"/>
      <c r="BU3305" s="124"/>
      <c r="BV3305" s="124"/>
    </row>
    <row r="3306" spans="72:74" x14ac:dyDescent="0.2">
      <c r="BT3306" s="124"/>
      <c r="BU3306" s="124"/>
      <c r="BV3306" s="124"/>
    </row>
    <row r="3307" spans="72:74" x14ac:dyDescent="0.2">
      <c r="BT3307" s="124"/>
      <c r="BU3307" s="124"/>
      <c r="BV3307" s="124"/>
    </row>
    <row r="3308" spans="72:74" x14ac:dyDescent="0.2">
      <c r="BT3308" s="124"/>
      <c r="BU3308" s="124"/>
      <c r="BV3308" s="124"/>
    </row>
    <row r="3309" spans="72:74" x14ac:dyDescent="0.2">
      <c r="BT3309" s="124"/>
      <c r="BU3309" s="124"/>
      <c r="BV3309" s="124"/>
    </row>
    <row r="3310" spans="72:74" x14ac:dyDescent="0.2">
      <c r="BT3310" s="124"/>
      <c r="BU3310" s="124"/>
      <c r="BV3310" s="124"/>
    </row>
    <row r="3311" spans="72:74" x14ac:dyDescent="0.2">
      <c r="BT3311" s="124"/>
      <c r="BU3311" s="124"/>
      <c r="BV3311" s="124"/>
    </row>
    <row r="3312" spans="72:74" x14ac:dyDescent="0.2">
      <c r="BT3312" s="124"/>
      <c r="BU3312" s="124"/>
      <c r="BV3312" s="124"/>
    </row>
    <row r="3313" spans="72:74" x14ac:dyDescent="0.2">
      <c r="BT3313" s="124"/>
      <c r="BU3313" s="124"/>
      <c r="BV3313" s="124"/>
    </row>
    <row r="3314" spans="72:74" x14ac:dyDescent="0.2">
      <c r="BT3314" s="124"/>
      <c r="BU3314" s="124"/>
      <c r="BV3314" s="124"/>
    </row>
    <row r="3315" spans="72:74" x14ac:dyDescent="0.2">
      <c r="BT3315" s="124"/>
      <c r="BU3315" s="124"/>
      <c r="BV3315" s="124"/>
    </row>
    <row r="3316" spans="72:74" x14ac:dyDescent="0.2">
      <c r="BT3316" s="124"/>
      <c r="BU3316" s="124"/>
      <c r="BV3316" s="124"/>
    </row>
    <row r="3317" spans="72:74" x14ac:dyDescent="0.2">
      <c r="BT3317" s="124"/>
      <c r="BU3317" s="124"/>
      <c r="BV3317" s="124"/>
    </row>
    <row r="3318" spans="72:74" x14ac:dyDescent="0.2">
      <c r="BT3318" s="124"/>
      <c r="BU3318" s="124"/>
      <c r="BV3318" s="124"/>
    </row>
    <row r="3319" spans="72:74" x14ac:dyDescent="0.2">
      <c r="BT3319" s="124"/>
      <c r="BU3319" s="124"/>
      <c r="BV3319" s="124"/>
    </row>
    <row r="3320" spans="72:74" x14ac:dyDescent="0.2">
      <c r="BT3320" s="124"/>
      <c r="BU3320" s="124"/>
      <c r="BV3320" s="124"/>
    </row>
    <row r="3321" spans="72:74" x14ac:dyDescent="0.2">
      <c r="BT3321" s="124"/>
      <c r="BU3321" s="124"/>
      <c r="BV3321" s="124"/>
    </row>
    <row r="3322" spans="72:74" x14ac:dyDescent="0.2">
      <c r="BT3322" s="124"/>
      <c r="BU3322" s="124"/>
      <c r="BV3322" s="124"/>
    </row>
    <row r="3323" spans="72:74" x14ac:dyDescent="0.2">
      <c r="BT3323" s="124"/>
      <c r="BU3323" s="124"/>
      <c r="BV3323" s="124"/>
    </row>
    <row r="3324" spans="72:74" x14ac:dyDescent="0.2">
      <c r="BT3324" s="124"/>
      <c r="BU3324" s="124"/>
      <c r="BV3324" s="124"/>
    </row>
    <row r="3325" spans="72:74" x14ac:dyDescent="0.2">
      <c r="BT3325" s="124"/>
      <c r="BU3325" s="124"/>
      <c r="BV3325" s="124"/>
    </row>
    <row r="3326" spans="72:74" x14ac:dyDescent="0.2">
      <c r="BT3326" s="124"/>
      <c r="BU3326" s="124"/>
      <c r="BV3326" s="124"/>
    </row>
    <row r="3327" spans="72:74" x14ac:dyDescent="0.2">
      <c r="BT3327" s="124"/>
      <c r="BU3327" s="124"/>
      <c r="BV3327" s="124"/>
    </row>
    <row r="3328" spans="72:74" x14ac:dyDescent="0.2">
      <c r="BT3328" s="124"/>
      <c r="BU3328" s="124"/>
      <c r="BV3328" s="124"/>
    </row>
    <row r="3329" spans="72:74" x14ac:dyDescent="0.2">
      <c r="BT3329" s="124"/>
      <c r="BU3329" s="124"/>
      <c r="BV3329" s="124"/>
    </row>
    <row r="3330" spans="72:74" x14ac:dyDescent="0.2">
      <c r="BT3330" s="124"/>
      <c r="BU3330" s="124"/>
      <c r="BV3330" s="124"/>
    </row>
    <row r="3331" spans="72:74" x14ac:dyDescent="0.2">
      <c r="BT3331" s="124"/>
      <c r="BU3331" s="124"/>
      <c r="BV3331" s="124"/>
    </row>
    <row r="3332" spans="72:74" x14ac:dyDescent="0.2">
      <c r="BT3332" s="124"/>
      <c r="BU3332" s="124"/>
      <c r="BV3332" s="124"/>
    </row>
    <row r="3333" spans="72:74" x14ac:dyDescent="0.2">
      <c r="BT3333" s="124"/>
      <c r="BU3333" s="124"/>
      <c r="BV3333" s="124"/>
    </row>
    <row r="3334" spans="72:74" x14ac:dyDescent="0.2">
      <c r="BT3334" s="124"/>
      <c r="BU3334" s="124"/>
      <c r="BV3334" s="124"/>
    </row>
    <row r="3335" spans="72:74" x14ac:dyDescent="0.2">
      <c r="BT3335" s="124"/>
      <c r="BU3335" s="124"/>
      <c r="BV3335" s="124"/>
    </row>
    <row r="3336" spans="72:74" x14ac:dyDescent="0.2">
      <c r="BT3336" s="124"/>
      <c r="BU3336" s="124"/>
      <c r="BV3336" s="124"/>
    </row>
    <row r="3337" spans="72:74" x14ac:dyDescent="0.2">
      <c r="BT3337" s="124"/>
      <c r="BU3337" s="124"/>
      <c r="BV3337" s="124"/>
    </row>
    <row r="3338" spans="72:74" x14ac:dyDescent="0.2">
      <c r="BT3338" s="124"/>
      <c r="BU3338" s="124"/>
      <c r="BV3338" s="124"/>
    </row>
    <row r="3339" spans="72:74" x14ac:dyDescent="0.2">
      <c r="BT3339" s="124"/>
      <c r="BU3339" s="124"/>
      <c r="BV3339" s="124"/>
    </row>
    <row r="3340" spans="72:74" x14ac:dyDescent="0.2">
      <c r="BT3340" s="124"/>
      <c r="BU3340" s="124"/>
      <c r="BV3340" s="124"/>
    </row>
    <row r="3341" spans="72:74" x14ac:dyDescent="0.2">
      <c r="BT3341" s="124"/>
      <c r="BU3341" s="124"/>
      <c r="BV3341" s="124"/>
    </row>
    <row r="3342" spans="72:74" x14ac:dyDescent="0.2">
      <c r="BT3342" s="124"/>
      <c r="BU3342" s="124"/>
      <c r="BV3342" s="124"/>
    </row>
    <row r="3343" spans="72:74" x14ac:dyDescent="0.2">
      <c r="BT3343" s="124"/>
      <c r="BU3343" s="124"/>
      <c r="BV3343" s="124"/>
    </row>
    <row r="3344" spans="72:74" x14ac:dyDescent="0.2">
      <c r="BT3344" s="124"/>
      <c r="BU3344" s="124"/>
      <c r="BV3344" s="124"/>
    </row>
    <row r="3345" spans="72:74" x14ac:dyDescent="0.2">
      <c r="BT3345" s="124"/>
      <c r="BU3345" s="124"/>
      <c r="BV3345" s="124"/>
    </row>
    <row r="3346" spans="72:74" x14ac:dyDescent="0.2">
      <c r="BT3346" s="124"/>
      <c r="BU3346" s="124"/>
      <c r="BV3346" s="124"/>
    </row>
    <row r="3347" spans="72:74" x14ac:dyDescent="0.2">
      <c r="BT3347" s="124"/>
      <c r="BU3347" s="124"/>
      <c r="BV3347" s="124"/>
    </row>
    <row r="3348" spans="72:74" x14ac:dyDescent="0.2">
      <c r="BT3348" s="124"/>
      <c r="BU3348" s="124"/>
      <c r="BV3348" s="124"/>
    </row>
    <row r="3349" spans="72:74" x14ac:dyDescent="0.2">
      <c r="BT3349" s="124"/>
      <c r="BU3349" s="124"/>
      <c r="BV3349" s="124"/>
    </row>
    <row r="3350" spans="72:74" x14ac:dyDescent="0.2">
      <c r="BT3350" s="124"/>
      <c r="BU3350" s="124"/>
      <c r="BV3350" s="124"/>
    </row>
    <row r="3351" spans="72:74" x14ac:dyDescent="0.2">
      <c r="BT3351" s="124"/>
      <c r="BU3351" s="124"/>
      <c r="BV3351" s="124"/>
    </row>
    <row r="3352" spans="72:74" x14ac:dyDescent="0.2">
      <c r="BT3352" s="124"/>
      <c r="BU3352" s="124"/>
      <c r="BV3352" s="124"/>
    </row>
    <row r="3353" spans="72:74" x14ac:dyDescent="0.2">
      <c r="BT3353" s="124"/>
      <c r="BU3353" s="124"/>
      <c r="BV3353" s="124"/>
    </row>
    <row r="3354" spans="72:74" x14ac:dyDescent="0.2">
      <c r="BT3354" s="124"/>
      <c r="BU3354" s="124"/>
      <c r="BV3354" s="124"/>
    </row>
    <row r="3355" spans="72:74" x14ac:dyDescent="0.2">
      <c r="BT3355" s="124"/>
      <c r="BU3355" s="124"/>
      <c r="BV3355" s="124"/>
    </row>
    <row r="3356" spans="72:74" x14ac:dyDescent="0.2">
      <c r="BT3356" s="124"/>
      <c r="BU3356" s="124"/>
      <c r="BV3356" s="124"/>
    </row>
    <row r="3357" spans="72:74" x14ac:dyDescent="0.2">
      <c r="BT3357" s="124"/>
      <c r="BU3357" s="124"/>
      <c r="BV3357" s="124"/>
    </row>
    <row r="3358" spans="72:74" x14ac:dyDescent="0.2">
      <c r="BT3358" s="124"/>
      <c r="BU3358" s="124"/>
      <c r="BV3358" s="124"/>
    </row>
    <row r="3359" spans="72:74" x14ac:dyDescent="0.2">
      <c r="BT3359" s="124"/>
      <c r="BU3359" s="124"/>
      <c r="BV3359" s="124"/>
    </row>
    <row r="3360" spans="72:74" x14ac:dyDescent="0.2">
      <c r="BT3360" s="124"/>
      <c r="BU3360" s="124"/>
      <c r="BV3360" s="124"/>
    </row>
    <row r="3361" spans="72:74" x14ac:dyDescent="0.2">
      <c r="BT3361" s="124"/>
      <c r="BU3361" s="124"/>
      <c r="BV3361" s="124"/>
    </row>
    <row r="3362" spans="72:74" x14ac:dyDescent="0.2">
      <c r="BT3362" s="124"/>
      <c r="BU3362" s="124"/>
      <c r="BV3362" s="124"/>
    </row>
    <row r="3363" spans="72:74" x14ac:dyDescent="0.2">
      <c r="BT3363" s="124"/>
      <c r="BU3363" s="124"/>
      <c r="BV3363" s="124"/>
    </row>
    <row r="3364" spans="72:74" x14ac:dyDescent="0.2">
      <c r="BT3364" s="124"/>
      <c r="BU3364" s="124"/>
      <c r="BV3364" s="124"/>
    </row>
    <row r="3365" spans="72:74" x14ac:dyDescent="0.2">
      <c r="BT3365" s="124"/>
      <c r="BU3365" s="124"/>
      <c r="BV3365" s="124"/>
    </row>
    <row r="3366" spans="72:74" x14ac:dyDescent="0.2">
      <c r="BT3366" s="124"/>
      <c r="BU3366" s="124"/>
      <c r="BV3366" s="124"/>
    </row>
    <row r="3367" spans="72:74" x14ac:dyDescent="0.2">
      <c r="BT3367" s="124"/>
      <c r="BU3367" s="124"/>
      <c r="BV3367" s="124"/>
    </row>
    <row r="3368" spans="72:74" x14ac:dyDescent="0.2">
      <c r="BT3368" s="124"/>
      <c r="BU3368" s="124"/>
      <c r="BV3368" s="124"/>
    </row>
    <row r="3369" spans="72:74" x14ac:dyDescent="0.2">
      <c r="BT3369" s="124"/>
      <c r="BU3369" s="124"/>
      <c r="BV3369" s="124"/>
    </row>
    <row r="3370" spans="72:74" x14ac:dyDescent="0.2">
      <c r="BT3370" s="124"/>
      <c r="BU3370" s="124"/>
      <c r="BV3370" s="124"/>
    </row>
    <row r="3371" spans="72:74" x14ac:dyDescent="0.2">
      <c r="BT3371" s="124"/>
      <c r="BU3371" s="124"/>
      <c r="BV3371" s="124"/>
    </row>
    <row r="3372" spans="72:74" x14ac:dyDescent="0.2">
      <c r="BT3372" s="124"/>
      <c r="BU3372" s="124"/>
      <c r="BV3372" s="124"/>
    </row>
    <row r="3373" spans="72:74" x14ac:dyDescent="0.2">
      <c r="BT3373" s="124"/>
      <c r="BU3373" s="124"/>
      <c r="BV3373" s="124"/>
    </row>
    <row r="3374" spans="72:74" x14ac:dyDescent="0.2">
      <c r="BT3374" s="124"/>
      <c r="BU3374" s="124"/>
      <c r="BV3374" s="124"/>
    </row>
    <row r="3375" spans="72:74" x14ac:dyDescent="0.2">
      <c r="BT3375" s="124"/>
      <c r="BU3375" s="124"/>
      <c r="BV3375" s="124"/>
    </row>
    <row r="3376" spans="72:74" x14ac:dyDescent="0.2">
      <c r="BT3376" s="124"/>
      <c r="BU3376" s="124"/>
      <c r="BV3376" s="124"/>
    </row>
    <row r="3377" spans="72:74" x14ac:dyDescent="0.2">
      <c r="BT3377" s="124"/>
      <c r="BU3377" s="124"/>
      <c r="BV3377" s="124"/>
    </row>
    <row r="3378" spans="72:74" x14ac:dyDescent="0.2">
      <c r="BT3378" s="124"/>
      <c r="BU3378" s="124"/>
      <c r="BV3378" s="124"/>
    </row>
    <row r="3379" spans="72:74" x14ac:dyDescent="0.2">
      <c r="BT3379" s="124"/>
      <c r="BU3379" s="124"/>
      <c r="BV3379" s="124"/>
    </row>
    <row r="3380" spans="72:74" x14ac:dyDescent="0.2">
      <c r="BT3380" s="124"/>
      <c r="BU3380" s="124"/>
      <c r="BV3380" s="124"/>
    </row>
    <row r="3381" spans="72:74" x14ac:dyDescent="0.2">
      <c r="BT3381" s="124"/>
      <c r="BU3381" s="124"/>
      <c r="BV3381" s="124"/>
    </row>
    <row r="3382" spans="72:74" x14ac:dyDescent="0.2">
      <c r="BT3382" s="124"/>
      <c r="BU3382" s="124"/>
      <c r="BV3382" s="124"/>
    </row>
    <row r="3383" spans="72:74" x14ac:dyDescent="0.2">
      <c r="BT3383" s="124"/>
      <c r="BU3383" s="124"/>
      <c r="BV3383" s="124"/>
    </row>
    <row r="3384" spans="72:74" x14ac:dyDescent="0.2">
      <c r="BT3384" s="124"/>
      <c r="BU3384" s="124"/>
      <c r="BV3384" s="124"/>
    </row>
    <row r="3385" spans="72:74" x14ac:dyDescent="0.2">
      <c r="BT3385" s="124"/>
      <c r="BU3385" s="124"/>
      <c r="BV3385" s="124"/>
    </row>
    <row r="3386" spans="72:74" x14ac:dyDescent="0.2">
      <c r="BT3386" s="124"/>
      <c r="BU3386" s="124"/>
      <c r="BV3386" s="124"/>
    </row>
    <row r="3387" spans="72:74" x14ac:dyDescent="0.2">
      <c r="BT3387" s="124"/>
      <c r="BU3387" s="124"/>
      <c r="BV3387" s="124"/>
    </row>
    <row r="3388" spans="72:74" x14ac:dyDescent="0.2">
      <c r="BT3388" s="124"/>
      <c r="BU3388" s="124"/>
      <c r="BV3388" s="124"/>
    </row>
    <row r="3389" spans="72:74" x14ac:dyDescent="0.2">
      <c r="BT3389" s="124"/>
      <c r="BU3389" s="124"/>
      <c r="BV3389" s="124"/>
    </row>
    <row r="3390" spans="72:74" x14ac:dyDescent="0.2">
      <c r="BT3390" s="124"/>
      <c r="BU3390" s="124"/>
      <c r="BV3390" s="124"/>
    </row>
    <row r="3391" spans="72:74" x14ac:dyDescent="0.2">
      <c r="BT3391" s="124"/>
      <c r="BU3391" s="124"/>
      <c r="BV3391" s="124"/>
    </row>
    <row r="3392" spans="72:74" x14ac:dyDescent="0.2">
      <c r="BT3392" s="124"/>
      <c r="BU3392" s="124"/>
      <c r="BV3392" s="124"/>
    </row>
    <row r="3393" spans="72:74" x14ac:dyDescent="0.2">
      <c r="BT3393" s="124"/>
      <c r="BU3393" s="124"/>
      <c r="BV3393" s="124"/>
    </row>
    <row r="3394" spans="72:74" x14ac:dyDescent="0.2">
      <c r="BT3394" s="124"/>
      <c r="BU3394" s="124"/>
      <c r="BV3394" s="124"/>
    </row>
    <row r="3395" spans="72:74" x14ac:dyDescent="0.2">
      <c r="BT3395" s="124"/>
      <c r="BU3395" s="124"/>
      <c r="BV3395" s="124"/>
    </row>
    <row r="3396" spans="72:74" x14ac:dyDescent="0.2">
      <c r="BT3396" s="124"/>
      <c r="BU3396" s="124"/>
      <c r="BV3396" s="124"/>
    </row>
    <row r="3397" spans="72:74" x14ac:dyDescent="0.2">
      <c r="BT3397" s="124"/>
      <c r="BU3397" s="124"/>
      <c r="BV3397" s="124"/>
    </row>
    <row r="3398" spans="72:74" x14ac:dyDescent="0.2">
      <c r="BT3398" s="124"/>
      <c r="BU3398" s="124"/>
      <c r="BV3398" s="124"/>
    </row>
    <row r="3399" spans="72:74" x14ac:dyDescent="0.2">
      <c r="BT3399" s="124"/>
      <c r="BU3399" s="124"/>
      <c r="BV3399" s="124"/>
    </row>
    <row r="3400" spans="72:74" x14ac:dyDescent="0.2">
      <c r="BT3400" s="124"/>
      <c r="BU3400" s="124"/>
      <c r="BV3400" s="124"/>
    </row>
    <row r="3401" spans="72:74" x14ac:dyDescent="0.2">
      <c r="BT3401" s="124"/>
      <c r="BU3401" s="124"/>
      <c r="BV3401" s="124"/>
    </row>
    <row r="3402" spans="72:74" x14ac:dyDescent="0.2">
      <c r="BT3402" s="124"/>
      <c r="BU3402" s="124"/>
      <c r="BV3402" s="124"/>
    </row>
    <row r="3403" spans="72:74" x14ac:dyDescent="0.2">
      <c r="BT3403" s="124"/>
      <c r="BU3403" s="124"/>
      <c r="BV3403" s="124"/>
    </row>
    <row r="3404" spans="72:74" x14ac:dyDescent="0.2">
      <c r="BT3404" s="124"/>
      <c r="BU3404" s="124"/>
      <c r="BV3404" s="124"/>
    </row>
    <row r="3405" spans="72:74" x14ac:dyDescent="0.2">
      <c r="BT3405" s="124"/>
      <c r="BU3405" s="124"/>
      <c r="BV3405" s="124"/>
    </row>
    <row r="3406" spans="72:74" x14ac:dyDescent="0.2">
      <c r="BT3406" s="124"/>
      <c r="BU3406" s="124"/>
      <c r="BV3406" s="124"/>
    </row>
    <row r="3407" spans="72:74" x14ac:dyDescent="0.2">
      <c r="BT3407" s="124"/>
      <c r="BU3407" s="124"/>
      <c r="BV3407" s="124"/>
    </row>
    <row r="3408" spans="72:74" x14ac:dyDescent="0.2">
      <c r="BT3408" s="124"/>
      <c r="BU3408" s="124"/>
      <c r="BV3408" s="124"/>
    </row>
    <row r="3409" spans="72:74" x14ac:dyDescent="0.2">
      <c r="BT3409" s="124"/>
      <c r="BU3409" s="124"/>
      <c r="BV3409" s="124"/>
    </row>
    <row r="3410" spans="72:74" x14ac:dyDescent="0.2">
      <c r="BT3410" s="124"/>
      <c r="BU3410" s="124"/>
      <c r="BV3410" s="124"/>
    </row>
    <row r="3411" spans="72:74" x14ac:dyDescent="0.2">
      <c r="BT3411" s="124"/>
      <c r="BU3411" s="124"/>
      <c r="BV3411" s="124"/>
    </row>
    <row r="3412" spans="72:74" x14ac:dyDescent="0.2">
      <c r="BT3412" s="124"/>
      <c r="BU3412" s="124"/>
      <c r="BV3412" s="124"/>
    </row>
    <row r="3413" spans="72:74" x14ac:dyDescent="0.2">
      <c r="BT3413" s="124"/>
      <c r="BU3413" s="124"/>
      <c r="BV3413" s="124"/>
    </row>
    <row r="3414" spans="72:74" x14ac:dyDescent="0.2">
      <c r="BT3414" s="124"/>
      <c r="BU3414" s="124"/>
      <c r="BV3414" s="124"/>
    </row>
    <row r="3415" spans="72:74" x14ac:dyDescent="0.2">
      <c r="BT3415" s="124"/>
      <c r="BU3415" s="124"/>
      <c r="BV3415" s="124"/>
    </row>
    <row r="3416" spans="72:74" x14ac:dyDescent="0.2">
      <c r="BT3416" s="124"/>
      <c r="BU3416" s="124"/>
      <c r="BV3416" s="124"/>
    </row>
    <row r="3417" spans="72:74" x14ac:dyDescent="0.2">
      <c r="BT3417" s="124"/>
      <c r="BU3417" s="124"/>
      <c r="BV3417" s="124"/>
    </row>
    <row r="3418" spans="72:74" x14ac:dyDescent="0.2">
      <c r="BT3418" s="124"/>
      <c r="BU3418" s="124"/>
      <c r="BV3418" s="124"/>
    </row>
    <row r="3419" spans="72:74" x14ac:dyDescent="0.2">
      <c r="BT3419" s="124"/>
      <c r="BU3419" s="124"/>
      <c r="BV3419" s="124"/>
    </row>
    <row r="3420" spans="72:74" x14ac:dyDescent="0.2">
      <c r="BT3420" s="124"/>
      <c r="BU3420" s="124"/>
      <c r="BV3420" s="124"/>
    </row>
    <row r="3421" spans="72:74" x14ac:dyDescent="0.2">
      <c r="BT3421" s="124"/>
      <c r="BU3421" s="124"/>
      <c r="BV3421" s="124"/>
    </row>
    <row r="3422" spans="72:74" x14ac:dyDescent="0.2">
      <c r="BT3422" s="124"/>
      <c r="BU3422" s="124"/>
      <c r="BV3422" s="124"/>
    </row>
    <row r="3423" spans="72:74" x14ac:dyDescent="0.2">
      <c r="BT3423" s="124"/>
      <c r="BU3423" s="124"/>
      <c r="BV3423" s="124"/>
    </row>
    <row r="3424" spans="72:74" x14ac:dyDescent="0.2">
      <c r="BT3424" s="124"/>
      <c r="BU3424" s="124"/>
      <c r="BV3424" s="124"/>
    </row>
    <row r="3425" spans="72:74" x14ac:dyDescent="0.2">
      <c r="BT3425" s="124"/>
      <c r="BU3425" s="124"/>
      <c r="BV3425" s="124"/>
    </row>
    <row r="3426" spans="72:74" x14ac:dyDescent="0.2">
      <c r="BT3426" s="124"/>
      <c r="BU3426" s="124"/>
      <c r="BV3426" s="124"/>
    </row>
    <row r="3427" spans="72:74" x14ac:dyDescent="0.2">
      <c r="BT3427" s="124"/>
      <c r="BU3427" s="124"/>
      <c r="BV3427" s="124"/>
    </row>
    <row r="3428" spans="72:74" x14ac:dyDescent="0.2">
      <c r="BT3428" s="124"/>
      <c r="BU3428" s="124"/>
      <c r="BV3428" s="124"/>
    </row>
    <row r="3429" spans="72:74" x14ac:dyDescent="0.2">
      <c r="BT3429" s="124"/>
      <c r="BU3429" s="124"/>
      <c r="BV3429" s="124"/>
    </row>
    <row r="3430" spans="72:74" x14ac:dyDescent="0.2">
      <c r="BT3430" s="124"/>
      <c r="BU3430" s="124"/>
      <c r="BV3430" s="124"/>
    </row>
    <row r="3431" spans="72:74" x14ac:dyDescent="0.2">
      <c r="BT3431" s="124"/>
      <c r="BU3431" s="124"/>
      <c r="BV3431" s="124"/>
    </row>
    <row r="3432" spans="72:74" x14ac:dyDescent="0.2">
      <c r="BT3432" s="124"/>
      <c r="BU3432" s="124"/>
      <c r="BV3432" s="124"/>
    </row>
    <row r="3433" spans="72:74" x14ac:dyDescent="0.2">
      <c r="BT3433" s="124"/>
      <c r="BU3433" s="124"/>
      <c r="BV3433" s="124"/>
    </row>
    <row r="3434" spans="72:74" x14ac:dyDescent="0.2">
      <c r="BT3434" s="124"/>
      <c r="BU3434" s="124"/>
      <c r="BV3434" s="124"/>
    </row>
    <row r="3435" spans="72:74" x14ac:dyDescent="0.2">
      <c r="BT3435" s="124"/>
      <c r="BU3435" s="124"/>
      <c r="BV3435" s="124"/>
    </row>
    <row r="3436" spans="72:74" x14ac:dyDescent="0.2">
      <c r="BT3436" s="124"/>
      <c r="BU3436" s="124"/>
      <c r="BV3436" s="124"/>
    </row>
    <row r="3437" spans="72:74" x14ac:dyDescent="0.2">
      <c r="BT3437" s="124"/>
      <c r="BU3437" s="124"/>
      <c r="BV3437" s="124"/>
    </row>
    <row r="3438" spans="72:74" x14ac:dyDescent="0.2">
      <c r="BT3438" s="124"/>
      <c r="BU3438" s="124"/>
      <c r="BV3438" s="124"/>
    </row>
    <row r="3439" spans="72:74" x14ac:dyDescent="0.2">
      <c r="BT3439" s="124"/>
      <c r="BU3439" s="124"/>
      <c r="BV3439" s="124"/>
    </row>
    <row r="3440" spans="72:74" x14ac:dyDescent="0.2">
      <c r="BT3440" s="124"/>
      <c r="BU3440" s="124"/>
      <c r="BV3440" s="124"/>
    </row>
    <row r="3441" spans="72:74" x14ac:dyDescent="0.2">
      <c r="BT3441" s="124"/>
      <c r="BU3441" s="124"/>
      <c r="BV3441" s="124"/>
    </row>
    <row r="3442" spans="72:74" x14ac:dyDescent="0.2">
      <c r="BT3442" s="124"/>
      <c r="BU3442" s="124"/>
      <c r="BV3442" s="124"/>
    </row>
    <row r="3443" spans="72:74" x14ac:dyDescent="0.2">
      <c r="BT3443" s="124"/>
      <c r="BU3443" s="124"/>
      <c r="BV3443" s="124"/>
    </row>
    <row r="3444" spans="72:74" x14ac:dyDescent="0.2">
      <c r="BT3444" s="124"/>
      <c r="BU3444" s="124"/>
      <c r="BV3444" s="124"/>
    </row>
    <row r="3445" spans="72:74" x14ac:dyDescent="0.2">
      <c r="BT3445" s="124"/>
      <c r="BU3445" s="124"/>
      <c r="BV3445" s="124"/>
    </row>
    <row r="3446" spans="72:74" x14ac:dyDescent="0.2">
      <c r="BT3446" s="124"/>
      <c r="BU3446" s="124"/>
      <c r="BV3446" s="124"/>
    </row>
    <row r="3447" spans="72:74" x14ac:dyDescent="0.2">
      <c r="BT3447" s="124"/>
      <c r="BU3447" s="124"/>
      <c r="BV3447" s="124"/>
    </row>
    <row r="3448" spans="72:74" x14ac:dyDescent="0.2">
      <c r="BT3448" s="124"/>
      <c r="BU3448" s="124"/>
      <c r="BV3448" s="124"/>
    </row>
    <row r="3449" spans="72:74" x14ac:dyDescent="0.2">
      <c r="BT3449" s="124"/>
      <c r="BU3449" s="124"/>
      <c r="BV3449" s="124"/>
    </row>
    <row r="3450" spans="72:74" x14ac:dyDescent="0.2">
      <c r="BT3450" s="124"/>
      <c r="BU3450" s="124"/>
      <c r="BV3450" s="124"/>
    </row>
    <row r="3451" spans="72:74" x14ac:dyDescent="0.2">
      <c r="BT3451" s="124"/>
      <c r="BU3451" s="124"/>
      <c r="BV3451" s="124"/>
    </row>
    <row r="3452" spans="72:74" x14ac:dyDescent="0.2">
      <c r="BT3452" s="124"/>
      <c r="BU3452" s="124"/>
      <c r="BV3452" s="124"/>
    </row>
    <row r="3453" spans="72:74" x14ac:dyDescent="0.2">
      <c r="BT3453" s="124"/>
      <c r="BU3453" s="124"/>
      <c r="BV3453" s="124"/>
    </row>
    <row r="3454" spans="72:74" x14ac:dyDescent="0.2">
      <c r="BT3454" s="124"/>
      <c r="BU3454" s="124"/>
      <c r="BV3454" s="124"/>
    </row>
    <row r="3455" spans="72:74" x14ac:dyDescent="0.2">
      <c r="BT3455" s="124"/>
      <c r="BU3455" s="124"/>
      <c r="BV3455" s="124"/>
    </row>
    <row r="3456" spans="72:74" x14ac:dyDescent="0.2">
      <c r="BT3456" s="124"/>
      <c r="BU3456" s="124"/>
      <c r="BV3456" s="124"/>
    </row>
    <row r="3457" spans="72:74" x14ac:dyDescent="0.2">
      <c r="BT3457" s="124"/>
      <c r="BU3457" s="124"/>
      <c r="BV3457" s="124"/>
    </row>
    <row r="3458" spans="72:74" x14ac:dyDescent="0.2">
      <c r="BT3458" s="124"/>
      <c r="BU3458" s="124"/>
      <c r="BV3458" s="124"/>
    </row>
    <row r="3459" spans="72:74" x14ac:dyDescent="0.2">
      <c r="BT3459" s="124"/>
      <c r="BU3459" s="124"/>
      <c r="BV3459" s="124"/>
    </row>
    <row r="3460" spans="72:74" x14ac:dyDescent="0.2">
      <c r="BT3460" s="124"/>
      <c r="BU3460" s="124"/>
      <c r="BV3460" s="124"/>
    </row>
    <row r="3461" spans="72:74" x14ac:dyDescent="0.2">
      <c r="BT3461" s="124"/>
      <c r="BU3461" s="124"/>
      <c r="BV3461" s="124"/>
    </row>
    <row r="3462" spans="72:74" x14ac:dyDescent="0.2">
      <c r="BT3462" s="124"/>
      <c r="BU3462" s="124"/>
      <c r="BV3462" s="124"/>
    </row>
    <row r="3463" spans="72:74" x14ac:dyDescent="0.2">
      <c r="BT3463" s="124"/>
      <c r="BU3463" s="124"/>
      <c r="BV3463" s="124"/>
    </row>
    <row r="3464" spans="72:74" x14ac:dyDescent="0.2">
      <c r="BT3464" s="124"/>
      <c r="BU3464" s="124"/>
      <c r="BV3464" s="124"/>
    </row>
    <row r="3465" spans="72:74" x14ac:dyDescent="0.2">
      <c r="BT3465" s="124"/>
      <c r="BU3465" s="124"/>
      <c r="BV3465" s="124"/>
    </row>
    <row r="3466" spans="72:74" x14ac:dyDescent="0.2">
      <c r="BT3466" s="124"/>
      <c r="BU3466" s="124"/>
      <c r="BV3466" s="124"/>
    </row>
    <row r="3467" spans="72:74" x14ac:dyDescent="0.2">
      <c r="BT3467" s="124"/>
      <c r="BU3467" s="124"/>
      <c r="BV3467" s="124"/>
    </row>
    <row r="3468" spans="72:74" x14ac:dyDescent="0.2">
      <c r="BT3468" s="124"/>
      <c r="BU3468" s="124"/>
      <c r="BV3468" s="124"/>
    </row>
    <row r="3469" spans="72:74" x14ac:dyDescent="0.2">
      <c r="BT3469" s="124"/>
      <c r="BU3469" s="124"/>
      <c r="BV3469" s="124"/>
    </row>
    <row r="3470" spans="72:74" x14ac:dyDescent="0.2">
      <c r="BT3470" s="124"/>
      <c r="BU3470" s="124"/>
      <c r="BV3470" s="124"/>
    </row>
    <row r="3471" spans="72:74" x14ac:dyDescent="0.2">
      <c r="BT3471" s="124"/>
      <c r="BU3471" s="124"/>
      <c r="BV3471" s="124"/>
    </row>
    <row r="3472" spans="72:74" x14ac:dyDescent="0.2">
      <c r="BT3472" s="124"/>
      <c r="BU3472" s="124"/>
      <c r="BV3472" s="124"/>
    </row>
    <row r="3473" spans="72:74" x14ac:dyDescent="0.2">
      <c r="BT3473" s="124"/>
      <c r="BU3473" s="124"/>
      <c r="BV3473" s="124"/>
    </row>
    <row r="3474" spans="72:74" x14ac:dyDescent="0.2">
      <c r="BT3474" s="124"/>
      <c r="BU3474" s="124"/>
      <c r="BV3474" s="124"/>
    </row>
    <row r="3475" spans="72:74" x14ac:dyDescent="0.2">
      <c r="BT3475" s="124"/>
      <c r="BU3475" s="124"/>
      <c r="BV3475" s="124"/>
    </row>
    <row r="3476" spans="72:74" x14ac:dyDescent="0.2">
      <c r="BT3476" s="124"/>
      <c r="BU3476" s="124"/>
      <c r="BV3476" s="124"/>
    </row>
    <row r="3477" spans="72:74" x14ac:dyDescent="0.2">
      <c r="BT3477" s="124"/>
      <c r="BU3477" s="124"/>
      <c r="BV3477" s="124"/>
    </row>
    <row r="3478" spans="72:74" x14ac:dyDescent="0.2">
      <c r="BT3478" s="124"/>
      <c r="BU3478" s="124"/>
      <c r="BV3478" s="124"/>
    </row>
    <row r="3479" spans="72:74" x14ac:dyDescent="0.2">
      <c r="BT3479" s="124"/>
      <c r="BU3479" s="124"/>
      <c r="BV3479" s="124"/>
    </row>
    <row r="3480" spans="72:74" x14ac:dyDescent="0.2">
      <c r="BT3480" s="124"/>
      <c r="BU3480" s="124"/>
      <c r="BV3480" s="124"/>
    </row>
    <row r="3481" spans="72:74" x14ac:dyDescent="0.2">
      <c r="BT3481" s="124"/>
      <c r="BU3481" s="124"/>
      <c r="BV3481" s="124"/>
    </row>
    <row r="3482" spans="72:74" x14ac:dyDescent="0.2">
      <c r="BT3482" s="124"/>
      <c r="BU3482" s="124"/>
      <c r="BV3482" s="124"/>
    </row>
    <row r="3483" spans="72:74" x14ac:dyDescent="0.2">
      <c r="BT3483" s="124"/>
      <c r="BU3483" s="124"/>
      <c r="BV3483" s="124"/>
    </row>
    <row r="3484" spans="72:74" x14ac:dyDescent="0.2">
      <c r="BT3484" s="124"/>
      <c r="BU3484" s="124"/>
      <c r="BV3484" s="124"/>
    </row>
    <row r="3485" spans="72:74" x14ac:dyDescent="0.2">
      <c r="BT3485" s="124"/>
      <c r="BU3485" s="124"/>
      <c r="BV3485" s="124"/>
    </row>
    <row r="3486" spans="72:74" x14ac:dyDescent="0.2">
      <c r="BT3486" s="124"/>
      <c r="BU3486" s="124"/>
      <c r="BV3486" s="124"/>
    </row>
    <row r="3487" spans="72:74" x14ac:dyDescent="0.2">
      <c r="BT3487" s="124"/>
      <c r="BU3487" s="124"/>
      <c r="BV3487" s="124"/>
    </row>
    <row r="3488" spans="72:74" x14ac:dyDescent="0.2">
      <c r="BT3488" s="124"/>
      <c r="BU3488" s="124"/>
      <c r="BV3488" s="124"/>
    </row>
    <row r="3489" spans="72:74" x14ac:dyDescent="0.2">
      <c r="BT3489" s="124"/>
      <c r="BU3489" s="124"/>
      <c r="BV3489" s="124"/>
    </row>
    <row r="3490" spans="72:74" x14ac:dyDescent="0.2">
      <c r="BT3490" s="124"/>
      <c r="BU3490" s="124"/>
      <c r="BV3490" s="124"/>
    </row>
    <row r="3491" spans="72:74" x14ac:dyDescent="0.2">
      <c r="BT3491" s="124"/>
      <c r="BU3491" s="124"/>
      <c r="BV3491" s="124"/>
    </row>
    <row r="3492" spans="72:74" x14ac:dyDescent="0.2">
      <c r="BT3492" s="124"/>
      <c r="BU3492" s="124"/>
      <c r="BV3492" s="124"/>
    </row>
    <row r="3493" spans="72:74" x14ac:dyDescent="0.2">
      <c r="BT3493" s="124"/>
      <c r="BU3493" s="124"/>
      <c r="BV3493" s="124"/>
    </row>
    <row r="3494" spans="72:74" x14ac:dyDescent="0.2">
      <c r="BT3494" s="124"/>
      <c r="BU3494" s="124"/>
      <c r="BV3494" s="124"/>
    </row>
    <row r="3495" spans="72:74" x14ac:dyDescent="0.2">
      <c r="BT3495" s="124"/>
      <c r="BU3495" s="124"/>
      <c r="BV3495" s="124"/>
    </row>
    <row r="3496" spans="72:74" x14ac:dyDescent="0.2">
      <c r="BT3496" s="124"/>
      <c r="BU3496" s="124"/>
      <c r="BV3496" s="124"/>
    </row>
    <row r="3497" spans="72:74" x14ac:dyDescent="0.2">
      <c r="BT3497" s="124"/>
      <c r="BU3497" s="124"/>
      <c r="BV3497" s="124"/>
    </row>
    <row r="3498" spans="72:74" x14ac:dyDescent="0.2">
      <c r="BT3498" s="124"/>
      <c r="BU3498" s="124"/>
      <c r="BV3498" s="124"/>
    </row>
    <row r="3499" spans="72:74" x14ac:dyDescent="0.2">
      <c r="BT3499" s="124"/>
      <c r="BU3499" s="124"/>
      <c r="BV3499" s="124"/>
    </row>
    <row r="3500" spans="72:74" x14ac:dyDescent="0.2">
      <c r="BT3500" s="124"/>
      <c r="BU3500" s="124"/>
      <c r="BV3500" s="124"/>
    </row>
    <row r="3501" spans="72:74" x14ac:dyDescent="0.2">
      <c r="BT3501" s="124"/>
      <c r="BU3501" s="124"/>
      <c r="BV3501" s="124"/>
    </row>
    <row r="3502" spans="72:74" x14ac:dyDescent="0.2">
      <c r="BT3502" s="124"/>
      <c r="BU3502" s="124"/>
      <c r="BV3502" s="124"/>
    </row>
    <row r="3503" spans="72:74" x14ac:dyDescent="0.2">
      <c r="BT3503" s="124"/>
      <c r="BU3503" s="124"/>
      <c r="BV3503" s="124"/>
    </row>
    <row r="3504" spans="72:74" x14ac:dyDescent="0.2">
      <c r="BT3504" s="124"/>
      <c r="BU3504" s="124"/>
      <c r="BV3504" s="124"/>
    </row>
    <row r="3505" spans="72:74" x14ac:dyDescent="0.2">
      <c r="BT3505" s="124"/>
      <c r="BU3505" s="124"/>
      <c r="BV3505" s="124"/>
    </row>
    <row r="3506" spans="72:74" x14ac:dyDescent="0.2">
      <c r="BT3506" s="124"/>
      <c r="BU3506" s="124"/>
      <c r="BV3506" s="124"/>
    </row>
    <row r="3507" spans="72:74" x14ac:dyDescent="0.2">
      <c r="BT3507" s="124"/>
      <c r="BU3507" s="124"/>
      <c r="BV3507" s="124"/>
    </row>
    <row r="3508" spans="72:74" x14ac:dyDescent="0.2">
      <c r="BT3508" s="124"/>
      <c r="BU3508" s="124"/>
      <c r="BV3508" s="124"/>
    </row>
    <row r="3509" spans="72:74" x14ac:dyDescent="0.2">
      <c r="BT3509" s="124"/>
      <c r="BU3509" s="124"/>
      <c r="BV3509" s="124"/>
    </row>
    <row r="3510" spans="72:74" x14ac:dyDescent="0.2">
      <c r="BT3510" s="124"/>
      <c r="BU3510" s="124"/>
      <c r="BV3510" s="124"/>
    </row>
    <row r="3511" spans="72:74" x14ac:dyDescent="0.2">
      <c r="BT3511" s="124"/>
      <c r="BU3511" s="124"/>
      <c r="BV3511" s="124"/>
    </row>
    <row r="3512" spans="72:74" x14ac:dyDescent="0.2">
      <c r="BT3512" s="124"/>
      <c r="BU3512" s="124"/>
      <c r="BV3512" s="124"/>
    </row>
    <row r="3513" spans="72:74" x14ac:dyDescent="0.2">
      <c r="BT3513" s="124"/>
      <c r="BU3513" s="124"/>
      <c r="BV3513" s="124"/>
    </row>
    <row r="3514" spans="72:74" x14ac:dyDescent="0.2">
      <c r="BT3514" s="124"/>
      <c r="BU3514" s="124"/>
      <c r="BV3514" s="124"/>
    </row>
    <row r="3515" spans="72:74" x14ac:dyDescent="0.2">
      <c r="BT3515" s="124"/>
      <c r="BU3515" s="124"/>
      <c r="BV3515" s="124"/>
    </row>
    <row r="3516" spans="72:74" x14ac:dyDescent="0.2">
      <c r="BT3516" s="124"/>
      <c r="BU3516" s="124"/>
      <c r="BV3516" s="124"/>
    </row>
    <row r="3517" spans="72:74" x14ac:dyDescent="0.2">
      <c r="BT3517" s="124"/>
      <c r="BU3517" s="124"/>
      <c r="BV3517" s="124"/>
    </row>
    <row r="3518" spans="72:74" x14ac:dyDescent="0.2">
      <c r="BT3518" s="124"/>
      <c r="BU3518" s="124"/>
      <c r="BV3518" s="124"/>
    </row>
    <row r="3519" spans="72:74" x14ac:dyDescent="0.2">
      <c r="BT3519" s="124"/>
      <c r="BU3519" s="124"/>
      <c r="BV3519" s="124"/>
    </row>
    <row r="3520" spans="72:74" x14ac:dyDescent="0.2">
      <c r="BT3520" s="124"/>
      <c r="BU3520" s="124"/>
      <c r="BV3520" s="124"/>
    </row>
    <row r="3521" spans="72:74" x14ac:dyDescent="0.2">
      <c r="BT3521" s="124"/>
      <c r="BU3521" s="124"/>
      <c r="BV3521" s="124"/>
    </row>
    <row r="3522" spans="72:74" x14ac:dyDescent="0.2">
      <c r="BT3522" s="124"/>
      <c r="BU3522" s="124"/>
      <c r="BV3522" s="124"/>
    </row>
    <row r="3523" spans="72:74" x14ac:dyDescent="0.2">
      <c r="BT3523" s="124"/>
      <c r="BU3523" s="124"/>
      <c r="BV3523" s="124"/>
    </row>
    <row r="3524" spans="72:74" x14ac:dyDescent="0.2">
      <c r="BT3524" s="124"/>
      <c r="BU3524" s="124"/>
      <c r="BV3524" s="124"/>
    </row>
    <row r="3525" spans="72:74" x14ac:dyDescent="0.2">
      <c r="BT3525" s="124"/>
      <c r="BU3525" s="124"/>
      <c r="BV3525" s="124"/>
    </row>
    <row r="3526" spans="72:74" x14ac:dyDescent="0.2">
      <c r="BT3526" s="124"/>
      <c r="BU3526" s="124"/>
      <c r="BV3526" s="124"/>
    </row>
    <row r="3527" spans="72:74" x14ac:dyDescent="0.2">
      <c r="BT3527" s="124"/>
      <c r="BU3527" s="124"/>
      <c r="BV3527" s="124"/>
    </row>
    <row r="3528" spans="72:74" x14ac:dyDescent="0.2">
      <c r="BT3528" s="124"/>
      <c r="BU3528" s="124"/>
      <c r="BV3528" s="124"/>
    </row>
    <row r="3529" spans="72:74" x14ac:dyDescent="0.2">
      <c r="BT3529" s="124"/>
      <c r="BU3529" s="124"/>
      <c r="BV3529" s="124"/>
    </row>
    <row r="3530" spans="72:74" x14ac:dyDescent="0.2">
      <c r="BT3530" s="124"/>
      <c r="BU3530" s="124"/>
      <c r="BV3530" s="124"/>
    </row>
    <row r="3531" spans="72:74" x14ac:dyDescent="0.2">
      <c r="BT3531" s="124"/>
      <c r="BU3531" s="124"/>
      <c r="BV3531" s="124"/>
    </row>
    <row r="3532" spans="72:74" x14ac:dyDescent="0.2">
      <c r="BT3532" s="124"/>
      <c r="BU3532" s="124"/>
      <c r="BV3532" s="124"/>
    </row>
    <row r="3533" spans="72:74" x14ac:dyDescent="0.2">
      <c r="BT3533" s="124"/>
      <c r="BU3533" s="124"/>
      <c r="BV3533" s="124"/>
    </row>
    <row r="3534" spans="72:74" x14ac:dyDescent="0.2">
      <c r="BT3534" s="124"/>
      <c r="BU3534" s="124"/>
      <c r="BV3534" s="124"/>
    </row>
    <row r="3535" spans="72:74" x14ac:dyDescent="0.2">
      <c r="BT3535" s="124"/>
      <c r="BU3535" s="124"/>
      <c r="BV3535" s="124"/>
    </row>
    <row r="3536" spans="72:74" x14ac:dyDescent="0.2">
      <c r="BT3536" s="124"/>
      <c r="BU3536" s="124"/>
      <c r="BV3536" s="124"/>
    </row>
    <row r="3537" spans="72:74" x14ac:dyDescent="0.2">
      <c r="BT3537" s="124"/>
      <c r="BU3537" s="124"/>
      <c r="BV3537" s="124"/>
    </row>
    <row r="3538" spans="72:74" x14ac:dyDescent="0.2">
      <c r="BT3538" s="124"/>
      <c r="BU3538" s="124"/>
      <c r="BV3538" s="124"/>
    </row>
    <row r="3539" spans="72:74" x14ac:dyDescent="0.2">
      <c r="BT3539" s="124"/>
      <c r="BU3539" s="124"/>
      <c r="BV3539" s="124"/>
    </row>
    <row r="3540" spans="72:74" x14ac:dyDescent="0.2">
      <c r="BT3540" s="124"/>
      <c r="BU3540" s="124"/>
      <c r="BV3540" s="124"/>
    </row>
    <row r="3541" spans="72:74" x14ac:dyDescent="0.2">
      <c r="BT3541" s="124"/>
      <c r="BU3541" s="124"/>
      <c r="BV3541" s="124"/>
    </row>
    <row r="3542" spans="72:74" x14ac:dyDescent="0.2">
      <c r="BT3542" s="124"/>
      <c r="BU3542" s="124"/>
      <c r="BV3542" s="124"/>
    </row>
    <row r="3543" spans="72:74" x14ac:dyDescent="0.2">
      <c r="BT3543" s="124"/>
      <c r="BU3543" s="124"/>
      <c r="BV3543" s="124"/>
    </row>
    <row r="3544" spans="72:74" x14ac:dyDescent="0.2">
      <c r="BT3544" s="124"/>
      <c r="BU3544" s="124"/>
      <c r="BV3544" s="124"/>
    </row>
    <row r="3545" spans="72:74" x14ac:dyDescent="0.2">
      <c r="BT3545" s="124"/>
      <c r="BU3545" s="124"/>
      <c r="BV3545" s="124"/>
    </row>
    <row r="3546" spans="72:74" x14ac:dyDescent="0.2">
      <c r="BT3546" s="124"/>
      <c r="BU3546" s="124"/>
      <c r="BV3546" s="124"/>
    </row>
    <row r="3547" spans="72:74" x14ac:dyDescent="0.2">
      <c r="BT3547" s="124"/>
      <c r="BU3547" s="124"/>
      <c r="BV3547" s="124"/>
    </row>
    <row r="3548" spans="72:74" x14ac:dyDescent="0.2">
      <c r="BT3548" s="124"/>
      <c r="BU3548" s="124"/>
      <c r="BV3548" s="124"/>
    </row>
    <row r="3549" spans="72:74" x14ac:dyDescent="0.2">
      <c r="BT3549" s="124"/>
      <c r="BU3549" s="124"/>
      <c r="BV3549" s="124"/>
    </row>
    <row r="3550" spans="72:74" x14ac:dyDescent="0.2">
      <c r="BT3550" s="124"/>
      <c r="BU3550" s="124"/>
      <c r="BV3550" s="124"/>
    </row>
    <row r="3551" spans="72:74" x14ac:dyDescent="0.2">
      <c r="BT3551" s="124"/>
      <c r="BU3551" s="124"/>
      <c r="BV3551" s="124"/>
    </row>
    <row r="3552" spans="72:74" x14ac:dyDescent="0.2">
      <c r="BT3552" s="124"/>
      <c r="BU3552" s="124"/>
      <c r="BV3552" s="124"/>
    </row>
    <row r="3553" spans="72:74" x14ac:dyDescent="0.2">
      <c r="BT3553" s="124"/>
      <c r="BU3553" s="124"/>
      <c r="BV3553" s="124"/>
    </row>
    <row r="3554" spans="72:74" x14ac:dyDescent="0.2">
      <c r="BT3554" s="124"/>
      <c r="BU3554" s="124"/>
      <c r="BV3554" s="124"/>
    </row>
    <row r="3555" spans="72:74" x14ac:dyDescent="0.2">
      <c r="BT3555" s="124"/>
      <c r="BU3555" s="124"/>
      <c r="BV3555" s="124"/>
    </row>
    <row r="3556" spans="72:74" x14ac:dyDescent="0.2">
      <c r="BT3556" s="124"/>
      <c r="BU3556" s="124"/>
      <c r="BV3556" s="124"/>
    </row>
    <row r="3557" spans="72:74" x14ac:dyDescent="0.2">
      <c r="BT3557" s="124"/>
      <c r="BU3557" s="124"/>
      <c r="BV3557" s="124"/>
    </row>
    <row r="3558" spans="72:74" x14ac:dyDescent="0.2">
      <c r="BT3558" s="124"/>
      <c r="BU3558" s="124"/>
      <c r="BV3558" s="124"/>
    </row>
    <row r="3559" spans="72:74" x14ac:dyDescent="0.2">
      <c r="BT3559" s="124"/>
      <c r="BU3559" s="124"/>
      <c r="BV3559" s="124"/>
    </row>
    <row r="3560" spans="72:74" x14ac:dyDescent="0.2">
      <c r="BT3560" s="124"/>
      <c r="BU3560" s="124"/>
      <c r="BV3560" s="124"/>
    </row>
    <row r="3561" spans="72:74" x14ac:dyDescent="0.2">
      <c r="BT3561" s="124"/>
      <c r="BU3561" s="124"/>
      <c r="BV3561" s="124"/>
    </row>
    <row r="3562" spans="72:74" x14ac:dyDescent="0.2">
      <c r="BT3562" s="124"/>
      <c r="BU3562" s="124"/>
      <c r="BV3562" s="124"/>
    </row>
    <row r="3563" spans="72:74" x14ac:dyDescent="0.2">
      <c r="BT3563" s="124"/>
      <c r="BU3563" s="124"/>
      <c r="BV3563" s="124"/>
    </row>
    <row r="3564" spans="72:74" x14ac:dyDescent="0.2">
      <c r="BT3564" s="124"/>
      <c r="BU3564" s="124"/>
      <c r="BV3564" s="124"/>
    </row>
    <row r="3565" spans="72:74" x14ac:dyDescent="0.2">
      <c r="BT3565" s="124"/>
      <c r="BU3565" s="124"/>
      <c r="BV3565" s="124"/>
    </row>
    <row r="3566" spans="72:74" x14ac:dyDescent="0.2">
      <c r="BT3566" s="124"/>
      <c r="BU3566" s="124"/>
      <c r="BV3566" s="124"/>
    </row>
    <row r="3567" spans="72:74" x14ac:dyDescent="0.2">
      <c r="BT3567" s="124"/>
      <c r="BU3567" s="124"/>
      <c r="BV3567" s="124"/>
    </row>
    <row r="3568" spans="72:74" x14ac:dyDescent="0.2">
      <c r="BT3568" s="124"/>
      <c r="BU3568" s="124"/>
      <c r="BV3568" s="124"/>
    </row>
    <row r="3569" spans="72:74" x14ac:dyDescent="0.2">
      <c r="BT3569" s="124"/>
      <c r="BU3569" s="124"/>
      <c r="BV3569" s="124"/>
    </row>
    <row r="3570" spans="72:74" x14ac:dyDescent="0.2">
      <c r="BT3570" s="124"/>
      <c r="BU3570" s="124"/>
      <c r="BV3570" s="124"/>
    </row>
    <row r="3571" spans="72:74" x14ac:dyDescent="0.2">
      <c r="BT3571" s="124"/>
      <c r="BU3571" s="124"/>
      <c r="BV3571" s="124"/>
    </row>
    <row r="3572" spans="72:74" x14ac:dyDescent="0.2">
      <c r="BT3572" s="124"/>
      <c r="BU3572" s="124"/>
      <c r="BV3572" s="124"/>
    </row>
    <row r="3573" spans="72:74" x14ac:dyDescent="0.2">
      <c r="BT3573" s="124"/>
      <c r="BU3573" s="124"/>
      <c r="BV3573" s="124"/>
    </row>
    <row r="3574" spans="72:74" x14ac:dyDescent="0.2">
      <c r="BT3574" s="124"/>
      <c r="BU3574" s="124"/>
      <c r="BV3574" s="124"/>
    </row>
    <row r="3575" spans="72:74" x14ac:dyDescent="0.2">
      <c r="BT3575" s="124"/>
      <c r="BU3575" s="124"/>
      <c r="BV3575" s="124"/>
    </row>
    <row r="3576" spans="72:74" x14ac:dyDescent="0.2">
      <c r="BT3576" s="124"/>
      <c r="BU3576" s="124"/>
      <c r="BV3576" s="124"/>
    </row>
    <row r="3577" spans="72:74" x14ac:dyDescent="0.2">
      <c r="BT3577" s="124"/>
      <c r="BU3577" s="124"/>
      <c r="BV3577" s="124"/>
    </row>
    <row r="3578" spans="72:74" x14ac:dyDescent="0.2">
      <c r="BT3578" s="124"/>
      <c r="BU3578" s="124"/>
      <c r="BV3578" s="124"/>
    </row>
    <row r="3579" spans="72:74" x14ac:dyDescent="0.2">
      <c r="BT3579" s="124"/>
      <c r="BU3579" s="124"/>
      <c r="BV3579" s="124"/>
    </row>
    <row r="3580" spans="72:74" x14ac:dyDescent="0.2">
      <c r="BT3580" s="124"/>
      <c r="BU3580" s="124"/>
      <c r="BV3580" s="124"/>
    </row>
    <row r="3581" spans="72:74" x14ac:dyDescent="0.2">
      <c r="BT3581" s="124"/>
      <c r="BU3581" s="124"/>
      <c r="BV3581" s="124"/>
    </row>
    <row r="3582" spans="72:74" x14ac:dyDescent="0.2">
      <c r="BT3582" s="124"/>
      <c r="BU3582" s="124"/>
      <c r="BV3582" s="124"/>
    </row>
    <row r="3583" spans="72:74" x14ac:dyDescent="0.2">
      <c r="BT3583" s="124"/>
      <c r="BU3583" s="124"/>
      <c r="BV3583" s="124"/>
    </row>
    <row r="3584" spans="72:74" x14ac:dyDescent="0.2">
      <c r="BT3584" s="124"/>
      <c r="BU3584" s="124"/>
      <c r="BV3584" s="124"/>
    </row>
    <row r="3585" spans="72:74" x14ac:dyDescent="0.2">
      <c r="BT3585" s="124"/>
      <c r="BU3585" s="124"/>
      <c r="BV3585" s="124"/>
    </row>
    <row r="3586" spans="72:74" x14ac:dyDescent="0.2">
      <c r="BT3586" s="124"/>
      <c r="BU3586" s="124"/>
      <c r="BV3586" s="124"/>
    </row>
    <row r="3587" spans="72:74" x14ac:dyDescent="0.2">
      <c r="BT3587" s="124"/>
      <c r="BU3587" s="124"/>
      <c r="BV3587" s="124"/>
    </row>
    <row r="3588" spans="72:74" x14ac:dyDescent="0.2">
      <c r="BT3588" s="124"/>
      <c r="BU3588" s="124"/>
      <c r="BV3588" s="124"/>
    </row>
    <row r="3589" spans="72:74" x14ac:dyDescent="0.2">
      <c r="BT3589" s="124"/>
      <c r="BU3589" s="124"/>
      <c r="BV3589" s="124"/>
    </row>
    <row r="3590" spans="72:74" x14ac:dyDescent="0.2">
      <c r="BT3590" s="124"/>
      <c r="BU3590" s="124"/>
      <c r="BV3590" s="124"/>
    </row>
    <row r="3591" spans="72:74" x14ac:dyDescent="0.2">
      <c r="BT3591" s="124"/>
      <c r="BU3591" s="124"/>
      <c r="BV3591" s="124"/>
    </row>
    <row r="3592" spans="72:74" x14ac:dyDescent="0.2">
      <c r="BT3592" s="124"/>
      <c r="BU3592" s="124"/>
      <c r="BV3592" s="124"/>
    </row>
    <row r="3593" spans="72:74" x14ac:dyDescent="0.2">
      <c r="BT3593" s="124"/>
      <c r="BU3593" s="124"/>
      <c r="BV3593" s="124"/>
    </row>
    <row r="3594" spans="72:74" x14ac:dyDescent="0.2">
      <c r="BT3594" s="124"/>
      <c r="BU3594" s="124"/>
      <c r="BV3594" s="124"/>
    </row>
    <row r="3595" spans="72:74" x14ac:dyDescent="0.2">
      <c r="BT3595" s="124"/>
      <c r="BU3595" s="124"/>
      <c r="BV3595" s="124"/>
    </row>
    <row r="3596" spans="72:74" x14ac:dyDescent="0.2">
      <c r="BT3596" s="124"/>
      <c r="BU3596" s="124"/>
      <c r="BV3596" s="124"/>
    </row>
    <row r="3597" spans="72:74" x14ac:dyDescent="0.2">
      <c r="BT3597" s="124"/>
      <c r="BU3597" s="124"/>
      <c r="BV3597" s="124"/>
    </row>
    <row r="3598" spans="72:74" x14ac:dyDescent="0.2">
      <c r="BT3598" s="124"/>
      <c r="BU3598" s="124"/>
      <c r="BV3598" s="124"/>
    </row>
    <row r="3599" spans="72:74" x14ac:dyDescent="0.2">
      <c r="BT3599" s="124"/>
      <c r="BU3599" s="124"/>
      <c r="BV3599" s="124"/>
    </row>
    <row r="3600" spans="72:74" x14ac:dyDescent="0.2">
      <c r="BT3600" s="124"/>
      <c r="BU3600" s="124"/>
      <c r="BV3600" s="124"/>
    </row>
    <row r="3601" spans="72:74" x14ac:dyDescent="0.2">
      <c r="BT3601" s="124"/>
      <c r="BU3601" s="124"/>
      <c r="BV3601" s="124"/>
    </row>
    <row r="3602" spans="72:74" x14ac:dyDescent="0.2">
      <c r="BT3602" s="124"/>
      <c r="BU3602" s="124"/>
      <c r="BV3602" s="124"/>
    </row>
    <row r="3603" spans="72:74" x14ac:dyDescent="0.2">
      <c r="BT3603" s="124"/>
      <c r="BU3603" s="124"/>
      <c r="BV3603" s="124"/>
    </row>
    <row r="3604" spans="72:74" x14ac:dyDescent="0.2">
      <c r="BT3604" s="124"/>
      <c r="BU3604" s="124"/>
      <c r="BV3604" s="124"/>
    </row>
    <row r="3605" spans="72:74" x14ac:dyDescent="0.2">
      <c r="BT3605" s="124"/>
      <c r="BU3605" s="124"/>
      <c r="BV3605" s="124"/>
    </row>
    <row r="3606" spans="72:74" x14ac:dyDescent="0.2">
      <c r="BT3606" s="124"/>
      <c r="BU3606" s="124"/>
      <c r="BV3606" s="124"/>
    </row>
    <row r="3607" spans="72:74" x14ac:dyDescent="0.2">
      <c r="BT3607" s="124"/>
      <c r="BU3607" s="124"/>
      <c r="BV3607" s="124"/>
    </row>
    <row r="3608" spans="72:74" x14ac:dyDescent="0.2">
      <c r="BT3608" s="124"/>
      <c r="BU3608" s="124"/>
      <c r="BV3608" s="124"/>
    </row>
    <row r="3609" spans="72:74" x14ac:dyDescent="0.2">
      <c r="BT3609" s="124"/>
      <c r="BU3609" s="124"/>
      <c r="BV3609" s="124"/>
    </row>
    <row r="3610" spans="72:74" x14ac:dyDescent="0.2">
      <c r="BT3610" s="124"/>
      <c r="BU3610" s="124"/>
      <c r="BV3610" s="124"/>
    </row>
    <row r="3611" spans="72:74" x14ac:dyDescent="0.2">
      <c r="BT3611" s="124"/>
      <c r="BU3611" s="124"/>
      <c r="BV3611" s="124"/>
    </row>
    <row r="3612" spans="72:74" x14ac:dyDescent="0.2">
      <c r="BT3612" s="124"/>
      <c r="BU3612" s="124"/>
      <c r="BV3612" s="124"/>
    </row>
    <row r="3613" spans="72:74" x14ac:dyDescent="0.2">
      <c r="BT3613" s="124"/>
      <c r="BU3613" s="124"/>
      <c r="BV3613" s="124"/>
    </row>
    <row r="3614" spans="72:74" x14ac:dyDescent="0.2">
      <c r="BT3614" s="124"/>
      <c r="BU3614" s="124"/>
      <c r="BV3614" s="124"/>
    </row>
    <row r="3615" spans="72:74" x14ac:dyDescent="0.2">
      <c r="BT3615" s="124"/>
      <c r="BU3615" s="124"/>
      <c r="BV3615" s="124"/>
    </row>
    <row r="3616" spans="72:74" x14ac:dyDescent="0.2">
      <c r="BT3616" s="124"/>
      <c r="BU3616" s="124"/>
      <c r="BV3616" s="124"/>
    </row>
    <row r="3617" spans="72:74" x14ac:dyDescent="0.2">
      <c r="BT3617" s="124"/>
      <c r="BU3617" s="124"/>
      <c r="BV3617" s="124"/>
    </row>
    <row r="3618" spans="72:74" x14ac:dyDescent="0.2">
      <c r="BT3618" s="124"/>
      <c r="BU3618" s="124"/>
      <c r="BV3618" s="124"/>
    </row>
    <row r="3619" spans="72:74" x14ac:dyDescent="0.2">
      <c r="BT3619" s="124"/>
      <c r="BU3619" s="124"/>
      <c r="BV3619" s="124"/>
    </row>
    <row r="3620" spans="72:74" x14ac:dyDescent="0.2">
      <c r="BT3620" s="124"/>
      <c r="BU3620" s="124"/>
      <c r="BV3620" s="124"/>
    </row>
    <row r="3621" spans="72:74" x14ac:dyDescent="0.2">
      <c r="BT3621" s="124"/>
      <c r="BU3621" s="124"/>
      <c r="BV3621" s="124"/>
    </row>
    <row r="3622" spans="72:74" x14ac:dyDescent="0.2">
      <c r="BT3622" s="124"/>
      <c r="BU3622" s="124"/>
      <c r="BV3622" s="124"/>
    </row>
    <row r="3623" spans="72:74" x14ac:dyDescent="0.2">
      <c r="BT3623" s="124"/>
      <c r="BU3623" s="124"/>
      <c r="BV3623" s="124"/>
    </row>
    <row r="3624" spans="72:74" x14ac:dyDescent="0.2">
      <c r="BT3624" s="124"/>
      <c r="BU3624" s="124"/>
      <c r="BV3624" s="124"/>
    </row>
    <row r="3625" spans="72:74" x14ac:dyDescent="0.2">
      <c r="BT3625" s="124"/>
      <c r="BU3625" s="124"/>
      <c r="BV3625" s="124"/>
    </row>
    <row r="3626" spans="72:74" x14ac:dyDescent="0.2">
      <c r="BT3626" s="124"/>
      <c r="BU3626" s="124"/>
      <c r="BV3626" s="124"/>
    </row>
    <row r="3627" spans="72:74" x14ac:dyDescent="0.2">
      <c r="BT3627" s="124"/>
      <c r="BU3627" s="124"/>
      <c r="BV3627" s="124"/>
    </row>
    <row r="3628" spans="72:74" x14ac:dyDescent="0.2">
      <c r="BT3628" s="124"/>
      <c r="BU3628" s="124"/>
      <c r="BV3628" s="124"/>
    </row>
    <row r="3629" spans="72:74" x14ac:dyDescent="0.2">
      <c r="BT3629" s="124"/>
      <c r="BU3629" s="124"/>
      <c r="BV3629" s="124"/>
    </row>
    <row r="3630" spans="72:74" x14ac:dyDescent="0.2">
      <c r="BT3630" s="124"/>
      <c r="BU3630" s="124"/>
      <c r="BV3630" s="124"/>
    </row>
    <row r="3631" spans="72:74" x14ac:dyDescent="0.2">
      <c r="BT3631" s="124"/>
      <c r="BU3631" s="124"/>
      <c r="BV3631" s="124"/>
    </row>
    <row r="3632" spans="72:74" x14ac:dyDescent="0.2">
      <c r="BT3632" s="124"/>
      <c r="BU3632" s="124"/>
      <c r="BV3632" s="124"/>
    </row>
    <row r="3633" spans="72:74" x14ac:dyDescent="0.2">
      <c r="BT3633" s="124"/>
      <c r="BU3633" s="124"/>
      <c r="BV3633" s="124"/>
    </row>
    <row r="3634" spans="72:74" x14ac:dyDescent="0.2">
      <c r="BT3634" s="124"/>
      <c r="BU3634" s="124"/>
      <c r="BV3634" s="124"/>
    </row>
    <row r="3635" spans="72:74" x14ac:dyDescent="0.2">
      <c r="BT3635" s="124"/>
      <c r="BU3635" s="124"/>
      <c r="BV3635" s="124"/>
    </row>
    <row r="3636" spans="72:74" x14ac:dyDescent="0.2">
      <c r="BT3636" s="124"/>
      <c r="BU3636" s="124"/>
      <c r="BV3636" s="124"/>
    </row>
    <row r="3637" spans="72:74" x14ac:dyDescent="0.2">
      <c r="BT3637" s="124"/>
      <c r="BU3637" s="124"/>
      <c r="BV3637" s="124"/>
    </row>
    <row r="3638" spans="72:74" x14ac:dyDescent="0.2">
      <c r="BT3638" s="124"/>
      <c r="BU3638" s="124"/>
      <c r="BV3638" s="124"/>
    </row>
    <row r="3639" spans="72:74" x14ac:dyDescent="0.2">
      <c r="BT3639" s="124"/>
      <c r="BU3639" s="124"/>
      <c r="BV3639" s="124"/>
    </row>
    <row r="3640" spans="72:74" x14ac:dyDescent="0.2">
      <c r="BT3640" s="124"/>
      <c r="BU3640" s="124"/>
      <c r="BV3640" s="124"/>
    </row>
    <row r="3641" spans="72:74" x14ac:dyDescent="0.2">
      <c r="BT3641" s="124"/>
      <c r="BU3641" s="124"/>
      <c r="BV3641" s="124"/>
    </row>
    <row r="3642" spans="72:74" x14ac:dyDescent="0.2">
      <c r="BT3642" s="124"/>
      <c r="BU3642" s="124"/>
      <c r="BV3642" s="124"/>
    </row>
    <row r="3643" spans="72:74" x14ac:dyDescent="0.2">
      <c r="BT3643" s="124"/>
      <c r="BU3643" s="124"/>
      <c r="BV3643" s="124"/>
    </row>
    <row r="3644" spans="72:74" x14ac:dyDescent="0.2">
      <c r="BT3644" s="124"/>
      <c r="BU3644" s="124"/>
      <c r="BV3644" s="124"/>
    </row>
    <row r="3645" spans="72:74" x14ac:dyDescent="0.2">
      <c r="BT3645" s="124"/>
      <c r="BU3645" s="124"/>
      <c r="BV3645" s="124"/>
    </row>
    <row r="3646" spans="72:74" x14ac:dyDescent="0.2">
      <c r="BT3646" s="124"/>
      <c r="BU3646" s="124"/>
      <c r="BV3646" s="124"/>
    </row>
    <row r="3647" spans="72:74" x14ac:dyDescent="0.2">
      <c r="BT3647" s="124"/>
      <c r="BU3647" s="124"/>
      <c r="BV3647" s="124"/>
    </row>
    <row r="3648" spans="72:74" x14ac:dyDescent="0.2">
      <c r="BT3648" s="124"/>
      <c r="BU3648" s="124"/>
      <c r="BV3648" s="124"/>
    </row>
    <row r="3649" spans="72:74" x14ac:dyDescent="0.2">
      <c r="BT3649" s="124"/>
      <c r="BU3649" s="124"/>
      <c r="BV3649" s="124"/>
    </row>
    <row r="3650" spans="72:74" x14ac:dyDescent="0.2">
      <c r="BT3650" s="124"/>
      <c r="BU3650" s="124"/>
      <c r="BV3650" s="124"/>
    </row>
    <row r="3651" spans="72:74" x14ac:dyDescent="0.2">
      <c r="BT3651" s="124"/>
      <c r="BU3651" s="124"/>
      <c r="BV3651" s="124"/>
    </row>
    <row r="3652" spans="72:74" x14ac:dyDescent="0.2">
      <c r="BT3652" s="124"/>
      <c r="BU3652" s="124"/>
      <c r="BV3652" s="124"/>
    </row>
    <row r="3653" spans="72:74" x14ac:dyDescent="0.2">
      <c r="BT3653" s="124"/>
      <c r="BU3653" s="124"/>
      <c r="BV3653" s="124"/>
    </row>
    <row r="3654" spans="72:74" x14ac:dyDescent="0.2">
      <c r="BT3654" s="124"/>
      <c r="BU3654" s="124"/>
      <c r="BV3654" s="124"/>
    </row>
    <row r="3655" spans="72:74" x14ac:dyDescent="0.2">
      <c r="BT3655" s="124"/>
      <c r="BU3655" s="124"/>
      <c r="BV3655" s="124"/>
    </row>
    <row r="3656" spans="72:74" x14ac:dyDescent="0.2">
      <c r="BT3656" s="124"/>
      <c r="BU3656" s="124"/>
      <c r="BV3656" s="124"/>
    </row>
    <row r="3657" spans="72:74" x14ac:dyDescent="0.2">
      <c r="BT3657" s="124"/>
      <c r="BU3657" s="124"/>
      <c r="BV3657" s="124"/>
    </row>
    <row r="3658" spans="72:74" x14ac:dyDescent="0.2">
      <c r="BT3658" s="124"/>
      <c r="BU3658" s="124"/>
      <c r="BV3658" s="124"/>
    </row>
    <row r="3659" spans="72:74" x14ac:dyDescent="0.2">
      <c r="BT3659" s="124"/>
      <c r="BU3659" s="124"/>
      <c r="BV3659" s="124"/>
    </row>
    <row r="3660" spans="72:74" x14ac:dyDescent="0.2">
      <c r="BT3660" s="124"/>
      <c r="BU3660" s="124"/>
      <c r="BV3660" s="124"/>
    </row>
    <row r="3661" spans="72:74" x14ac:dyDescent="0.2">
      <c r="BT3661" s="124"/>
      <c r="BU3661" s="124"/>
      <c r="BV3661" s="124"/>
    </row>
    <row r="3662" spans="72:74" x14ac:dyDescent="0.2">
      <c r="BT3662" s="124"/>
      <c r="BU3662" s="124"/>
      <c r="BV3662" s="124"/>
    </row>
    <row r="3663" spans="72:74" x14ac:dyDescent="0.2">
      <c r="BT3663" s="124"/>
      <c r="BU3663" s="124"/>
      <c r="BV3663" s="124"/>
    </row>
    <row r="3664" spans="72:74" x14ac:dyDescent="0.2">
      <c r="BT3664" s="124"/>
      <c r="BU3664" s="124"/>
      <c r="BV3664" s="124"/>
    </row>
    <row r="3665" spans="72:74" x14ac:dyDescent="0.2">
      <c r="BT3665" s="124"/>
      <c r="BU3665" s="124"/>
      <c r="BV3665" s="124"/>
    </row>
    <row r="3666" spans="72:74" x14ac:dyDescent="0.2">
      <c r="BT3666" s="124"/>
      <c r="BU3666" s="124"/>
      <c r="BV3666" s="124"/>
    </row>
    <row r="3667" spans="72:74" x14ac:dyDescent="0.2">
      <c r="BT3667" s="124"/>
      <c r="BU3667" s="124"/>
      <c r="BV3667" s="124"/>
    </row>
    <row r="3668" spans="72:74" x14ac:dyDescent="0.2">
      <c r="BT3668" s="124"/>
      <c r="BU3668" s="124"/>
      <c r="BV3668" s="124"/>
    </row>
    <row r="3669" spans="72:74" x14ac:dyDescent="0.2">
      <c r="BT3669" s="124"/>
      <c r="BU3669" s="124"/>
      <c r="BV3669" s="124"/>
    </row>
    <row r="3670" spans="72:74" x14ac:dyDescent="0.2">
      <c r="BT3670" s="124"/>
      <c r="BU3670" s="124"/>
      <c r="BV3670" s="124"/>
    </row>
    <row r="3671" spans="72:74" x14ac:dyDescent="0.2">
      <c r="BT3671" s="124"/>
      <c r="BU3671" s="124"/>
      <c r="BV3671" s="124"/>
    </row>
    <row r="3672" spans="72:74" x14ac:dyDescent="0.2">
      <c r="BT3672" s="124"/>
      <c r="BU3672" s="124"/>
      <c r="BV3672" s="124"/>
    </row>
    <row r="3673" spans="72:74" x14ac:dyDescent="0.2">
      <c r="BT3673" s="124"/>
      <c r="BU3673" s="124"/>
      <c r="BV3673" s="124"/>
    </row>
    <row r="3674" spans="72:74" x14ac:dyDescent="0.2">
      <c r="BT3674" s="124"/>
      <c r="BU3674" s="124"/>
      <c r="BV3674" s="124"/>
    </row>
    <row r="3675" spans="72:74" x14ac:dyDescent="0.2">
      <c r="BT3675" s="124"/>
      <c r="BU3675" s="124"/>
      <c r="BV3675" s="124"/>
    </row>
    <row r="3676" spans="72:74" x14ac:dyDescent="0.2">
      <c r="BT3676" s="124"/>
      <c r="BU3676" s="124"/>
      <c r="BV3676" s="124"/>
    </row>
    <row r="3677" spans="72:74" x14ac:dyDescent="0.2">
      <c r="BT3677" s="124"/>
      <c r="BU3677" s="124"/>
      <c r="BV3677" s="124"/>
    </row>
    <row r="3678" spans="72:74" x14ac:dyDescent="0.2">
      <c r="BT3678" s="124"/>
      <c r="BU3678" s="124"/>
      <c r="BV3678" s="124"/>
    </row>
    <row r="3679" spans="72:74" x14ac:dyDescent="0.2">
      <c r="BT3679" s="124"/>
      <c r="BU3679" s="124"/>
      <c r="BV3679" s="124"/>
    </row>
    <row r="3680" spans="72:74" x14ac:dyDescent="0.2">
      <c r="BT3680" s="124"/>
      <c r="BU3680" s="124"/>
      <c r="BV3680" s="124"/>
    </row>
    <row r="3681" spans="72:74" x14ac:dyDescent="0.2">
      <c r="BT3681" s="124"/>
      <c r="BU3681" s="124"/>
      <c r="BV3681" s="124"/>
    </row>
    <row r="3682" spans="72:74" x14ac:dyDescent="0.2">
      <c r="BT3682" s="124"/>
      <c r="BU3682" s="124"/>
      <c r="BV3682" s="124"/>
    </row>
    <row r="3683" spans="72:74" x14ac:dyDescent="0.2">
      <c r="BT3683" s="124"/>
      <c r="BU3683" s="124"/>
      <c r="BV3683" s="124"/>
    </row>
    <row r="3684" spans="72:74" x14ac:dyDescent="0.2">
      <c r="BT3684" s="124"/>
      <c r="BU3684" s="124"/>
      <c r="BV3684" s="124"/>
    </row>
    <row r="3685" spans="72:74" x14ac:dyDescent="0.2">
      <c r="BT3685" s="124"/>
      <c r="BU3685" s="124"/>
      <c r="BV3685" s="124"/>
    </row>
    <row r="3686" spans="72:74" x14ac:dyDescent="0.2">
      <c r="BT3686" s="124"/>
      <c r="BU3686" s="124"/>
      <c r="BV3686" s="124"/>
    </row>
    <row r="3687" spans="72:74" x14ac:dyDescent="0.2">
      <c r="BT3687" s="124"/>
      <c r="BU3687" s="124"/>
      <c r="BV3687" s="124"/>
    </row>
    <row r="3688" spans="72:74" x14ac:dyDescent="0.2">
      <c r="BT3688" s="124"/>
      <c r="BU3688" s="124"/>
      <c r="BV3688" s="124"/>
    </row>
    <row r="3689" spans="72:74" x14ac:dyDescent="0.2">
      <c r="BT3689" s="124"/>
      <c r="BU3689" s="124"/>
      <c r="BV3689" s="124"/>
    </row>
    <row r="3690" spans="72:74" x14ac:dyDescent="0.2">
      <c r="BT3690" s="124"/>
      <c r="BU3690" s="124"/>
      <c r="BV3690" s="124"/>
    </row>
    <row r="3691" spans="72:74" x14ac:dyDescent="0.2">
      <c r="BT3691" s="124"/>
      <c r="BU3691" s="124"/>
      <c r="BV3691" s="124"/>
    </row>
    <row r="3692" spans="72:74" x14ac:dyDescent="0.2">
      <c r="BT3692" s="124"/>
      <c r="BU3692" s="124"/>
      <c r="BV3692" s="124"/>
    </row>
    <row r="3693" spans="72:74" x14ac:dyDescent="0.2">
      <c r="BT3693" s="124"/>
      <c r="BU3693" s="124"/>
      <c r="BV3693" s="124"/>
    </row>
    <row r="3694" spans="72:74" x14ac:dyDescent="0.2">
      <c r="BT3694" s="124"/>
      <c r="BU3694" s="124"/>
      <c r="BV3694" s="124"/>
    </row>
    <row r="3695" spans="72:74" x14ac:dyDescent="0.2">
      <c r="BT3695" s="124"/>
      <c r="BU3695" s="124"/>
      <c r="BV3695" s="124"/>
    </row>
    <row r="3696" spans="72:74" x14ac:dyDescent="0.2">
      <c r="BT3696" s="124"/>
      <c r="BU3696" s="124"/>
      <c r="BV3696" s="124"/>
    </row>
    <row r="3697" spans="72:74" x14ac:dyDescent="0.2">
      <c r="BT3697" s="124"/>
      <c r="BU3697" s="124"/>
      <c r="BV3697" s="124"/>
    </row>
    <row r="3698" spans="72:74" x14ac:dyDescent="0.2">
      <c r="BT3698" s="124"/>
      <c r="BU3698" s="124"/>
      <c r="BV3698" s="124"/>
    </row>
    <row r="3699" spans="72:74" x14ac:dyDescent="0.2">
      <c r="BT3699" s="124"/>
      <c r="BU3699" s="124"/>
      <c r="BV3699" s="124"/>
    </row>
    <row r="3700" spans="72:74" x14ac:dyDescent="0.2">
      <c r="BT3700" s="124"/>
      <c r="BU3700" s="124"/>
      <c r="BV3700" s="124"/>
    </row>
    <row r="3701" spans="72:74" x14ac:dyDescent="0.2">
      <c r="BT3701" s="124"/>
      <c r="BU3701" s="124"/>
      <c r="BV3701" s="124"/>
    </row>
    <row r="3702" spans="72:74" x14ac:dyDescent="0.2">
      <c r="BT3702" s="124"/>
      <c r="BU3702" s="124"/>
      <c r="BV3702" s="124"/>
    </row>
    <row r="3703" spans="72:74" x14ac:dyDescent="0.2">
      <c r="BT3703" s="124"/>
      <c r="BU3703" s="124"/>
      <c r="BV3703" s="124"/>
    </row>
    <row r="3704" spans="72:74" x14ac:dyDescent="0.2">
      <c r="BT3704" s="124"/>
      <c r="BU3704" s="124"/>
      <c r="BV3704" s="124"/>
    </row>
    <row r="3705" spans="72:74" x14ac:dyDescent="0.2">
      <c r="BT3705" s="124"/>
      <c r="BU3705" s="124"/>
      <c r="BV3705" s="124"/>
    </row>
    <row r="3706" spans="72:74" x14ac:dyDescent="0.2">
      <c r="BT3706" s="124"/>
      <c r="BU3706" s="124"/>
      <c r="BV3706" s="124"/>
    </row>
    <row r="3707" spans="72:74" x14ac:dyDescent="0.2">
      <c r="BT3707" s="124"/>
      <c r="BU3707" s="124"/>
      <c r="BV3707" s="124"/>
    </row>
    <row r="3708" spans="72:74" x14ac:dyDescent="0.2">
      <c r="BT3708" s="124"/>
      <c r="BU3708" s="124"/>
      <c r="BV3708" s="124"/>
    </row>
    <row r="3709" spans="72:74" x14ac:dyDescent="0.2">
      <c r="BT3709" s="124"/>
      <c r="BU3709" s="124"/>
      <c r="BV3709" s="124"/>
    </row>
    <row r="3710" spans="72:74" x14ac:dyDescent="0.2">
      <c r="BT3710" s="124"/>
      <c r="BU3710" s="124"/>
      <c r="BV3710" s="124"/>
    </row>
    <row r="3711" spans="72:74" x14ac:dyDescent="0.2">
      <c r="BT3711" s="124"/>
      <c r="BU3711" s="124"/>
      <c r="BV3711" s="124"/>
    </row>
    <row r="3712" spans="72:74" x14ac:dyDescent="0.2">
      <c r="BT3712" s="124"/>
      <c r="BU3712" s="124"/>
      <c r="BV3712" s="124"/>
    </row>
    <row r="3713" spans="72:74" x14ac:dyDescent="0.2">
      <c r="BT3713" s="124"/>
      <c r="BU3713" s="124"/>
      <c r="BV3713" s="124"/>
    </row>
    <row r="3714" spans="72:74" x14ac:dyDescent="0.2">
      <c r="BT3714" s="124"/>
      <c r="BU3714" s="124"/>
      <c r="BV3714" s="124"/>
    </row>
    <row r="3715" spans="72:74" x14ac:dyDescent="0.2">
      <c r="BT3715" s="124"/>
      <c r="BU3715" s="124"/>
      <c r="BV3715" s="124"/>
    </row>
    <row r="3716" spans="72:74" x14ac:dyDescent="0.2">
      <c r="BT3716" s="124"/>
      <c r="BU3716" s="124"/>
      <c r="BV3716" s="124"/>
    </row>
    <row r="3717" spans="72:74" x14ac:dyDescent="0.2">
      <c r="BT3717" s="124"/>
      <c r="BU3717" s="124"/>
      <c r="BV3717" s="124"/>
    </row>
    <row r="3718" spans="72:74" x14ac:dyDescent="0.2">
      <c r="BT3718" s="124"/>
      <c r="BU3718" s="124"/>
      <c r="BV3718" s="124"/>
    </row>
    <row r="3719" spans="72:74" x14ac:dyDescent="0.2">
      <c r="BT3719" s="124"/>
      <c r="BU3719" s="124"/>
      <c r="BV3719" s="124"/>
    </row>
    <row r="3720" spans="72:74" x14ac:dyDescent="0.2">
      <c r="BT3720" s="124"/>
      <c r="BU3720" s="124"/>
      <c r="BV3720" s="124"/>
    </row>
    <row r="3721" spans="72:74" x14ac:dyDescent="0.2">
      <c r="BT3721" s="124"/>
      <c r="BU3721" s="124"/>
      <c r="BV3721" s="124"/>
    </row>
    <row r="3722" spans="72:74" x14ac:dyDescent="0.2">
      <c r="BT3722" s="124"/>
      <c r="BU3722" s="124"/>
      <c r="BV3722" s="124"/>
    </row>
    <row r="3723" spans="72:74" x14ac:dyDescent="0.2">
      <c r="BT3723" s="124"/>
      <c r="BU3723" s="124"/>
      <c r="BV3723" s="124"/>
    </row>
    <row r="3724" spans="72:74" x14ac:dyDescent="0.2">
      <c r="BT3724" s="124"/>
      <c r="BU3724" s="124"/>
      <c r="BV3724" s="124"/>
    </row>
    <row r="3725" spans="72:74" x14ac:dyDescent="0.2">
      <c r="BT3725" s="124"/>
      <c r="BU3725" s="124"/>
      <c r="BV3725" s="124"/>
    </row>
    <row r="3726" spans="72:74" x14ac:dyDescent="0.2">
      <c r="BT3726" s="124"/>
      <c r="BU3726" s="124"/>
      <c r="BV3726" s="124"/>
    </row>
    <row r="3727" spans="72:74" x14ac:dyDescent="0.2">
      <c r="BT3727" s="124"/>
      <c r="BU3727" s="124"/>
      <c r="BV3727" s="124"/>
    </row>
    <row r="3728" spans="72:74" x14ac:dyDescent="0.2">
      <c r="BT3728" s="124"/>
      <c r="BU3728" s="124"/>
      <c r="BV3728" s="124"/>
    </row>
    <row r="3729" spans="72:74" x14ac:dyDescent="0.2">
      <c r="BT3729" s="124"/>
      <c r="BU3729" s="124"/>
      <c r="BV3729" s="124"/>
    </row>
    <row r="3730" spans="72:74" x14ac:dyDescent="0.2">
      <c r="BT3730" s="124"/>
      <c r="BU3730" s="124"/>
      <c r="BV3730" s="124"/>
    </row>
    <row r="3731" spans="72:74" x14ac:dyDescent="0.2">
      <c r="BT3731" s="124"/>
      <c r="BU3731" s="124"/>
      <c r="BV3731" s="124"/>
    </row>
    <row r="3732" spans="72:74" x14ac:dyDescent="0.2">
      <c r="BT3732" s="124"/>
      <c r="BU3732" s="124"/>
      <c r="BV3732" s="124"/>
    </row>
    <row r="3733" spans="72:74" x14ac:dyDescent="0.2">
      <c r="BT3733" s="124"/>
      <c r="BU3733" s="124"/>
      <c r="BV3733" s="124"/>
    </row>
    <row r="3734" spans="72:74" x14ac:dyDescent="0.2">
      <c r="BT3734" s="124"/>
      <c r="BU3734" s="124"/>
      <c r="BV3734" s="124"/>
    </row>
    <row r="3735" spans="72:74" x14ac:dyDescent="0.2">
      <c r="BT3735" s="124"/>
      <c r="BU3735" s="124"/>
      <c r="BV3735" s="124"/>
    </row>
    <row r="3736" spans="72:74" x14ac:dyDescent="0.2">
      <c r="BT3736" s="124"/>
      <c r="BU3736" s="124"/>
      <c r="BV3736" s="124"/>
    </row>
    <row r="3737" spans="72:74" x14ac:dyDescent="0.2">
      <c r="BT3737" s="124"/>
      <c r="BU3737" s="124"/>
      <c r="BV3737" s="124"/>
    </row>
    <row r="3738" spans="72:74" x14ac:dyDescent="0.2">
      <c r="BT3738" s="124"/>
      <c r="BU3738" s="124"/>
      <c r="BV3738" s="124"/>
    </row>
    <row r="3739" spans="72:74" x14ac:dyDescent="0.2">
      <c r="BT3739" s="124"/>
      <c r="BU3739" s="124"/>
      <c r="BV3739" s="124"/>
    </row>
    <row r="3740" spans="72:74" x14ac:dyDescent="0.2">
      <c r="BT3740" s="124"/>
      <c r="BU3740" s="124"/>
      <c r="BV3740" s="124"/>
    </row>
    <row r="3741" spans="72:74" x14ac:dyDescent="0.2">
      <c r="BT3741" s="124"/>
      <c r="BU3741" s="124"/>
      <c r="BV3741" s="124"/>
    </row>
    <row r="3742" spans="72:74" x14ac:dyDescent="0.2">
      <c r="BT3742" s="124"/>
      <c r="BU3742" s="124"/>
      <c r="BV3742" s="124"/>
    </row>
    <row r="3743" spans="72:74" x14ac:dyDescent="0.2">
      <c r="BT3743" s="124"/>
      <c r="BU3743" s="124"/>
      <c r="BV3743" s="124"/>
    </row>
    <row r="3744" spans="72:74" x14ac:dyDescent="0.2">
      <c r="BT3744" s="124"/>
      <c r="BU3744" s="124"/>
      <c r="BV3744" s="124"/>
    </row>
    <row r="3745" spans="72:74" x14ac:dyDescent="0.2">
      <c r="BT3745" s="124"/>
      <c r="BU3745" s="124"/>
      <c r="BV3745" s="124"/>
    </row>
    <row r="3746" spans="72:74" x14ac:dyDescent="0.2">
      <c r="BT3746" s="124"/>
      <c r="BU3746" s="124"/>
      <c r="BV3746" s="124"/>
    </row>
    <row r="3747" spans="72:74" x14ac:dyDescent="0.2">
      <c r="BT3747" s="124"/>
      <c r="BU3747" s="124"/>
      <c r="BV3747" s="124"/>
    </row>
    <row r="3748" spans="72:74" x14ac:dyDescent="0.2">
      <c r="BT3748" s="124"/>
      <c r="BU3748" s="124"/>
      <c r="BV3748" s="124"/>
    </row>
    <row r="3749" spans="72:74" x14ac:dyDescent="0.2">
      <c r="BT3749" s="124"/>
      <c r="BU3749" s="124"/>
      <c r="BV3749" s="124"/>
    </row>
    <row r="3750" spans="72:74" x14ac:dyDescent="0.2">
      <c r="BT3750" s="124"/>
      <c r="BU3750" s="124"/>
      <c r="BV3750" s="124"/>
    </row>
    <row r="3751" spans="72:74" x14ac:dyDescent="0.2">
      <c r="BT3751" s="124"/>
      <c r="BU3751" s="124"/>
      <c r="BV3751" s="124"/>
    </row>
    <row r="3752" spans="72:74" x14ac:dyDescent="0.2">
      <c r="BT3752" s="124"/>
      <c r="BU3752" s="124"/>
      <c r="BV3752" s="124"/>
    </row>
    <row r="3753" spans="72:74" x14ac:dyDescent="0.2">
      <c r="BT3753" s="124"/>
      <c r="BU3753" s="124"/>
      <c r="BV3753" s="124"/>
    </row>
    <row r="3754" spans="72:74" x14ac:dyDescent="0.2">
      <c r="BT3754" s="124"/>
      <c r="BU3754" s="124"/>
      <c r="BV3754" s="124"/>
    </row>
    <row r="3755" spans="72:74" x14ac:dyDescent="0.2">
      <c r="BT3755" s="124"/>
      <c r="BU3755" s="124"/>
      <c r="BV3755" s="124"/>
    </row>
    <row r="3756" spans="72:74" x14ac:dyDescent="0.2">
      <c r="BT3756" s="124"/>
      <c r="BU3756" s="124"/>
      <c r="BV3756" s="124"/>
    </row>
    <row r="3757" spans="72:74" x14ac:dyDescent="0.2">
      <c r="BT3757" s="124"/>
      <c r="BU3757" s="124"/>
      <c r="BV3757" s="124"/>
    </row>
    <row r="3758" spans="72:74" x14ac:dyDescent="0.2">
      <c r="BT3758" s="124"/>
      <c r="BU3758" s="124"/>
      <c r="BV3758" s="124"/>
    </row>
    <row r="3759" spans="72:74" x14ac:dyDescent="0.2">
      <c r="BT3759" s="124"/>
      <c r="BU3759" s="124"/>
      <c r="BV3759" s="124"/>
    </row>
    <row r="3760" spans="72:74" x14ac:dyDescent="0.2">
      <c r="BT3760" s="124"/>
      <c r="BU3760" s="124"/>
      <c r="BV3760" s="124"/>
    </row>
    <row r="3761" spans="72:74" x14ac:dyDescent="0.2">
      <c r="BT3761" s="124"/>
      <c r="BU3761" s="124"/>
      <c r="BV3761" s="124"/>
    </row>
    <row r="3762" spans="72:74" x14ac:dyDescent="0.2">
      <c r="BT3762" s="124"/>
      <c r="BU3762" s="124"/>
      <c r="BV3762" s="124"/>
    </row>
    <row r="3763" spans="72:74" x14ac:dyDescent="0.2">
      <c r="BT3763" s="124"/>
      <c r="BU3763" s="124"/>
      <c r="BV3763" s="124"/>
    </row>
    <row r="3764" spans="72:74" x14ac:dyDescent="0.2">
      <c r="BT3764" s="124"/>
      <c r="BU3764" s="124"/>
      <c r="BV3764" s="124"/>
    </row>
    <row r="3765" spans="72:74" x14ac:dyDescent="0.2">
      <c r="BT3765" s="124"/>
      <c r="BU3765" s="124"/>
      <c r="BV3765" s="124"/>
    </row>
    <row r="3766" spans="72:74" x14ac:dyDescent="0.2">
      <c r="BT3766" s="124"/>
      <c r="BU3766" s="124"/>
      <c r="BV3766" s="124"/>
    </row>
    <row r="3767" spans="72:74" x14ac:dyDescent="0.2">
      <c r="BT3767" s="124"/>
      <c r="BU3767" s="124"/>
      <c r="BV3767" s="124"/>
    </row>
    <row r="3768" spans="72:74" x14ac:dyDescent="0.2">
      <c r="BT3768" s="124"/>
      <c r="BU3768" s="124"/>
      <c r="BV3768" s="124"/>
    </row>
    <row r="3769" spans="72:74" x14ac:dyDescent="0.2">
      <c r="BT3769" s="124"/>
      <c r="BU3769" s="124"/>
      <c r="BV3769" s="124"/>
    </row>
    <row r="3770" spans="72:74" x14ac:dyDescent="0.2">
      <c r="BT3770" s="124"/>
      <c r="BU3770" s="124"/>
      <c r="BV3770" s="124"/>
    </row>
    <row r="3771" spans="72:74" x14ac:dyDescent="0.2">
      <c r="BT3771" s="124"/>
      <c r="BU3771" s="124"/>
      <c r="BV3771" s="124"/>
    </row>
    <row r="3772" spans="72:74" x14ac:dyDescent="0.2">
      <c r="BT3772" s="124"/>
      <c r="BU3772" s="124"/>
      <c r="BV3772" s="124"/>
    </row>
    <row r="3773" spans="72:74" x14ac:dyDescent="0.2">
      <c r="BT3773" s="124"/>
      <c r="BU3773" s="124"/>
      <c r="BV3773" s="124"/>
    </row>
    <row r="3774" spans="72:74" x14ac:dyDescent="0.2">
      <c r="BT3774" s="124"/>
      <c r="BU3774" s="124"/>
      <c r="BV3774" s="124"/>
    </row>
    <row r="3775" spans="72:74" x14ac:dyDescent="0.2">
      <c r="BT3775" s="124"/>
      <c r="BU3775" s="124"/>
      <c r="BV3775" s="124"/>
    </row>
    <row r="3776" spans="72:74" x14ac:dyDescent="0.2">
      <c r="BT3776" s="124"/>
      <c r="BU3776" s="124"/>
      <c r="BV3776" s="124"/>
    </row>
    <row r="3777" spans="72:74" x14ac:dyDescent="0.2">
      <c r="BT3777" s="124"/>
      <c r="BU3777" s="124"/>
      <c r="BV3777" s="124"/>
    </row>
    <row r="3778" spans="72:74" x14ac:dyDescent="0.2">
      <c r="BT3778" s="124"/>
      <c r="BU3778" s="124"/>
      <c r="BV3778" s="124"/>
    </row>
    <row r="3779" spans="72:74" x14ac:dyDescent="0.2">
      <c r="BT3779" s="124"/>
      <c r="BU3779" s="124"/>
      <c r="BV3779" s="124"/>
    </row>
    <row r="3780" spans="72:74" x14ac:dyDescent="0.2">
      <c r="BT3780" s="124"/>
      <c r="BU3780" s="124"/>
      <c r="BV3780" s="124"/>
    </row>
    <row r="3781" spans="72:74" x14ac:dyDescent="0.2">
      <c r="BT3781" s="124"/>
      <c r="BU3781" s="124"/>
      <c r="BV3781" s="124"/>
    </row>
    <row r="3782" spans="72:74" x14ac:dyDescent="0.2">
      <c r="BT3782" s="124"/>
      <c r="BU3782" s="124"/>
      <c r="BV3782" s="124"/>
    </row>
    <row r="3783" spans="72:74" x14ac:dyDescent="0.2">
      <c r="BT3783" s="124"/>
      <c r="BU3783" s="124"/>
      <c r="BV3783" s="124"/>
    </row>
    <row r="3784" spans="72:74" x14ac:dyDescent="0.2">
      <c r="BT3784" s="124"/>
      <c r="BU3784" s="124"/>
      <c r="BV3784" s="124"/>
    </row>
    <row r="3785" spans="72:74" x14ac:dyDescent="0.2">
      <c r="BT3785" s="124"/>
      <c r="BU3785" s="124"/>
      <c r="BV3785" s="124"/>
    </row>
    <row r="3786" spans="72:74" x14ac:dyDescent="0.2">
      <c r="BT3786" s="124"/>
      <c r="BU3786" s="124"/>
      <c r="BV3786" s="124"/>
    </row>
    <row r="3787" spans="72:74" x14ac:dyDescent="0.2">
      <c r="BT3787" s="124"/>
      <c r="BU3787" s="124"/>
      <c r="BV3787" s="124"/>
    </row>
    <row r="3788" spans="72:74" x14ac:dyDescent="0.2">
      <c r="BT3788" s="124"/>
      <c r="BU3788" s="124"/>
      <c r="BV3788" s="124"/>
    </row>
    <row r="3789" spans="72:74" x14ac:dyDescent="0.2">
      <c r="BT3789" s="124"/>
      <c r="BU3789" s="124"/>
      <c r="BV3789" s="124"/>
    </row>
    <row r="3790" spans="72:74" x14ac:dyDescent="0.2">
      <c r="BT3790" s="124"/>
      <c r="BU3790" s="124"/>
      <c r="BV3790" s="124"/>
    </row>
    <row r="3791" spans="72:74" x14ac:dyDescent="0.2">
      <c r="BT3791" s="124"/>
      <c r="BU3791" s="124"/>
      <c r="BV3791" s="124"/>
    </row>
    <row r="3792" spans="72:74" x14ac:dyDescent="0.2">
      <c r="BT3792" s="124"/>
      <c r="BU3792" s="124"/>
      <c r="BV3792" s="124"/>
    </row>
    <row r="3793" spans="72:74" x14ac:dyDescent="0.2">
      <c r="BT3793" s="124"/>
      <c r="BU3793" s="124"/>
      <c r="BV3793" s="124"/>
    </row>
    <row r="3794" spans="72:74" x14ac:dyDescent="0.2">
      <c r="BT3794" s="124"/>
      <c r="BU3794" s="124"/>
      <c r="BV3794" s="124"/>
    </row>
    <row r="3795" spans="72:74" x14ac:dyDescent="0.2">
      <c r="BT3795" s="124"/>
      <c r="BU3795" s="124"/>
      <c r="BV3795" s="124"/>
    </row>
    <row r="3796" spans="72:74" x14ac:dyDescent="0.2">
      <c r="BT3796" s="124"/>
      <c r="BU3796" s="124"/>
      <c r="BV3796" s="124"/>
    </row>
    <row r="3797" spans="72:74" x14ac:dyDescent="0.2">
      <c r="BT3797" s="124"/>
      <c r="BU3797" s="124"/>
      <c r="BV3797" s="124"/>
    </row>
    <row r="3798" spans="72:74" x14ac:dyDescent="0.2">
      <c r="BT3798" s="124"/>
      <c r="BU3798" s="124"/>
      <c r="BV3798" s="124"/>
    </row>
    <row r="3799" spans="72:74" x14ac:dyDescent="0.2">
      <c r="BT3799" s="124"/>
      <c r="BU3799" s="124"/>
      <c r="BV3799" s="124"/>
    </row>
    <row r="3800" spans="72:74" x14ac:dyDescent="0.2">
      <c r="BT3800" s="124"/>
      <c r="BU3800" s="124"/>
      <c r="BV3800" s="124"/>
    </row>
    <row r="3801" spans="72:74" x14ac:dyDescent="0.2">
      <c r="BT3801" s="124"/>
      <c r="BU3801" s="124"/>
      <c r="BV3801" s="124"/>
    </row>
    <row r="3802" spans="72:74" x14ac:dyDescent="0.2">
      <c r="BT3802" s="124"/>
      <c r="BU3802" s="124"/>
      <c r="BV3802" s="124"/>
    </row>
    <row r="3803" spans="72:74" x14ac:dyDescent="0.2">
      <c r="BT3803" s="124"/>
      <c r="BU3803" s="124"/>
      <c r="BV3803" s="124"/>
    </row>
    <row r="3804" spans="72:74" x14ac:dyDescent="0.2">
      <c r="BT3804" s="124"/>
      <c r="BU3804" s="124"/>
      <c r="BV3804" s="124"/>
    </row>
    <row r="3805" spans="72:74" x14ac:dyDescent="0.2">
      <c r="BT3805" s="124"/>
      <c r="BU3805" s="124"/>
      <c r="BV3805" s="124"/>
    </row>
    <row r="3806" spans="72:74" x14ac:dyDescent="0.2">
      <c r="BT3806" s="124"/>
      <c r="BU3806" s="124"/>
      <c r="BV3806" s="124"/>
    </row>
    <row r="3807" spans="72:74" x14ac:dyDescent="0.2">
      <c r="BT3807" s="124"/>
      <c r="BU3807" s="124"/>
      <c r="BV3807" s="124"/>
    </row>
    <row r="3808" spans="72:74" x14ac:dyDescent="0.2">
      <c r="BT3808" s="124"/>
      <c r="BU3808" s="124"/>
      <c r="BV3808" s="124"/>
    </row>
    <row r="3809" spans="72:74" x14ac:dyDescent="0.2">
      <c r="BT3809" s="124"/>
      <c r="BU3809" s="124"/>
      <c r="BV3809" s="124"/>
    </row>
    <row r="3810" spans="72:74" x14ac:dyDescent="0.2">
      <c r="BT3810" s="124"/>
      <c r="BU3810" s="124"/>
      <c r="BV3810" s="124"/>
    </row>
    <row r="3811" spans="72:74" x14ac:dyDescent="0.2">
      <c r="BT3811" s="124"/>
      <c r="BU3811" s="124"/>
      <c r="BV3811" s="124"/>
    </row>
    <row r="3812" spans="72:74" x14ac:dyDescent="0.2">
      <c r="BT3812" s="124"/>
      <c r="BU3812" s="124"/>
      <c r="BV3812" s="124"/>
    </row>
    <row r="3813" spans="72:74" x14ac:dyDescent="0.2">
      <c r="BT3813" s="124"/>
      <c r="BU3813" s="124"/>
      <c r="BV3813" s="124"/>
    </row>
    <row r="3814" spans="72:74" x14ac:dyDescent="0.2">
      <c r="BT3814" s="124"/>
      <c r="BU3814" s="124"/>
      <c r="BV3814" s="124"/>
    </row>
    <row r="3815" spans="72:74" x14ac:dyDescent="0.2">
      <c r="BT3815" s="124"/>
      <c r="BU3815" s="124"/>
      <c r="BV3815" s="124"/>
    </row>
    <row r="3816" spans="72:74" x14ac:dyDescent="0.2">
      <c r="BT3816" s="124"/>
      <c r="BU3816" s="124"/>
      <c r="BV3816" s="124"/>
    </row>
    <row r="3817" spans="72:74" x14ac:dyDescent="0.2">
      <c r="BT3817" s="124"/>
      <c r="BU3817" s="124"/>
      <c r="BV3817" s="124"/>
    </row>
    <row r="3818" spans="72:74" x14ac:dyDescent="0.2">
      <c r="BT3818" s="124"/>
      <c r="BU3818" s="124"/>
      <c r="BV3818" s="124"/>
    </row>
    <row r="3819" spans="72:74" x14ac:dyDescent="0.2">
      <c r="BT3819" s="124"/>
      <c r="BU3819" s="124"/>
      <c r="BV3819" s="124"/>
    </row>
    <row r="3820" spans="72:74" x14ac:dyDescent="0.2">
      <c r="BT3820" s="124"/>
      <c r="BU3820" s="124"/>
      <c r="BV3820" s="124"/>
    </row>
    <row r="3821" spans="72:74" x14ac:dyDescent="0.2">
      <c r="BT3821" s="124"/>
      <c r="BU3821" s="124"/>
      <c r="BV3821" s="124"/>
    </row>
    <row r="3822" spans="72:74" x14ac:dyDescent="0.2">
      <c r="BT3822" s="124"/>
      <c r="BU3822" s="124"/>
      <c r="BV3822" s="124"/>
    </row>
    <row r="3823" spans="72:74" x14ac:dyDescent="0.2">
      <c r="BT3823" s="124"/>
      <c r="BU3823" s="124"/>
      <c r="BV3823" s="124"/>
    </row>
    <row r="3824" spans="72:74" x14ac:dyDescent="0.2">
      <c r="BT3824" s="124"/>
      <c r="BU3824" s="124"/>
      <c r="BV3824" s="124"/>
    </row>
    <row r="3825" spans="72:74" x14ac:dyDescent="0.2">
      <c r="BT3825" s="124"/>
      <c r="BU3825" s="124"/>
      <c r="BV3825" s="124"/>
    </row>
    <row r="3826" spans="72:74" x14ac:dyDescent="0.2">
      <c r="BT3826" s="124"/>
      <c r="BU3826" s="124"/>
      <c r="BV3826" s="124"/>
    </row>
    <row r="3827" spans="72:74" x14ac:dyDescent="0.2">
      <c r="BT3827" s="124"/>
      <c r="BU3827" s="124"/>
      <c r="BV3827" s="124"/>
    </row>
    <row r="3828" spans="72:74" x14ac:dyDescent="0.2">
      <c r="BT3828" s="124"/>
      <c r="BU3828" s="124"/>
      <c r="BV3828" s="124"/>
    </row>
    <row r="3829" spans="72:74" x14ac:dyDescent="0.2">
      <c r="BT3829" s="124"/>
      <c r="BU3829" s="124"/>
      <c r="BV3829" s="124"/>
    </row>
    <row r="3830" spans="72:74" x14ac:dyDescent="0.2">
      <c r="BT3830" s="124"/>
      <c r="BU3830" s="124"/>
      <c r="BV3830" s="124"/>
    </row>
    <row r="3831" spans="72:74" x14ac:dyDescent="0.2">
      <c r="BT3831" s="124"/>
      <c r="BU3831" s="124"/>
      <c r="BV3831" s="124"/>
    </row>
    <row r="3832" spans="72:74" x14ac:dyDescent="0.2">
      <c r="BT3832" s="124"/>
      <c r="BU3832" s="124"/>
      <c r="BV3832" s="124"/>
    </row>
    <row r="3833" spans="72:74" x14ac:dyDescent="0.2">
      <c r="BT3833" s="124"/>
      <c r="BU3833" s="124"/>
      <c r="BV3833" s="124"/>
    </row>
    <row r="3834" spans="72:74" x14ac:dyDescent="0.2">
      <c r="BT3834" s="124"/>
      <c r="BU3834" s="124"/>
      <c r="BV3834" s="124"/>
    </row>
    <row r="3835" spans="72:74" x14ac:dyDescent="0.2">
      <c r="BT3835" s="124"/>
      <c r="BU3835" s="124"/>
      <c r="BV3835" s="124"/>
    </row>
    <row r="3836" spans="72:74" x14ac:dyDescent="0.2">
      <c r="BT3836" s="124"/>
      <c r="BU3836" s="124"/>
      <c r="BV3836" s="124"/>
    </row>
    <row r="3837" spans="72:74" x14ac:dyDescent="0.2">
      <c r="BT3837" s="124"/>
      <c r="BU3837" s="124"/>
      <c r="BV3837" s="124"/>
    </row>
    <row r="3838" spans="72:74" x14ac:dyDescent="0.2">
      <c r="BT3838" s="124"/>
      <c r="BU3838" s="124"/>
      <c r="BV3838" s="124"/>
    </row>
    <row r="3839" spans="72:74" x14ac:dyDescent="0.2">
      <c r="BT3839" s="124"/>
      <c r="BU3839" s="124"/>
      <c r="BV3839" s="124"/>
    </row>
    <row r="3840" spans="72:74" x14ac:dyDescent="0.2">
      <c r="BT3840" s="124"/>
      <c r="BU3840" s="124"/>
      <c r="BV3840" s="124"/>
    </row>
    <row r="3841" spans="72:74" x14ac:dyDescent="0.2">
      <c r="BT3841" s="124"/>
      <c r="BU3841" s="124"/>
      <c r="BV3841" s="124"/>
    </row>
    <row r="3842" spans="72:74" x14ac:dyDescent="0.2">
      <c r="BT3842" s="124"/>
      <c r="BU3842" s="124"/>
      <c r="BV3842" s="124"/>
    </row>
    <row r="3843" spans="72:74" x14ac:dyDescent="0.2">
      <c r="BT3843" s="124"/>
      <c r="BU3843" s="124"/>
      <c r="BV3843" s="124"/>
    </row>
    <row r="3844" spans="72:74" x14ac:dyDescent="0.2">
      <c r="BT3844" s="124"/>
      <c r="BU3844" s="124"/>
      <c r="BV3844" s="124"/>
    </row>
    <row r="3845" spans="72:74" x14ac:dyDescent="0.2">
      <c r="BT3845" s="124"/>
      <c r="BU3845" s="124"/>
      <c r="BV3845" s="124"/>
    </row>
    <row r="3846" spans="72:74" x14ac:dyDescent="0.2">
      <c r="BT3846" s="124"/>
      <c r="BU3846" s="124"/>
      <c r="BV3846" s="124"/>
    </row>
    <row r="3847" spans="72:74" x14ac:dyDescent="0.2">
      <c r="BT3847" s="124"/>
      <c r="BU3847" s="124"/>
      <c r="BV3847" s="124"/>
    </row>
    <row r="3848" spans="72:74" x14ac:dyDescent="0.2">
      <c r="BT3848" s="124"/>
      <c r="BU3848" s="124"/>
      <c r="BV3848" s="124"/>
    </row>
    <row r="3849" spans="72:74" x14ac:dyDescent="0.2">
      <c r="BT3849" s="124"/>
      <c r="BU3849" s="124"/>
      <c r="BV3849" s="124"/>
    </row>
    <row r="3850" spans="72:74" x14ac:dyDescent="0.2">
      <c r="BT3850" s="124"/>
      <c r="BU3850" s="124"/>
      <c r="BV3850" s="124"/>
    </row>
    <row r="3851" spans="72:74" x14ac:dyDescent="0.2">
      <c r="BT3851" s="124"/>
      <c r="BU3851" s="124"/>
      <c r="BV3851" s="124"/>
    </row>
    <row r="3852" spans="72:74" x14ac:dyDescent="0.2">
      <c r="BT3852" s="124"/>
      <c r="BU3852" s="124"/>
      <c r="BV3852" s="124"/>
    </row>
    <row r="3853" spans="72:74" x14ac:dyDescent="0.2">
      <c r="BT3853" s="124"/>
      <c r="BU3853" s="124"/>
      <c r="BV3853" s="124"/>
    </row>
    <row r="3854" spans="72:74" x14ac:dyDescent="0.2">
      <c r="BT3854" s="124"/>
      <c r="BU3854" s="124"/>
      <c r="BV3854" s="124"/>
    </row>
    <row r="3855" spans="72:74" x14ac:dyDescent="0.2">
      <c r="BT3855" s="124"/>
      <c r="BU3855" s="124"/>
      <c r="BV3855" s="124"/>
    </row>
    <row r="3856" spans="72:74" x14ac:dyDescent="0.2">
      <c r="BT3856" s="124"/>
      <c r="BU3856" s="124"/>
      <c r="BV3856" s="124"/>
    </row>
    <row r="3857" spans="72:74" x14ac:dyDescent="0.2">
      <c r="BT3857" s="124"/>
      <c r="BU3857" s="124"/>
      <c r="BV3857" s="124"/>
    </row>
    <row r="3858" spans="72:74" x14ac:dyDescent="0.2">
      <c r="BT3858" s="124"/>
      <c r="BU3858" s="124"/>
      <c r="BV3858" s="124"/>
    </row>
    <row r="3859" spans="72:74" x14ac:dyDescent="0.2">
      <c r="BT3859" s="124"/>
      <c r="BU3859" s="124"/>
      <c r="BV3859" s="124"/>
    </row>
    <row r="3860" spans="72:74" x14ac:dyDescent="0.2">
      <c r="BT3860" s="124"/>
      <c r="BU3860" s="124"/>
      <c r="BV3860" s="124"/>
    </row>
    <row r="3861" spans="72:74" x14ac:dyDescent="0.2">
      <c r="BT3861" s="124"/>
      <c r="BU3861" s="124"/>
      <c r="BV3861" s="124"/>
    </row>
    <row r="3862" spans="72:74" x14ac:dyDescent="0.2">
      <c r="BT3862" s="124"/>
      <c r="BU3862" s="124"/>
      <c r="BV3862" s="124"/>
    </row>
    <row r="3863" spans="72:74" x14ac:dyDescent="0.2">
      <c r="BT3863" s="124"/>
      <c r="BU3863" s="124"/>
      <c r="BV3863" s="124"/>
    </row>
    <row r="3864" spans="72:74" x14ac:dyDescent="0.2">
      <c r="BT3864" s="124"/>
      <c r="BU3864" s="124"/>
      <c r="BV3864" s="124"/>
    </row>
    <row r="3865" spans="72:74" x14ac:dyDescent="0.2">
      <c r="BT3865" s="124"/>
      <c r="BU3865" s="124"/>
      <c r="BV3865" s="124"/>
    </row>
    <row r="3866" spans="72:74" x14ac:dyDescent="0.2">
      <c r="BT3866" s="124"/>
      <c r="BU3866" s="124"/>
      <c r="BV3866" s="124"/>
    </row>
    <row r="3867" spans="72:74" x14ac:dyDescent="0.2">
      <c r="BT3867" s="124"/>
      <c r="BU3867" s="124"/>
      <c r="BV3867" s="124"/>
    </row>
    <row r="3868" spans="72:74" x14ac:dyDescent="0.2">
      <c r="BT3868" s="124"/>
      <c r="BU3868" s="124"/>
      <c r="BV3868" s="124"/>
    </row>
    <row r="3869" spans="72:74" x14ac:dyDescent="0.2">
      <c r="BT3869" s="124"/>
      <c r="BU3869" s="124"/>
      <c r="BV3869" s="124"/>
    </row>
    <row r="3870" spans="72:74" x14ac:dyDescent="0.2">
      <c r="BT3870" s="124"/>
      <c r="BU3870" s="124"/>
      <c r="BV3870" s="124"/>
    </row>
    <row r="3871" spans="72:74" x14ac:dyDescent="0.2">
      <c r="BT3871" s="124"/>
      <c r="BU3871" s="124"/>
      <c r="BV3871" s="124"/>
    </row>
    <row r="3872" spans="72:74" x14ac:dyDescent="0.2">
      <c r="BT3872" s="124"/>
      <c r="BU3872" s="124"/>
      <c r="BV3872" s="124"/>
    </row>
    <row r="3873" spans="72:74" x14ac:dyDescent="0.2">
      <c r="BT3873" s="124"/>
      <c r="BU3873" s="124"/>
      <c r="BV3873" s="124"/>
    </row>
    <row r="3874" spans="72:74" x14ac:dyDescent="0.2">
      <c r="BT3874" s="124"/>
      <c r="BU3874" s="124"/>
      <c r="BV3874" s="124"/>
    </row>
    <row r="3875" spans="72:74" x14ac:dyDescent="0.2">
      <c r="BT3875" s="124"/>
      <c r="BU3875" s="124"/>
      <c r="BV3875" s="124"/>
    </row>
    <row r="3876" spans="72:74" x14ac:dyDescent="0.2">
      <c r="BT3876" s="124"/>
      <c r="BU3876" s="124"/>
      <c r="BV3876" s="124"/>
    </row>
    <row r="3877" spans="72:74" x14ac:dyDescent="0.2">
      <c r="BT3877" s="124"/>
      <c r="BU3877" s="124"/>
      <c r="BV3877" s="124"/>
    </row>
    <row r="3878" spans="72:74" x14ac:dyDescent="0.2">
      <c r="BT3878" s="124"/>
      <c r="BU3878" s="124"/>
      <c r="BV3878" s="124"/>
    </row>
    <row r="3879" spans="72:74" x14ac:dyDescent="0.2">
      <c r="BT3879" s="124"/>
      <c r="BU3879" s="124"/>
      <c r="BV3879" s="124"/>
    </row>
    <row r="3880" spans="72:74" x14ac:dyDescent="0.2">
      <c r="BT3880" s="124"/>
      <c r="BU3880" s="124"/>
      <c r="BV3880" s="124"/>
    </row>
    <row r="3881" spans="72:74" x14ac:dyDescent="0.2">
      <c r="BT3881" s="124"/>
      <c r="BU3881" s="124"/>
      <c r="BV3881" s="124"/>
    </row>
    <row r="3882" spans="72:74" x14ac:dyDescent="0.2">
      <c r="BT3882" s="124"/>
      <c r="BU3882" s="124"/>
      <c r="BV3882" s="124"/>
    </row>
    <row r="3883" spans="72:74" x14ac:dyDescent="0.2">
      <c r="BT3883" s="124"/>
      <c r="BU3883" s="124"/>
      <c r="BV3883" s="124"/>
    </row>
    <row r="3884" spans="72:74" x14ac:dyDescent="0.2">
      <c r="BT3884" s="124"/>
      <c r="BU3884" s="124"/>
      <c r="BV3884" s="124"/>
    </row>
    <row r="3885" spans="72:74" x14ac:dyDescent="0.2">
      <c r="BT3885" s="124"/>
      <c r="BU3885" s="124"/>
      <c r="BV3885" s="124"/>
    </row>
    <row r="3886" spans="72:74" x14ac:dyDescent="0.2">
      <c r="BT3886" s="124"/>
      <c r="BU3886" s="124"/>
      <c r="BV3886" s="124"/>
    </row>
    <row r="3887" spans="72:74" x14ac:dyDescent="0.2">
      <c r="BT3887" s="124"/>
      <c r="BU3887" s="124"/>
      <c r="BV3887" s="124"/>
    </row>
    <row r="3888" spans="72:74" x14ac:dyDescent="0.2">
      <c r="BT3888" s="124"/>
      <c r="BU3888" s="124"/>
      <c r="BV3888" s="124"/>
    </row>
    <row r="3889" spans="72:74" x14ac:dyDescent="0.2">
      <c r="BT3889" s="124"/>
      <c r="BU3889" s="124"/>
      <c r="BV3889" s="124"/>
    </row>
    <row r="3890" spans="72:74" x14ac:dyDescent="0.2">
      <c r="BT3890" s="124"/>
      <c r="BU3890" s="124"/>
      <c r="BV3890" s="124"/>
    </row>
    <row r="3891" spans="72:74" x14ac:dyDescent="0.2">
      <c r="BT3891" s="124"/>
      <c r="BU3891" s="124"/>
      <c r="BV3891" s="124"/>
    </row>
    <row r="3892" spans="72:74" x14ac:dyDescent="0.2">
      <c r="BT3892" s="124"/>
      <c r="BU3892" s="124"/>
      <c r="BV3892" s="124"/>
    </row>
    <row r="3893" spans="72:74" x14ac:dyDescent="0.2">
      <c r="BT3893" s="124"/>
      <c r="BU3893" s="124"/>
      <c r="BV3893" s="124"/>
    </row>
    <row r="3894" spans="72:74" x14ac:dyDescent="0.2">
      <c r="BT3894" s="124"/>
      <c r="BU3894" s="124"/>
      <c r="BV3894" s="124"/>
    </row>
    <row r="3895" spans="72:74" x14ac:dyDescent="0.2">
      <c r="BT3895" s="124"/>
      <c r="BU3895" s="124"/>
      <c r="BV3895" s="124"/>
    </row>
    <row r="3896" spans="72:74" x14ac:dyDescent="0.2">
      <c r="BT3896" s="124"/>
      <c r="BU3896" s="124"/>
      <c r="BV3896" s="124"/>
    </row>
    <row r="3897" spans="72:74" x14ac:dyDescent="0.2">
      <c r="BT3897" s="124"/>
      <c r="BU3897" s="124"/>
      <c r="BV3897" s="124"/>
    </row>
    <row r="3898" spans="72:74" x14ac:dyDescent="0.2">
      <c r="BT3898" s="124"/>
      <c r="BU3898" s="124"/>
      <c r="BV3898" s="124"/>
    </row>
    <row r="3899" spans="72:74" x14ac:dyDescent="0.2">
      <c r="BT3899" s="124"/>
      <c r="BU3899" s="124"/>
      <c r="BV3899" s="124"/>
    </row>
    <row r="3900" spans="72:74" x14ac:dyDescent="0.2">
      <c r="BT3900" s="124"/>
      <c r="BU3900" s="124"/>
      <c r="BV3900" s="124"/>
    </row>
    <row r="3901" spans="72:74" x14ac:dyDescent="0.2">
      <c r="BT3901" s="124"/>
      <c r="BU3901" s="124"/>
      <c r="BV3901" s="124"/>
    </row>
    <row r="3902" spans="72:74" x14ac:dyDescent="0.2">
      <c r="BT3902" s="124"/>
      <c r="BU3902" s="124"/>
      <c r="BV3902" s="124"/>
    </row>
    <row r="3903" spans="72:74" x14ac:dyDescent="0.2">
      <c r="BT3903" s="124"/>
      <c r="BU3903" s="124"/>
      <c r="BV3903" s="124"/>
    </row>
    <row r="3904" spans="72:74" x14ac:dyDescent="0.2">
      <c r="BT3904" s="124"/>
      <c r="BU3904" s="124"/>
      <c r="BV3904" s="124"/>
    </row>
    <row r="3905" spans="72:74" x14ac:dyDescent="0.2">
      <c r="BT3905" s="124"/>
      <c r="BU3905" s="124"/>
      <c r="BV3905" s="124"/>
    </row>
    <row r="3906" spans="72:74" x14ac:dyDescent="0.2">
      <c r="BT3906" s="124"/>
      <c r="BU3906" s="124"/>
      <c r="BV3906" s="124"/>
    </row>
    <row r="3907" spans="72:74" x14ac:dyDescent="0.2">
      <c r="BT3907" s="124"/>
      <c r="BU3907" s="124"/>
      <c r="BV3907" s="124"/>
    </row>
    <row r="3908" spans="72:74" x14ac:dyDescent="0.2">
      <c r="BT3908" s="124"/>
      <c r="BU3908" s="124"/>
      <c r="BV3908" s="124"/>
    </row>
    <row r="3909" spans="72:74" x14ac:dyDescent="0.2">
      <c r="BT3909" s="124"/>
      <c r="BU3909" s="124"/>
      <c r="BV3909" s="124"/>
    </row>
    <row r="3910" spans="72:74" x14ac:dyDescent="0.2">
      <c r="BT3910" s="124"/>
      <c r="BU3910" s="124"/>
      <c r="BV3910" s="124"/>
    </row>
    <row r="3911" spans="72:74" x14ac:dyDescent="0.2">
      <c r="BT3911" s="124"/>
      <c r="BU3911" s="124"/>
      <c r="BV3911" s="124"/>
    </row>
    <row r="3912" spans="72:74" x14ac:dyDescent="0.2">
      <c r="BT3912" s="124"/>
      <c r="BU3912" s="124"/>
      <c r="BV3912" s="124"/>
    </row>
    <row r="3913" spans="72:74" x14ac:dyDescent="0.2">
      <c r="BT3913" s="124"/>
      <c r="BU3913" s="124"/>
      <c r="BV3913" s="124"/>
    </row>
    <row r="3914" spans="72:74" x14ac:dyDescent="0.2">
      <c r="BT3914" s="124"/>
      <c r="BU3914" s="124"/>
      <c r="BV3914" s="124"/>
    </row>
    <row r="3915" spans="72:74" x14ac:dyDescent="0.2">
      <c r="BT3915" s="124"/>
      <c r="BU3915" s="124"/>
      <c r="BV3915" s="124"/>
    </row>
    <row r="3916" spans="72:74" x14ac:dyDescent="0.2">
      <c r="BT3916" s="124"/>
      <c r="BU3916" s="124"/>
      <c r="BV3916" s="124"/>
    </row>
    <row r="3917" spans="72:74" x14ac:dyDescent="0.2">
      <c r="BT3917" s="124"/>
      <c r="BU3917" s="124"/>
      <c r="BV3917" s="124"/>
    </row>
    <row r="3918" spans="72:74" x14ac:dyDescent="0.2">
      <c r="BT3918" s="124"/>
      <c r="BU3918" s="124"/>
      <c r="BV3918" s="124"/>
    </row>
    <row r="3919" spans="72:74" x14ac:dyDescent="0.2">
      <c r="BT3919" s="124"/>
      <c r="BU3919" s="124"/>
      <c r="BV3919" s="124"/>
    </row>
    <row r="3920" spans="72:74" x14ac:dyDescent="0.2">
      <c r="BT3920" s="124"/>
      <c r="BU3920" s="124"/>
      <c r="BV3920" s="124"/>
    </row>
    <row r="3921" spans="72:74" x14ac:dyDescent="0.2">
      <c r="BT3921" s="124"/>
      <c r="BU3921" s="124"/>
      <c r="BV3921" s="124"/>
    </row>
    <row r="3922" spans="72:74" x14ac:dyDescent="0.2">
      <c r="BT3922" s="124"/>
      <c r="BU3922" s="124"/>
      <c r="BV3922" s="124"/>
    </row>
    <row r="3923" spans="72:74" x14ac:dyDescent="0.2">
      <c r="BT3923" s="124"/>
      <c r="BU3923" s="124"/>
      <c r="BV3923" s="124"/>
    </row>
    <row r="3924" spans="72:74" x14ac:dyDescent="0.2">
      <c r="BT3924" s="124"/>
      <c r="BU3924" s="124"/>
      <c r="BV3924" s="124"/>
    </row>
    <row r="3925" spans="72:74" x14ac:dyDescent="0.2">
      <c r="BT3925" s="124"/>
      <c r="BU3925" s="124"/>
      <c r="BV3925" s="124"/>
    </row>
    <row r="3926" spans="72:74" x14ac:dyDescent="0.2">
      <c r="BT3926" s="124"/>
      <c r="BU3926" s="124"/>
      <c r="BV3926" s="124"/>
    </row>
    <row r="3927" spans="72:74" x14ac:dyDescent="0.2">
      <c r="BT3927" s="124"/>
      <c r="BU3927" s="124"/>
      <c r="BV3927" s="124"/>
    </row>
    <row r="3928" spans="72:74" x14ac:dyDescent="0.2">
      <c r="BT3928" s="124"/>
      <c r="BU3928" s="124"/>
      <c r="BV3928" s="124"/>
    </row>
    <row r="3929" spans="72:74" x14ac:dyDescent="0.2">
      <c r="BT3929" s="124"/>
      <c r="BU3929" s="124"/>
      <c r="BV3929" s="124"/>
    </row>
    <row r="3930" spans="72:74" x14ac:dyDescent="0.2">
      <c r="BT3930" s="124"/>
      <c r="BU3930" s="124"/>
      <c r="BV3930" s="124"/>
    </row>
    <row r="3931" spans="72:74" x14ac:dyDescent="0.2">
      <c r="BT3931" s="124"/>
      <c r="BU3931" s="124"/>
      <c r="BV3931" s="124"/>
    </row>
    <row r="3932" spans="72:74" x14ac:dyDescent="0.2">
      <c r="BT3932" s="124"/>
      <c r="BU3932" s="124"/>
      <c r="BV3932" s="124"/>
    </row>
    <row r="3933" spans="72:74" x14ac:dyDescent="0.2">
      <c r="BT3933" s="124"/>
      <c r="BU3933" s="124"/>
      <c r="BV3933" s="124"/>
    </row>
    <row r="3934" spans="72:74" x14ac:dyDescent="0.2">
      <c r="BT3934" s="124"/>
      <c r="BU3934" s="124"/>
      <c r="BV3934" s="124"/>
    </row>
    <row r="3935" spans="72:74" x14ac:dyDescent="0.2">
      <c r="BT3935" s="124"/>
      <c r="BU3935" s="124"/>
      <c r="BV3935" s="124"/>
    </row>
    <row r="3936" spans="72:74" x14ac:dyDescent="0.2">
      <c r="BT3936" s="124"/>
      <c r="BU3936" s="124"/>
      <c r="BV3936" s="124"/>
    </row>
    <row r="3937" spans="72:74" x14ac:dyDescent="0.2">
      <c r="BT3937" s="124"/>
      <c r="BU3937" s="124"/>
      <c r="BV3937" s="124"/>
    </row>
    <row r="3938" spans="72:74" x14ac:dyDescent="0.2">
      <c r="BT3938" s="124"/>
      <c r="BU3938" s="124"/>
      <c r="BV3938" s="124"/>
    </row>
    <row r="3939" spans="72:74" x14ac:dyDescent="0.2">
      <c r="BT3939" s="124"/>
      <c r="BU3939" s="124"/>
      <c r="BV3939" s="124"/>
    </row>
    <row r="3940" spans="72:74" x14ac:dyDescent="0.2">
      <c r="BT3940" s="124"/>
      <c r="BU3940" s="124"/>
      <c r="BV3940" s="124"/>
    </row>
    <row r="3941" spans="72:74" x14ac:dyDescent="0.2">
      <c r="BT3941" s="124"/>
      <c r="BU3941" s="124"/>
      <c r="BV3941" s="124"/>
    </row>
    <row r="3942" spans="72:74" x14ac:dyDescent="0.2">
      <c r="BT3942" s="124"/>
      <c r="BU3942" s="124"/>
      <c r="BV3942" s="124"/>
    </row>
    <row r="3943" spans="72:74" x14ac:dyDescent="0.2">
      <c r="BT3943" s="124"/>
      <c r="BU3943" s="124"/>
      <c r="BV3943" s="124"/>
    </row>
    <row r="3944" spans="72:74" x14ac:dyDescent="0.2">
      <c r="BT3944" s="124"/>
      <c r="BU3944" s="124"/>
      <c r="BV3944" s="124"/>
    </row>
    <row r="3945" spans="72:74" x14ac:dyDescent="0.2">
      <c r="BT3945" s="124"/>
      <c r="BU3945" s="124"/>
      <c r="BV3945" s="124"/>
    </row>
    <row r="3946" spans="72:74" x14ac:dyDescent="0.2">
      <c r="BT3946" s="124"/>
      <c r="BU3946" s="124"/>
      <c r="BV3946" s="124"/>
    </row>
    <row r="3947" spans="72:74" x14ac:dyDescent="0.2">
      <c r="BT3947" s="124"/>
      <c r="BU3947" s="124"/>
      <c r="BV3947" s="124"/>
    </row>
    <row r="3948" spans="72:74" x14ac:dyDescent="0.2">
      <c r="BT3948" s="124"/>
      <c r="BU3948" s="124"/>
      <c r="BV3948" s="124"/>
    </row>
    <row r="3949" spans="72:74" x14ac:dyDescent="0.2">
      <c r="BT3949" s="124"/>
      <c r="BU3949" s="124"/>
      <c r="BV3949" s="124"/>
    </row>
    <row r="3950" spans="72:74" x14ac:dyDescent="0.2">
      <c r="BT3950" s="124"/>
      <c r="BU3950" s="124"/>
      <c r="BV3950" s="124"/>
    </row>
    <row r="3951" spans="72:74" x14ac:dyDescent="0.2">
      <c r="BT3951" s="124"/>
      <c r="BU3951" s="124"/>
      <c r="BV3951" s="124"/>
    </row>
    <row r="3952" spans="72:74" x14ac:dyDescent="0.2">
      <c r="BT3952" s="124"/>
      <c r="BU3952" s="124"/>
      <c r="BV3952" s="124"/>
    </row>
    <row r="3953" spans="72:74" x14ac:dyDescent="0.2">
      <c r="BT3953" s="124"/>
      <c r="BU3953" s="124"/>
      <c r="BV3953" s="124"/>
    </row>
    <row r="3954" spans="72:74" x14ac:dyDescent="0.2">
      <c r="BT3954" s="124"/>
      <c r="BU3954" s="124"/>
      <c r="BV3954" s="124"/>
    </row>
    <row r="3955" spans="72:74" x14ac:dyDescent="0.2">
      <c r="BT3955" s="124"/>
      <c r="BU3955" s="124"/>
      <c r="BV3955" s="124"/>
    </row>
    <row r="3956" spans="72:74" x14ac:dyDescent="0.2">
      <c r="BT3956" s="124"/>
      <c r="BU3956" s="124"/>
      <c r="BV3956" s="124"/>
    </row>
    <row r="3957" spans="72:74" x14ac:dyDescent="0.2">
      <c r="BT3957" s="124"/>
      <c r="BU3957" s="124"/>
      <c r="BV3957" s="124"/>
    </row>
    <row r="3958" spans="72:74" x14ac:dyDescent="0.2">
      <c r="BT3958" s="124"/>
      <c r="BU3958" s="124"/>
      <c r="BV3958" s="124"/>
    </row>
    <row r="3959" spans="72:74" x14ac:dyDescent="0.2">
      <c r="BT3959" s="124"/>
      <c r="BU3959" s="124"/>
      <c r="BV3959" s="124"/>
    </row>
    <row r="3960" spans="72:74" x14ac:dyDescent="0.2">
      <c r="BT3960" s="124"/>
      <c r="BU3960" s="124"/>
      <c r="BV3960" s="124"/>
    </row>
    <row r="3961" spans="72:74" x14ac:dyDescent="0.2">
      <c r="BT3961" s="124"/>
      <c r="BU3961" s="124"/>
      <c r="BV3961" s="124"/>
    </row>
    <row r="3962" spans="72:74" x14ac:dyDescent="0.2">
      <c r="BT3962" s="124"/>
      <c r="BU3962" s="124"/>
      <c r="BV3962" s="124"/>
    </row>
    <row r="3963" spans="72:74" x14ac:dyDescent="0.2">
      <c r="BT3963" s="124"/>
      <c r="BU3963" s="124"/>
      <c r="BV3963" s="124"/>
    </row>
    <row r="3964" spans="72:74" x14ac:dyDescent="0.2">
      <c r="BT3964" s="124"/>
      <c r="BU3964" s="124"/>
      <c r="BV3964" s="124"/>
    </row>
    <row r="3965" spans="72:74" x14ac:dyDescent="0.2">
      <c r="BT3965" s="124"/>
      <c r="BU3965" s="124"/>
      <c r="BV3965" s="124"/>
    </row>
    <row r="3966" spans="72:74" x14ac:dyDescent="0.2">
      <c r="BT3966" s="124"/>
      <c r="BU3966" s="124"/>
      <c r="BV3966" s="124"/>
    </row>
    <row r="3967" spans="72:74" x14ac:dyDescent="0.2">
      <c r="BT3967" s="124"/>
      <c r="BU3967" s="124"/>
      <c r="BV3967" s="124"/>
    </row>
    <row r="3968" spans="72:74" x14ac:dyDescent="0.2">
      <c r="BT3968" s="124"/>
      <c r="BU3968" s="124"/>
      <c r="BV3968" s="124"/>
    </row>
    <row r="3969" spans="72:74" x14ac:dyDescent="0.2">
      <c r="BT3969" s="124"/>
      <c r="BU3969" s="124"/>
      <c r="BV3969" s="124"/>
    </row>
    <row r="3970" spans="72:74" x14ac:dyDescent="0.2">
      <c r="BT3970" s="124"/>
      <c r="BU3970" s="124"/>
      <c r="BV3970" s="124"/>
    </row>
    <row r="3971" spans="72:74" x14ac:dyDescent="0.2">
      <c r="BT3971" s="124"/>
      <c r="BU3971" s="124"/>
      <c r="BV3971" s="124"/>
    </row>
    <row r="3972" spans="72:74" x14ac:dyDescent="0.2">
      <c r="BT3972" s="124"/>
      <c r="BU3972" s="124"/>
      <c r="BV3972" s="124"/>
    </row>
    <row r="3973" spans="72:74" x14ac:dyDescent="0.2">
      <c r="BT3973" s="124"/>
      <c r="BU3973" s="124"/>
      <c r="BV3973" s="124"/>
    </row>
    <row r="3974" spans="72:74" x14ac:dyDescent="0.2">
      <c r="BT3974" s="124"/>
      <c r="BU3974" s="124"/>
      <c r="BV3974" s="124"/>
    </row>
    <row r="3975" spans="72:74" x14ac:dyDescent="0.2">
      <c r="BT3975" s="124"/>
      <c r="BU3975" s="124"/>
      <c r="BV3975" s="124"/>
    </row>
    <row r="3976" spans="72:74" x14ac:dyDescent="0.2">
      <c r="BT3976" s="124"/>
      <c r="BU3976" s="124"/>
      <c r="BV3976" s="124"/>
    </row>
    <row r="3977" spans="72:74" x14ac:dyDescent="0.2">
      <c r="BT3977" s="124"/>
      <c r="BU3977" s="124"/>
      <c r="BV3977" s="124"/>
    </row>
    <row r="3978" spans="72:74" x14ac:dyDescent="0.2">
      <c r="BT3978" s="124"/>
      <c r="BU3978" s="124"/>
      <c r="BV3978" s="124"/>
    </row>
    <row r="3979" spans="72:74" x14ac:dyDescent="0.2">
      <c r="BT3979" s="124"/>
      <c r="BU3979" s="124"/>
      <c r="BV3979" s="124"/>
    </row>
    <row r="3980" spans="72:74" x14ac:dyDescent="0.2">
      <c r="BT3980" s="124"/>
      <c r="BU3980" s="124"/>
      <c r="BV3980" s="124"/>
    </row>
    <row r="3981" spans="72:74" x14ac:dyDescent="0.2">
      <c r="BT3981" s="124"/>
      <c r="BU3981" s="124"/>
      <c r="BV3981" s="124"/>
    </row>
    <row r="3982" spans="72:74" x14ac:dyDescent="0.2">
      <c r="BT3982" s="124"/>
      <c r="BU3982" s="124"/>
      <c r="BV3982" s="124"/>
    </row>
    <row r="3983" spans="72:74" x14ac:dyDescent="0.2">
      <c r="BT3983" s="124"/>
      <c r="BU3983" s="124"/>
      <c r="BV3983" s="124"/>
    </row>
    <row r="3984" spans="72:74" x14ac:dyDescent="0.2">
      <c r="BT3984" s="124"/>
      <c r="BU3984" s="124"/>
      <c r="BV3984" s="124"/>
    </row>
    <row r="3985" spans="72:74" x14ac:dyDescent="0.2">
      <c r="BT3985" s="124"/>
      <c r="BU3985" s="124"/>
      <c r="BV3985" s="124"/>
    </row>
    <row r="3986" spans="72:74" x14ac:dyDescent="0.2">
      <c r="BT3986" s="124"/>
      <c r="BU3986" s="124"/>
      <c r="BV3986" s="124"/>
    </row>
    <row r="3987" spans="72:74" x14ac:dyDescent="0.2">
      <c r="BT3987" s="124"/>
      <c r="BU3987" s="124"/>
      <c r="BV3987" s="124"/>
    </row>
    <row r="3988" spans="72:74" x14ac:dyDescent="0.2">
      <c r="BT3988" s="124"/>
      <c r="BU3988" s="124"/>
      <c r="BV3988" s="124"/>
    </row>
    <row r="3989" spans="72:74" x14ac:dyDescent="0.2">
      <c r="BT3989" s="124"/>
      <c r="BU3989" s="124"/>
      <c r="BV3989" s="124"/>
    </row>
    <row r="3990" spans="72:74" x14ac:dyDescent="0.2">
      <c r="BT3990" s="124"/>
      <c r="BU3990" s="124"/>
      <c r="BV3990" s="124"/>
    </row>
    <row r="3991" spans="72:74" x14ac:dyDescent="0.2">
      <c r="BT3991" s="124"/>
      <c r="BU3991" s="124"/>
      <c r="BV3991" s="124"/>
    </row>
    <row r="3992" spans="72:74" x14ac:dyDescent="0.2">
      <c r="BT3992" s="124"/>
      <c r="BU3992" s="124"/>
      <c r="BV3992" s="124"/>
    </row>
    <row r="3993" spans="72:74" x14ac:dyDescent="0.2">
      <c r="BT3993" s="124"/>
      <c r="BU3993" s="124"/>
      <c r="BV3993" s="124"/>
    </row>
    <row r="3994" spans="72:74" x14ac:dyDescent="0.2">
      <c r="BT3994" s="124"/>
      <c r="BU3994" s="124"/>
      <c r="BV3994" s="124"/>
    </row>
    <row r="3995" spans="72:74" x14ac:dyDescent="0.2">
      <c r="BT3995" s="124"/>
      <c r="BU3995" s="124"/>
      <c r="BV3995" s="124"/>
    </row>
    <row r="3996" spans="72:74" x14ac:dyDescent="0.2">
      <c r="BT3996" s="124"/>
      <c r="BU3996" s="124"/>
      <c r="BV3996" s="124"/>
    </row>
    <row r="3997" spans="72:74" x14ac:dyDescent="0.2">
      <c r="BT3997" s="124"/>
      <c r="BU3997" s="124"/>
      <c r="BV3997" s="124"/>
    </row>
    <row r="3998" spans="72:74" x14ac:dyDescent="0.2">
      <c r="BT3998" s="124"/>
      <c r="BU3998" s="124"/>
      <c r="BV3998" s="124"/>
    </row>
    <row r="3999" spans="72:74" x14ac:dyDescent="0.2">
      <c r="BT3999" s="124"/>
      <c r="BU3999" s="124"/>
      <c r="BV3999" s="124"/>
    </row>
    <row r="4000" spans="72:74" x14ac:dyDescent="0.2">
      <c r="BT4000" s="124"/>
      <c r="BU4000" s="124"/>
      <c r="BV4000" s="124"/>
    </row>
    <row r="4001" spans="72:74" x14ac:dyDescent="0.2">
      <c r="BT4001" s="124"/>
      <c r="BU4001" s="124"/>
      <c r="BV4001" s="124"/>
    </row>
    <row r="4002" spans="72:74" x14ac:dyDescent="0.2">
      <c r="BT4002" s="124"/>
      <c r="BU4002" s="124"/>
      <c r="BV4002" s="124"/>
    </row>
    <row r="4003" spans="72:74" x14ac:dyDescent="0.2">
      <c r="BT4003" s="124"/>
      <c r="BU4003" s="124"/>
      <c r="BV4003" s="124"/>
    </row>
    <row r="4004" spans="72:74" x14ac:dyDescent="0.2">
      <c r="BT4004" s="124"/>
      <c r="BU4004" s="124"/>
      <c r="BV4004" s="124"/>
    </row>
    <row r="4005" spans="72:74" x14ac:dyDescent="0.2">
      <c r="BT4005" s="124"/>
      <c r="BU4005" s="124"/>
      <c r="BV4005" s="124"/>
    </row>
    <row r="4006" spans="72:74" x14ac:dyDescent="0.2">
      <c r="BT4006" s="124"/>
      <c r="BU4006" s="124"/>
      <c r="BV4006" s="124"/>
    </row>
    <row r="4007" spans="72:74" x14ac:dyDescent="0.2">
      <c r="BT4007" s="124"/>
      <c r="BU4007" s="124"/>
      <c r="BV4007" s="124"/>
    </row>
    <row r="4008" spans="72:74" x14ac:dyDescent="0.2">
      <c r="BT4008" s="124"/>
      <c r="BU4008" s="124"/>
      <c r="BV4008" s="124"/>
    </row>
    <row r="4009" spans="72:74" x14ac:dyDescent="0.2">
      <c r="BT4009" s="124"/>
      <c r="BU4009" s="124"/>
      <c r="BV4009" s="124"/>
    </row>
    <row r="4010" spans="72:74" x14ac:dyDescent="0.2">
      <c r="BT4010" s="124"/>
      <c r="BU4010" s="124"/>
      <c r="BV4010" s="124"/>
    </row>
    <row r="4011" spans="72:74" x14ac:dyDescent="0.2">
      <c r="BT4011" s="124"/>
      <c r="BU4011" s="124"/>
      <c r="BV4011" s="124"/>
    </row>
    <row r="4012" spans="72:74" x14ac:dyDescent="0.2">
      <c r="BT4012" s="124"/>
      <c r="BU4012" s="124"/>
      <c r="BV4012" s="124"/>
    </row>
    <row r="4013" spans="72:74" x14ac:dyDescent="0.2">
      <c r="BT4013" s="124"/>
      <c r="BU4013" s="124"/>
      <c r="BV4013" s="124"/>
    </row>
    <row r="4014" spans="72:74" x14ac:dyDescent="0.2">
      <c r="BT4014" s="124"/>
      <c r="BU4014" s="124"/>
      <c r="BV4014" s="124"/>
    </row>
    <row r="4015" spans="72:74" x14ac:dyDescent="0.2">
      <c r="BT4015" s="124"/>
      <c r="BU4015" s="124"/>
      <c r="BV4015" s="124"/>
    </row>
    <row r="4016" spans="72:74" x14ac:dyDescent="0.2">
      <c r="BT4016" s="124"/>
      <c r="BU4016" s="124"/>
      <c r="BV4016" s="124"/>
    </row>
    <row r="4017" spans="72:74" x14ac:dyDescent="0.2">
      <c r="BT4017" s="124"/>
      <c r="BU4017" s="124"/>
      <c r="BV4017" s="124"/>
    </row>
    <row r="4018" spans="72:74" x14ac:dyDescent="0.2">
      <c r="BT4018" s="124"/>
      <c r="BU4018" s="124"/>
      <c r="BV4018" s="124"/>
    </row>
    <row r="4019" spans="72:74" x14ac:dyDescent="0.2">
      <c r="BT4019" s="124"/>
      <c r="BU4019" s="124"/>
      <c r="BV4019" s="124"/>
    </row>
    <row r="4020" spans="72:74" x14ac:dyDescent="0.2">
      <c r="BT4020" s="124"/>
      <c r="BU4020" s="124"/>
      <c r="BV4020" s="124"/>
    </row>
    <row r="4021" spans="72:74" x14ac:dyDescent="0.2">
      <c r="BT4021" s="124"/>
      <c r="BU4021" s="124"/>
      <c r="BV4021" s="124"/>
    </row>
    <row r="4022" spans="72:74" x14ac:dyDescent="0.2">
      <c r="BT4022" s="124"/>
      <c r="BU4022" s="124"/>
      <c r="BV4022" s="124"/>
    </row>
    <row r="4023" spans="72:74" x14ac:dyDescent="0.2">
      <c r="BT4023" s="124"/>
      <c r="BU4023" s="124"/>
      <c r="BV4023" s="124"/>
    </row>
    <row r="4024" spans="72:74" x14ac:dyDescent="0.2">
      <c r="BT4024" s="124"/>
      <c r="BU4024" s="124"/>
      <c r="BV4024" s="124"/>
    </row>
    <row r="4025" spans="72:74" x14ac:dyDescent="0.2">
      <c r="BT4025" s="124"/>
      <c r="BU4025" s="124"/>
      <c r="BV4025" s="124"/>
    </row>
    <row r="4026" spans="72:74" x14ac:dyDescent="0.2">
      <c r="BT4026" s="124"/>
      <c r="BU4026" s="124"/>
      <c r="BV4026" s="124"/>
    </row>
    <row r="4027" spans="72:74" x14ac:dyDescent="0.2">
      <c r="BT4027" s="124"/>
      <c r="BU4027" s="124"/>
      <c r="BV4027" s="124"/>
    </row>
    <row r="4028" spans="72:74" x14ac:dyDescent="0.2">
      <c r="BT4028" s="124"/>
      <c r="BU4028" s="124"/>
      <c r="BV4028" s="124"/>
    </row>
    <row r="4029" spans="72:74" x14ac:dyDescent="0.2">
      <c r="BT4029" s="124"/>
      <c r="BU4029" s="124"/>
      <c r="BV4029" s="124"/>
    </row>
    <row r="4030" spans="72:74" x14ac:dyDescent="0.2">
      <c r="BT4030" s="124"/>
      <c r="BU4030" s="124"/>
      <c r="BV4030" s="124"/>
    </row>
    <row r="4031" spans="72:74" x14ac:dyDescent="0.2">
      <c r="BT4031" s="124"/>
      <c r="BU4031" s="124"/>
      <c r="BV4031" s="124"/>
    </row>
    <row r="4032" spans="72:74" x14ac:dyDescent="0.2">
      <c r="BT4032" s="124"/>
      <c r="BU4032" s="124"/>
      <c r="BV4032" s="124"/>
    </row>
    <row r="4033" spans="72:74" x14ac:dyDescent="0.2">
      <c r="BT4033" s="124"/>
      <c r="BU4033" s="124"/>
      <c r="BV4033" s="124"/>
    </row>
    <row r="4034" spans="72:74" x14ac:dyDescent="0.2">
      <c r="BT4034" s="124"/>
      <c r="BU4034" s="124"/>
      <c r="BV4034" s="124"/>
    </row>
    <row r="4035" spans="72:74" x14ac:dyDescent="0.2">
      <c r="BT4035" s="124"/>
      <c r="BU4035" s="124"/>
      <c r="BV4035" s="124"/>
    </row>
    <row r="4036" spans="72:74" x14ac:dyDescent="0.2">
      <c r="BT4036" s="124"/>
      <c r="BU4036" s="124"/>
      <c r="BV4036" s="124"/>
    </row>
    <row r="4037" spans="72:74" x14ac:dyDescent="0.2">
      <c r="BT4037" s="124"/>
      <c r="BU4037" s="124"/>
      <c r="BV4037" s="124"/>
    </row>
    <row r="4038" spans="72:74" x14ac:dyDescent="0.2">
      <c r="BT4038" s="124"/>
      <c r="BU4038" s="124"/>
      <c r="BV4038" s="124"/>
    </row>
    <row r="4039" spans="72:74" x14ac:dyDescent="0.2">
      <c r="BT4039" s="124"/>
      <c r="BU4039" s="124"/>
      <c r="BV4039" s="124"/>
    </row>
    <row r="4040" spans="72:74" x14ac:dyDescent="0.2">
      <c r="BT4040" s="124"/>
      <c r="BU4040" s="124"/>
      <c r="BV4040" s="124"/>
    </row>
    <row r="4041" spans="72:74" x14ac:dyDescent="0.2">
      <c r="BT4041" s="124"/>
      <c r="BU4041" s="124"/>
      <c r="BV4041" s="124"/>
    </row>
    <row r="4042" spans="72:74" x14ac:dyDescent="0.2">
      <c r="BT4042" s="124"/>
      <c r="BU4042" s="124"/>
      <c r="BV4042" s="124"/>
    </row>
    <row r="4043" spans="72:74" x14ac:dyDescent="0.2">
      <c r="BT4043" s="124"/>
      <c r="BU4043" s="124"/>
      <c r="BV4043" s="124"/>
    </row>
    <row r="4044" spans="72:74" x14ac:dyDescent="0.2">
      <c r="BT4044" s="124"/>
      <c r="BU4044" s="124"/>
      <c r="BV4044" s="124"/>
    </row>
    <row r="4045" spans="72:74" x14ac:dyDescent="0.2">
      <c r="BT4045" s="124"/>
      <c r="BU4045" s="124"/>
      <c r="BV4045" s="124"/>
    </row>
    <row r="4046" spans="72:74" x14ac:dyDescent="0.2">
      <c r="BT4046" s="124"/>
      <c r="BU4046" s="124"/>
      <c r="BV4046" s="124"/>
    </row>
    <row r="4047" spans="72:74" x14ac:dyDescent="0.2">
      <c r="BT4047" s="124"/>
      <c r="BU4047" s="124"/>
      <c r="BV4047" s="124"/>
    </row>
    <row r="4048" spans="72:74" x14ac:dyDescent="0.2">
      <c r="BT4048" s="124"/>
      <c r="BU4048" s="124"/>
      <c r="BV4048" s="124"/>
    </row>
    <row r="4049" spans="72:74" x14ac:dyDescent="0.2">
      <c r="BT4049" s="124"/>
      <c r="BU4049" s="124"/>
      <c r="BV4049" s="124"/>
    </row>
    <row r="4050" spans="72:74" x14ac:dyDescent="0.2">
      <c r="BT4050" s="124"/>
      <c r="BU4050" s="124"/>
      <c r="BV4050" s="124"/>
    </row>
    <row r="4051" spans="72:74" x14ac:dyDescent="0.2">
      <c r="BT4051" s="124"/>
      <c r="BU4051" s="124"/>
      <c r="BV4051" s="124"/>
    </row>
    <row r="4052" spans="72:74" x14ac:dyDescent="0.2">
      <c r="BT4052" s="124"/>
      <c r="BU4052" s="124"/>
      <c r="BV4052" s="124"/>
    </row>
    <row r="4053" spans="72:74" x14ac:dyDescent="0.2">
      <c r="BT4053" s="124"/>
      <c r="BU4053" s="124"/>
      <c r="BV4053" s="124"/>
    </row>
    <row r="4054" spans="72:74" x14ac:dyDescent="0.2">
      <c r="BT4054" s="124"/>
      <c r="BU4054" s="124"/>
      <c r="BV4054" s="124"/>
    </row>
    <row r="4055" spans="72:74" x14ac:dyDescent="0.2">
      <c r="BT4055" s="124"/>
      <c r="BU4055" s="124"/>
      <c r="BV4055" s="124"/>
    </row>
    <row r="4056" spans="72:74" x14ac:dyDescent="0.2">
      <c r="BT4056" s="124"/>
      <c r="BU4056" s="124"/>
      <c r="BV4056" s="124"/>
    </row>
    <row r="4057" spans="72:74" x14ac:dyDescent="0.2">
      <c r="BT4057" s="124"/>
      <c r="BU4057" s="124"/>
      <c r="BV4057" s="124"/>
    </row>
    <row r="4058" spans="72:74" x14ac:dyDescent="0.2">
      <c r="BT4058" s="124"/>
      <c r="BU4058" s="124"/>
      <c r="BV4058" s="124"/>
    </row>
    <row r="4059" spans="72:74" x14ac:dyDescent="0.2">
      <c r="BT4059" s="124"/>
      <c r="BU4059" s="124"/>
      <c r="BV4059" s="124"/>
    </row>
    <row r="4060" spans="72:74" x14ac:dyDescent="0.2">
      <c r="BT4060" s="124"/>
      <c r="BU4060" s="124"/>
      <c r="BV4060" s="124"/>
    </row>
    <row r="4061" spans="72:74" x14ac:dyDescent="0.2">
      <c r="BT4061" s="124"/>
      <c r="BU4061" s="124"/>
      <c r="BV4061" s="124"/>
    </row>
    <row r="4062" spans="72:74" x14ac:dyDescent="0.2">
      <c r="BT4062" s="124"/>
      <c r="BU4062" s="124"/>
      <c r="BV4062" s="124"/>
    </row>
    <row r="4063" spans="72:74" x14ac:dyDescent="0.2">
      <c r="BT4063" s="124"/>
      <c r="BU4063" s="124"/>
      <c r="BV4063" s="124"/>
    </row>
    <row r="4064" spans="72:74" x14ac:dyDescent="0.2">
      <c r="BT4064" s="124"/>
      <c r="BU4064" s="124"/>
      <c r="BV4064" s="124"/>
    </row>
    <row r="4065" spans="72:74" x14ac:dyDescent="0.2">
      <c r="BT4065" s="124"/>
      <c r="BU4065" s="124"/>
      <c r="BV4065" s="124"/>
    </row>
    <row r="4066" spans="72:74" x14ac:dyDescent="0.2">
      <c r="BT4066" s="124"/>
      <c r="BU4066" s="124"/>
      <c r="BV4066" s="124"/>
    </row>
    <row r="4067" spans="72:74" x14ac:dyDescent="0.2">
      <c r="BT4067" s="124"/>
      <c r="BU4067" s="124"/>
      <c r="BV4067" s="124"/>
    </row>
    <row r="4068" spans="72:74" x14ac:dyDescent="0.2">
      <c r="BT4068" s="124"/>
      <c r="BU4068" s="124"/>
      <c r="BV4068" s="124"/>
    </row>
    <row r="4069" spans="72:74" x14ac:dyDescent="0.2">
      <c r="BT4069" s="124"/>
      <c r="BU4069" s="124"/>
      <c r="BV4069" s="124"/>
    </row>
    <row r="4070" spans="72:74" x14ac:dyDescent="0.2">
      <c r="BT4070" s="124"/>
      <c r="BU4070" s="124"/>
      <c r="BV4070" s="124"/>
    </row>
    <row r="4071" spans="72:74" x14ac:dyDescent="0.2">
      <c r="BT4071" s="124"/>
      <c r="BU4071" s="124"/>
      <c r="BV4071" s="124"/>
    </row>
    <row r="4072" spans="72:74" x14ac:dyDescent="0.2">
      <c r="BT4072" s="124"/>
      <c r="BU4072" s="124"/>
      <c r="BV4072" s="124"/>
    </row>
    <row r="4073" spans="72:74" x14ac:dyDescent="0.2">
      <c r="BT4073" s="124"/>
      <c r="BU4073" s="124"/>
      <c r="BV4073" s="124"/>
    </row>
    <row r="4074" spans="72:74" x14ac:dyDescent="0.2">
      <c r="BT4074" s="124"/>
      <c r="BU4074" s="124"/>
      <c r="BV4074" s="124"/>
    </row>
    <row r="4075" spans="72:74" x14ac:dyDescent="0.2">
      <c r="BT4075" s="124"/>
      <c r="BU4075" s="124"/>
      <c r="BV4075" s="124"/>
    </row>
    <row r="4076" spans="72:74" x14ac:dyDescent="0.2">
      <c r="BT4076" s="124"/>
      <c r="BU4076" s="124"/>
      <c r="BV4076" s="124"/>
    </row>
    <row r="4077" spans="72:74" x14ac:dyDescent="0.2">
      <c r="BT4077" s="124"/>
      <c r="BU4077" s="124"/>
      <c r="BV4077" s="124"/>
    </row>
    <row r="4078" spans="72:74" x14ac:dyDescent="0.2">
      <c r="BT4078" s="124"/>
      <c r="BU4078" s="124"/>
      <c r="BV4078" s="124"/>
    </row>
    <row r="4079" spans="72:74" x14ac:dyDescent="0.2">
      <c r="BT4079" s="124"/>
      <c r="BU4079" s="124"/>
      <c r="BV4079" s="124"/>
    </row>
    <row r="4080" spans="72:74" x14ac:dyDescent="0.2">
      <c r="BT4080" s="124"/>
      <c r="BU4080" s="124"/>
      <c r="BV4080" s="124"/>
    </row>
    <row r="4081" spans="72:74" x14ac:dyDescent="0.2">
      <c r="BT4081" s="124"/>
      <c r="BU4081" s="124"/>
      <c r="BV4081" s="124"/>
    </row>
    <row r="4082" spans="72:74" x14ac:dyDescent="0.2">
      <c r="BT4082" s="124"/>
      <c r="BU4082" s="124"/>
      <c r="BV4082" s="124"/>
    </row>
    <row r="4083" spans="72:74" x14ac:dyDescent="0.2">
      <c r="BT4083" s="124"/>
      <c r="BU4083" s="124"/>
      <c r="BV4083" s="124"/>
    </row>
    <row r="4084" spans="72:74" x14ac:dyDescent="0.2">
      <c r="BT4084" s="124"/>
      <c r="BU4084" s="124"/>
      <c r="BV4084" s="124"/>
    </row>
    <row r="4085" spans="72:74" x14ac:dyDescent="0.2">
      <c r="BT4085" s="124"/>
      <c r="BU4085" s="124"/>
      <c r="BV4085" s="124"/>
    </row>
    <row r="4086" spans="72:74" x14ac:dyDescent="0.2">
      <c r="BT4086" s="124"/>
      <c r="BU4086" s="124"/>
      <c r="BV4086" s="124"/>
    </row>
    <row r="4087" spans="72:74" x14ac:dyDescent="0.2">
      <c r="BT4087" s="124"/>
      <c r="BU4087" s="124"/>
      <c r="BV4087" s="124"/>
    </row>
    <row r="4088" spans="72:74" x14ac:dyDescent="0.2">
      <c r="BT4088" s="124"/>
      <c r="BU4088" s="124"/>
      <c r="BV4088" s="124"/>
    </row>
    <row r="4089" spans="72:74" x14ac:dyDescent="0.2">
      <c r="BT4089" s="124"/>
      <c r="BU4089" s="124"/>
      <c r="BV4089" s="124"/>
    </row>
    <row r="4090" spans="72:74" x14ac:dyDescent="0.2">
      <c r="BT4090" s="124"/>
      <c r="BU4090" s="124"/>
      <c r="BV4090" s="124"/>
    </row>
    <row r="4091" spans="72:74" x14ac:dyDescent="0.2">
      <c r="BT4091" s="124"/>
      <c r="BU4091" s="124"/>
      <c r="BV4091" s="124"/>
    </row>
    <row r="4092" spans="72:74" x14ac:dyDescent="0.2">
      <c r="BT4092" s="124"/>
      <c r="BU4092" s="124"/>
      <c r="BV4092" s="124"/>
    </row>
    <row r="4093" spans="72:74" x14ac:dyDescent="0.2">
      <c r="BT4093" s="124"/>
      <c r="BU4093" s="124"/>
      <c r="BV4093" s="124"/>
    </row>
    <row r="4094" spans="72:74" x14ac:dyDescent="0.2">
      <c r="BT4094" s="124"/>
      <c r="BU4094" s="124"/>
      <c r="BV4094" s="124"/>
    </row>
    <row r="4095" spans="72:74" x14ac:dyDescent="0.2">
      <c r="BT4095" s="124"/>
      <c r="BU4095" s="124"/>
      <c r="BV4095" s="124"/>
    </row>
    <row r="4096" spans="72:74" x14ac:dyDescent="0.2">
      <c r="BT4096" s="124"/>
      <c r="BU4096" s="124"/>
      <c r="BV4096" s="124"/>
    </row>
    <row r="4097" spans="72:74" x14ac:dyDescent="0.2">
      <c r="BT4097" s="124"/>
      <c r="BU4097" s="124"/>
      <c r="BV4097" s="124"/>
    </row>
    <row r="4098" spans="72:74" x14ac:dyDescent="0.2">
      <c r="BT4098" s="124"/>
      <c r="BU4098" s="124"/>
      <c r="BV4098" s="124"/>
    </row>
    <row r="4099" spans="72:74" x14ac:dyDescent="0.2">
      <c r="BT4099" s="124"/>
      <c r="BU4099" s="124"/>
      <c r="BV4099" s="124"/>
    </row>
    <row r="4100" spans="72:74" x14ac:dyDescent="0.2">
      <c r="BT4100" s="124"/>
      <c r="BU4100" s="124"/>
      <c r="BV4100" s="124"/>
    </row>
    <row r="4101" spans="72:74" x14ac:dyDescent="0.2">
      <c r="BT4101" s="124"/>
      <c r="BU4101" s="124"/>
      <c r="BV4101" s="124"/>
    </row>
    <row r="4102" spans="72:74" x14ac:dyDescent="0.2">
      <c r="BT4102" s="124"/>
      <c r="BU4102" s="124"/>
      <c r="BV4102" s="124"/>
    </row>
    <row r="4103" spans="72:74" x14ac:dyDescent="0.2">
      <c r="BT4103" s="124"/>
      <c r="BU4103" s="124"/>
      <c r="BV4103" s="124"/>
    </row>
    <row r="4104" spans="72:74" x14ac:dyDescent="0.2">
      <c r="BT4104" s="124"/>
      <c r="BU4104" s="124"/>
      <c r="BV4104" s="124"/>
    </row>
    <row r="4105" spans="72:74" x14ac:dyDescent="0.2">
      <c r="BT4105" s="124"/>
      <c r="BU4105" s="124"/>
      <c r="BV4105" s="124"/>
    </row>
    <row r="4106" spans="72:74" x14ac:dyDescent="0.2">
      <c r="BT4106" s="124"/>
      <c r="BU4106" s="124"/>
      <c r="BV4106" s="124"/>
    </row>
    <row r="4107" spans="72:74" x14ac:dyDescent="0.2">
      <c r="BT4107" s="124"/>
      <c r="BU4107" s="124"/>
      <c r="BV4107" s="124"/>
    </row>
    <row r="4108" spans="72:74" x14ac:dyDescent="0.2">
      <c r="BT4108" s="124"/>
      <c r="BU4108" s="124"/>
      <c r="BV4108" s="124"/>
    </row>
    <row r="4109" spans="72:74" x14ac:dyDescent="0.2">
      <c r="BT4109" s="124"/>
      <c r="BU4109" s="124"/>
      <c r="BV4109" s="124"/>
    </row>
    <row r="4110" spans="72:74" x14ac:dyDescent="0.2">
      <c r="BT4110" s="124"/>
      <c r="BU4110" s="124"/>
      <c r="BV4110" s="124"/>
    </row>
    <row r="4111" spans="72:74" x14ac:dyDescent="0.2">
      <c r="BT4111" s="124"/>
      <c r="BU4111" s="124"/>
      <c r="BV4111" s="124"/>
    </row>
    <row r="4112" spans="72:74" x14ac:dyDescent="0.2">
      <c r="BT4112" s="124"/>
      <c r="BU4112" s="124"/>
      <c r="BV4112" s="124"/>
    </row>
    <row r="4113" spans="72:74" x14ac:dyDescent="0.2">
      <c r="BT4113" s="124"/>
      <c r="BU4113" s="124"/>
      <c r="BV4113" s="124"/>
    </row>
    <row r="4114" spans="72:74" x14ac:dyDescent="0.2">
      <c r="BT4114" s="124"/>
      <c r="BU4114" s="124"/>
      <c r="BV4114" s="124"/>
    </row>
    <row r="4115" spans="72:74" x14ac:dyDescent="0.2">
      <c r="BT4115" s="124"/>
      <c r="BU4115" s="124"/>
      <c r="BV4115" s="124"/>
    </row>
    <row r="4116" spans="72:74" x14ac:dyDescent="0.2">
      <c r="BT4116" s="124"/>
      <c r="BU4116" s="124"/>
      <c r="BV4116" s="124"/>
    </row>
    <row r="4117" spans="72:74" x14ac:dyDescent="0.2">
      <c r="BT4117" s="124"/>
      <c r="BU4117" s="124"/>
      <c r="BV4117" s="124"/>
    </row>
    <row r="4118" spans="72:74" x14ac:dyDescent="0.2">
      <c r="BT4118" s="124"/>
      <c r="BU4118" s="124"/>
      <c r="BV4118" s="124"/>
    </row>
    <row r="4119" spans="72:74" x14ac:dyDescent="0.2">
      <c r="BT4119" s="124"/>
      <c r="BU4119" s="124"/>
      <c r="BV4119" s="124"/>
    </row>
    <row r="4120" spans="72:74" x14ac:dyDescent="0.2">
      <c r="BT4120" s="124"/>
      <c r="BU4120" s="124"/>
      <c r="BV4120" s="124"/>
    </row>
    <row r="4121" spans="72:74" x14ac:dyDescent="0.2">
      <c r="BT4121" s="124"/>
      <c r="BU4121" s="124"/>
      <c r="BV4121" s="124"/>
    </row>
    <row r="4122" spans="72:74" x14ac:dyDescent="0.2">
      <c r="BT4122" s="124"/>
      <c r="BU4122" s="124"/>
      <c r="BV4122" s="124"/>
    </row>
    <row r="4123" spans="72:74" x14ac:dyDescent="0.2">
      <c r="BT4123" s="124"/>
      <c r="BU4123" s="124"/>
      <c r="BV4123" s="124"/>
    </row>
    <row r="4124" spans="72:74" x14ac:dyDescent="0.2">
      <c r="BT4124" s="124"/>
      <c r="BU4124" s="124"/>
      <c r="BV4124" s="124"/>
    </row>
    <row r="4125" spans="72:74" x14ac:dyDescent="0.2">
      <c r="BT4125" s="124"/>
      <c r="BU4125" s="124"/>
      <c r="BV4125" s="124"/>
    </row>
    <row r="4126" spans="72:74" x14ac:dyDescent="0.2">
      <c r="BT4126" s="124"/>
      <c r="BU4126" s="124"/>
      <c r="BV4126" s="124"/>
    </row>
    <row r="4127" spans="72:74" x14ac:dyDescent="0.2">
      <c r="BT4127" s="124"/>
      <c r="BU4127" s="124"/>
      <c r="BV4127" s="124"/>
    </row>
    <row r="4128" spans="72:74" x14ac:dyDescent="0.2">
      <c r="BT4128" s="124"/>
      <c r="BU4128" s="124"/>
      <c r="BV4128" s="124"/>
    </row>
    <row r="4129" spans="72:74" x14ac:dyDescent="0.2">
      <c r="BT4129" s="124"/>
      <c r="BU4129" s="124"/>
      <c r="BV4129" s="124"/>
    </row>
    <row r="4130" spans="72:74" x14ac:dyDescent="0.2">
      <c r="BT4130" s="124"/>
      <c r="BU4130" s="124"/>
      <c r="BV4130" s="124"/>
    </row>
    <row r="4131" spans="72:74" x14ac:dyDescent="0.2">
      <c r="BT4131" s="124"/>
      <c r="BU4131" s="124"/>
      <c r="BV4131" s="124"/>
    </row>
    <row r="4132" spans="72:74" x14ac:dyDescent="0.2">
      <c r="BT4132" s="124"/>
      <c r="BU4132" s="124"/>
      <c r="BV4132" s="124"/>
    </row>
    <row r="4133" spans="72:74" x14ac:dyDescent="0.2">
      <c r="BT4133" s="124"/>
      <c r="BU4133" s="124"/>
      <c r="BV4133" s="124"/>
    </row>
    <row r="4134" spans="72:74" x14ac:dyDescent="0.2">
      <c r="BT4134" s="124"/>
      <c r="BU4134" s="124"/>
      <c r="BV4134" s="124"/>
    </row>
    <row r="4135" spans="72:74" x14ac:dyDescent="0.2">
      <c r="BT4135" s="124"/>
      <c r="BU4135" s="124"/>
      <c r="BV4135" s="124"/>
    </row>
    <row r="4136" spans="72:74" x14ac:dyDescent="0.2">
      <c r="BT4136" s="124"/>
      <c r="BU4136" s="124"/>
      <c r="BV4136" s="124"/>
    </row>
    <row r="4137" spans="72:74" x14ac:dyDescent="0.2">
      <c r="BT4137" s="124"/>
      <c r="BU4137" s="124"/>
      <c r="BV4137" s="124"/>
    </row>
    <row r="4138" spans="72:74" x14ac:dyDescent="0.2">
      <c r="BT4138" s="124"/>
      <c r="BU4138" s="124"/>
      <c r="BV4138" s="124"/>
    </row>
    <row r="4139" spans="72:74" x14ac:dyDescent="0.2">
      <c r="BT4139" s="124"/>
      <c r="BU4139" s="124"/>
      <c r="BV4139" s="124"/>
    </row>
    <row r="4140" spans="72:74" x14ac:dyDescent="0.2">
      <c r="BT4140" s="124"/>
      <c r="BU4140" s="124"/>
      <c r="BV4140" s="124"/>
    </row>
    <row r="4141" spans="72:74" x14ac:dyDescent="0.2">
      <c r="BT4141" s="124"/>
      <c r="BU4141" s="124"/>
      <c r="BV4141" s="124"/>
    </row>
    <row r="4142" spans="72:74" x14ac:dyDescent="0.2">
      <c r="BT4142" s="124"/>
      <c r="BU4142" s="124"/>
      <c r="BV4142" s="124"/>
    </row>
    <row r="4143" spans="72:74" x14ac:dyDescent="0.2">
      <c r="BT4143" s="124"/>
      <c r="BU4143" s="124"/>
      <c r="BV4143" s="124"/>
    </row>
    <row r="4144" spans="72:74" x14ac:dyDescent="0.2">
      <c r="BT4144" s="124"/>
      <c r="BU4144" s="124"/>
      <c r="BV4144" s="124"/>
    </row>
    <row r="4145" spans="72:74" x14ac:dyDescent="0.2">
      <c r="BT4145" s="124"/>
      <c r="BU4145" s="124"/>
      <c r="BV4145" s="124"/>
    </row>
    <row r="4146" spans="72:74" x14ac:dyDescent="0.2">
      <c r="BT4146" s="124"/>
      <c r="BU4146" s="124"/>
      <c r="BV4146" s="124"/>
    </row>
    <row r="4147" spans="72:74" x14ac:dyDescent="0.2">
      <c r="BT4147" s="124"/>
      <c r="BU4147" s="124"/>
      <c r="BV4147" s="124"/>
    </row>
    <row r="4148" spans="72:74" x14ac:dyDescent="0.2">
      <c r="BT4148" s="124"/>
      <c r="BU4148" s="124"/>
      <c r="BV4148" s="124"/>
    </row>
    <row r="4149" spans="72:74" x14ac:dyDescent="0.2">
      <c r="BT4149" s="124"/>
      <c r="BU4149" s="124"/>
      <c r="BV4149" s="124"/>
    </row>
    <row r="4150" spans="72:74" x14ac:dyDescent="0.2">
      <c r="BT4150" s="124"/>
      <c r="BU4150" s="124"/>
      <c r="BV4150" s="124"/>
    </row>
    <row r="4151" spans="72:74" x14ac:dyDescent="0.2">
      <c r="BT4151" s="124"/>
      <c r="BU4151" s="124"/>
      <c r="BV4151" s="124"/>
    </row>
    <row r="4152" spans="72:74" x14ac:dyDescent="0.2">
      <c r="BT4152" s="124"/>
      <c r="BU4152" s="124"/>
      <c r="BV4152" s="124"/>
    </row>
    <row r="4153" spans="72:74" x14ac:dyDescent="0.2">
      <c r="BT4153" s="124"/>
      <c r="BU4153" s="124"/>
      <c r="BV4153" s="124"/>
    </row>
    <row r="4154" spans="72:74" x14ac:dyDescent="0.2">
      <c r="BT4154" s="124"/>
      <c r="BU4154" s="124"/>
      <c r="BV4154" s="124"/>
    </row>
    <row r="4155" spans="72:74" x14ac:dyDescent="0.2">
      <c r="BT4155" s="124"/>
      <c r="BU4155" s="124"/>
      <c r="BV4155" s="124"/>
    </row>
    <row r="4156" spans="72:74" x14ac:dyDescent="0.2">
      <c r="BT4156" s="124"/>
      <c r="BU4156" s="124"/>
      <c r="BV4156" s="124"/>
    </row>
    <row r="4157" spans="72:74" x14ac:dyDescent="0.2">
      <c r="BT4157" s="124"/>
      <c r="BU4157" s="124"/>
      <c r="BV4157" s="124"/>
    </row>
    <row r="4158" spans="72:74" x14ac:dyDescent="0.2">
      <c r="BT4158" s="124"/>
      <c r="BU4158" s="124"/>
      <c r="BV4158" s="124"/>
    </row>
    <row r="4159" spans="72:74" x14ac:dyDescent="0.2">
      <c r="BT4159" s="124"/>
      <c r="BU4159" s="124"/>
      <c r="BV4159" s="124"/>
    </row>
    <row r="4160" spans="72:74" x14ac:dyDescent="0.2">
      <c r="BT4160" s="124"/>
      <c r="BU4160" s="124"/>
      <c r="BV4160" s="124"/>
    </row>
    <row r="4161" spans="72:74" x14ac:dyDescent="0.2">
      <c r="BT4161" s="124"/>
      <c r="BU4161" s="124"/>
      <c r="BV4161" s="124"/>
    </row>
    <row r="4162" spans="72:74" x14ac:dyDescent="0.2">
      <c r="BT4162" s="124"/>
      <c r="BU4162" s="124"/>
      <c r="BV4162" s="124"/>
    </row>
    <row r="4163" spans="72:74" x14ac:dyDescent="0.2">
      <c r="BT4163" s="124"/>
      <c r="BU4163" s="124"/>
      <c r="BV4163" s="124"/>
    </row>
    <row r="4164" spans="72:74" x14ac:dyDescent="0.2">
      <c r="BT4164" s="124"/>
      <c r="BU4164" s="124"/>
      <c r="BV4164" s="124"/>
    </row>
    <row r="4165" spans="72:74" x14ac:dyDescent="0.2">
      <c r="BT4165" s="124"/>
      <c r="BU4165" s="124"/>
      <c r="BV4165" s="124"/>
    </row>
    <row r="4166" spans="72:74" x14ac:dyDescent="0.2">
      <c r="BT4166" s="124"/>
      <c r="BU4166" s="124"/>
      <c r="BV4166" s="124"/>
    </row>
    <row r="4167" spans="72:74" x14ac:dyDescent="0.2">
      <c r="BT4167" s="124"/>
      <c r="BU4167" s="124"/>
      <c r="BV4167" s="124"/>
    </row>
    <row r="4168" spans="72:74" x14ac:dyDescent="0.2">
      <c r="BT4168" s="124"/>
      <c r="BU4168" s="124"/>
      <c r="BV4168" s="124"/>
    </row>
    <row r="4169" spans="72:74" x14ac:dyDescent="0.2">
      <c r="BT4169" s="124"/>
      <c r="BU4169" s="124"/>
      <c r="BV4169" s="124"/>
    </row>
    <row r="4170" spans="72:74" x14ac:dyDescent="0.2">
      <c r="BT4170" s="124"/>
      <c r="BU4170" s="124"/>
      <c r="BV4170" s="124"/>
    </row>
    <row r="4171" spans="72:74" x14ac:dyDescent="0.2">
      <c r="BT4171" s="124"/>
      <c r="BU4171" s="124"/>
      <c r="BV4171" s="124"/>
    </row>
    <row r="4172" spans="72:74" x14ac:dyDescent="0.2">
      <c r="BT4172" s="124"/>
      <c r="BU4172" s="124"/>
      <c r="BV4172" s="124"/>
    </row>
    <row r="4173" spans="72:74" x14ac:dyDescent="0.2">
      <c r="BT4173" s="124"/>
      <c r="BU4173" s="124"/>
      <c r="BV4173" s="124"/>
    </row>
    <row r="4174" spans="72:74" x14ac:dyDescent="0.2">
      <c r="BT4174" s="124"/>
      <c r="BU4174" s="124"/>
      <c r="BV4174" s="124"/>
    </row>
    <row r="4175" spans="72:74" x14ac:dyDescent="0.2">
      <c r="BT4175" s="124"/>
      <c r="BU4175" s="124"/>
      <c r="BV4175" s="124"/>
    </row>
    <row r="4176" spans="72:74" x14ac:dyDescent="0.2">
      <c r="BT4176" s="124"/>
      <c r="BU4176" s="124"/>
      <c r="BV4176" s="124"/>
    </row>
    <row r="4177" spans="72:74" x14ac:dyDescent="0.2">
      <c r="BT4177" s="124"/>
      <c r="BU4177" s="124"/>
      <c r="BV4177" s="124"/>
    </row>
    <row r="4178" spans="72:74" x14ac:dyDescent="0.2">
      <c r="BT4178" s="124"/>
      <c r="BU4178" s="124"/>
      <c r="BV4178" s="124"/>
    </row>
    <row r="4179" spans="72:74" x14ac:dyDescent="0.2">
      <c r="BT4179" s="124"/>
      <c r="BU4179" s="124"/>
      <c r="BV4179" s="124"/>
    </row>
    <row r="4180" spans="72:74" x14ac:dyDescent="0.2">
      <c r="BT4180" s="124"/>
      <c r="BU4180" s="124"/>
      <c r="BV4180" s="124"/>
    </row>
    <row r="4181" spans="72:74" x14ac:dyDescent="0.2">
      <c r="BT4181" s="124"/>
      <c r="BU4181" s="124"/>
      <c r="BV4181" s="124"/>
    </row>
    <row r="4182" spans="72:74" x14ac:dyDescent="0.2">
      <c r="BT4182" s="124"/>
      <c r="BU4182" s="124"/>
      <c r="BV4182" s="124"/>
    </row>
    <row r="4183" spans="72:74" x14ac:dyDescent="0.2">
      <c r="BT4183" s="124"/>
      <c r="BU4183" s="124"/>
      <c r="BV4183" s="124"/>
    </row>
    <row r="4184" spans="72:74" x14ac:dyDescent="0.2">
      <c r="BT4184" s="124"/>
      <c r="BU4184" s="124"/>
      <c r="BV4184" s="124"/>
    </row>
    <row r="4185" spans="72:74" x14ac:dyDescent="0.2">
      <c r="BT4185" s="124"/>
      <c r="BU4185" s="124"/>
      <c r="BV4185" s="124"/>
    </row>
    <row r="4186" spans="72:74" x14ac:dyDescent="0.2">
      <c r="BT4186" s="124"/>
      <c r="BU4186" s="124"/>
      <c r="BV4186" s="124"/>
    </row>
    <row r="4187" spans="72:74" x14ac:dyDescent="0.2">
      <c r="BT4187" s="124"/>
      <c r="BU4187" s="124"/>
      <c r="BV4187" s="124"/>
    </row>
    <row r="4188" spans="72:74" x14ac:dyDescent="0.2">
      <c r="BT4188" s="124"/>
      <c r="BU4188" s="124"/>
      <c r="BV4188" s="124"/>
    </row>
    <row r="4189" spans="72:74" x14ac:dyDescent="0.2">
      <c r="BT4189" s="124"/>
      <c r="BU4189" s="124"/>
      <c r="BV4189" s="124"/>
    </row>
    <row r="4190" spans="72:74" x14ac:dyDescent="0.2">
      <c r="BT4190" s="124"/>
      <c r="BU4190" s="124"/>
      <c r="BV4190" s="124"/>
    </row>
    <row r="4191" spans="72:74" x14ac:dyDescent="0.2">
      <c r="BT4191" s="124"/>
      <c r="BU4191" s="124"/>
      <c r="BV4191" s="124"/>
    </row>
    <row r="4192" spans="72:74" x14ac:dyDescent="0.2">
      <c r="BT4192" s="124"/>
      <c r="BU4192" s="124"/>
      <c r="BV4192" s="124"/>
    </row>
    <row r="4193" spans="72:74" x14ac:dyDescent="0.2">
      <c r="BT4193" s="124"/>
      <c r="BU4193" s="124"/>
      <c r="BV4193" s="124"/>
    </row>
    <row r="4194" spans="72:74" x14ac:dyDescent="0.2">
      <c r="BT4194" s="124"/>
      <c r="BU4194" s="124"/>
      <c r="BV4194" s="124"/>
    </row>
    <row r="4195" spans="72:74" x14ac:dyDescent="0.2">
      <c r="BT4195" s="124"/>
      <c r="BU4195" s="124"/>
      <c r="BV4195" s="124"/>
    </row>
    <row r="4196" spans="72:74" x14ac:dyDescent="0.2">
      <c r="BT4196" s="124"/>
      <c r="BU4196" s="124"/>
      <c r="BV4196" s="124"/>
    </row>
    <row r="4197" spans="72:74" x14ac:dyDescent="0.2">
      <c r="BT4197" s="124"/>
      <c r="BU4197" s="124"/>
      <c r="BV4197" s="124"/>
    </row>
    <row r="4198" spans="72:74" x14ac:dyDescent="0.2">
      <c r="BT4198" s="124"/>
      <c r="BU4198" s="124"/>
      <c r="BV4198" s="124"/>
    </row>
    <row r="4199" spans="72:74" x14ac:dyDescent="0.2">
      <c r="BT4199" s="124"/>
      <c r="BU4199" s="124"/>
      <c r="BV4199" s="124"/>
    </row>
    <row r="4200" spans="72:74" x14ac:dyDescent="0.2">
      <c r="BT4200" s="124"/>
      <c r="BU4200" s="124"/>
      <c r="BV4200" s="124"/>
    </row>
    <row r="4201" spans="72:74" x14ac:dyDescent="0.2">
      <c r="BT4201" s="124"/>
      <c r="BU4201" s="124"/>
      <c r="BV4201" s="124"/>
    </row>
    <row r="4202" spans="72:74" x14ac:dyDescent="0.2">
      <c r="BT4202" s="124"/>
      <c r="BU4202" s="124"/>
      <c r="BV4202" s="124"/>
    </row>
    <row r="4203" spans="72:74" x14ac:dyDescent="0.2">
      <c r="BT4203" s="124"/>
      <c r="BU4203" s="124"/>
      <c r="BV4203" s="124"/>
    </row>
    <row r="4204" spans="72:74" x14ac:dyDescent="0.2">
      <c r="BT4204" s="124"/>
      <c r="BU4204" s="124"/>
      <c r="BV4204" s="124"/>
    </row>
    <row r="4205" spans="72:74" x14ac:dyDescent="0.2">
      <c r="BT4205" s="124"/>
      <c r="BU4205" s="124"/>
      <c r="BV4205" s="124"/>
    </row>
    <row r="4206" spans="72:74" x14ac:dyDescent="0.2">
      <c r="BT4206" s="124"/>
      <c r="BU4206" s="124"/>
      <c r="BV4206" s="124"/>
    </row>
    <row r="4207" spans="72:74" x14ac:dyDescent="0.2">
      <c r="BT4207" s="124"/>
      <c r="BU4207" s="124"/>
      <c r="BV4207" s="124"/>
    </row>
    <row r="4208" spans="72:74" x14ac:dyDescent="0.2">
      <c r="BT4208" s="124"/>
      <c r="BU4208" s="124"/>
      <c r="BV4208" s="124"/>
    </row>
    <row r="4209" spans="72:74" x14ac:dyDescent="0.2">
      <c r="BT4209" s="124"/>
      <c r="BU4209" s="124"/>
      <c r="BV4209" s="124"/>
    </row>
    <row r="4210" spans="72:74" x14ac:dyDescent="0.2">
      <c r="BT4210" s="124"/>
      <c r="BU4210" s="124"/>
      <c r="BV4210" s="124"/>
    </row>
    <row r="4211" spans="72:74" x14ac:dyDescent="0.2">
      <c r="BT4211" s="124"/>
      <c r="BU4211" s="124"/>
      <c r="BV4211" s="124"/>
    </row>
    <row r="4212" spans="72:74" x14ac:dyDescent="0.2">
      <c r="BT4212" s="124"/>
      <c r="BU4212" s="124"/>
      <c r="BV4212" s="124"/>
    </row>
    <row r="4213" spans="72:74" x14ac:dyDescent="0.2">
      <c r="BT4213" s="124"/>
      <c r="BU4213" s="124"/>
      <c r="BV4213" s="124"/>
    </row>
    <row r="4214" spans="72:74" x14ac:dyDescent="0.2">
      <c r="BT4214" s="124"/>
      <c r="BU4214" s="124"/>
      <c r="BV4214" s="124"/>
    </row>
    <row r="4215" spans="72:74" x14ac:dyDescent="0.2">
      <c r="BT4215" s="124"/>
      <c r="BU4215" s="124"/>
      <c r="BV4215" s="124"/>
    </row>
    <row r="4216" spans="72:74" x14ac:dyDescent="0.2">
      <c r="BT4216" s="124"/>
      <c r="BU4216" s="124"/>
      <c r="BV4216" s="124"/>
    </row>
    <row r="4217" spans="72:74" x14ac:dyDescent="0.2">
      <c r="BT4217" s="124"/>
      <c r="BU4217" s="124"/>
      <c r="BV4217" s="124"/>
    </row>
    <row r="4218" spans="72:74" x14ac:dyDescent="0.2">
      <c r="BT4218" s="124"/>
      <c r="BU4218" s="124"/>
      <c r="BV4218" s="124"/>
    </row>
    <row r="4219" spans="72:74" x14ac:dyDescent="0.2">
      <c r="BT4219" s="124"/>
      <c r="BU4219" s="124"/>
      <c r="BV4219" s="124"/>
    </row>
    <row r="4220" spans="72:74" x14ac:dyDescent="0.2">
      <c r="BT4220" s="124"/>
      <c r="BU4220" s="124"/>
      <c r="BV4220" s="124"/>
    </row>
    <row r="4221" spans="72:74" x14ac:dyDescent="0.2">
      <c r="BT4221" s="124"/>
      <c r="BU4221" s="124"/>
      <c r="BV4221" s="124"/>
    </row>
    <row r="4222" spans="72:74" x14ac:dyDescent="0.2">
      <c r="BT4222" s="124"/>
      <c r="BU4222" s="124"/>
      <c r="BV4222" s="124"/>
    </row>
    <row r="4223" spans="72:74" x14ac:dyDescent="0.2">
      <c r="BT4223" s="124"/>
      <c r="BU4223" s="124"/>
      <c r="BV4223" s="124"/>
    </row>
    <row r="4224" spans="72:74" x14ac:dyDescent="0.2">
      <c r="BT4224" s="124"/>
      <c r="BU4224" s="124"/>
      <c r="BV4224" s="124"/>
    </row>
    <row r="4225" spans="72:74" x14ac:dyDescent="0.2">
      <c r="BT4225" s="124"/>
      <c r="BU4225" s="124"/>
      <c r="BV4225" s="124"/>
    </row>
    <row r="4226" spans="72:74" x14ac:dyDescent="0.2">
      <c r="BT4226" s="124"/>
      <c r="BU4226" s="124"/>
      <c r="BV4226" s="124"/>
    </row>
    <row r="4227" spans="72:74" x14ac:dyDescent="0.2">
      <c r="BT4227" s="124"/>
      <c r="BU4227" s="124"/>
      <c r="BV4227" s="124"/>
    </row>
    <row r="4228" spans="72:74" x14ac:dyDescent="0.2">
      <c r="BT4228" s="124"/>
      <c r="BU4228" s="124"/>
      <c r="BV4228" s="124"/>
    </row>
    <row r="4229" spans="72:74" x14ac:dyDescent="0.2">
      <c r="BT4229" s="124"/>
      <c r="BU4229" s="124"/>
      <c r="BV4229" s="124"/>
    </row>
    <row r="4230" spans="72:74" x14ac:dyDescent="0.2">
      <c r="BT4230" s="124"/>
      <c r="BU4230" s="124"/>
      <c r="BV4230" s="124"/>
    </row>
    <row r="4231" spans="72:74" x14ac:dyDescent="0.2">
      <c r="BT4231" s="124"/>
      <c r="BU4231" s="124"/>
      <c r="BV4231" s="124"/>
    </row>
    <row r="4232" spans="72:74" x14ac:dyDescent="0.2">
      <c r="BT4232" s="124"/>
      <c r="BU4232" s="124"/>
      <c r="BV4232" s="124"/>
    </row>
    <row r="4233" spans="72:74" x14ac:dyDescent="0.2">
      <c r="BT4233" s="124"/>
      <c r="BU4233" s="124"/>
      <c r="BV4233" s="124"/>
    </row>
    <row r="4234" spans="72:74" x14ac:dyDescent="0.2">
      <c r="BT4234" s="124"/>
      <c r="BU4234" s="124"/>
      <c r="BV4234" s="124"/>
    </row>
    <row r="4235" spans="72:74" x14ac:dyDescent="0.2">
      <c r="BT4235" s="124"/>
      <c r="BU4235" s="124"/>
      <c r="BV4235" s="124"/>
    </row>
    <row r="4236" spans="72:74" x14ac:dyDescent="0.2">
      <c r="BT4236" s="124"/>
      <c r="BU4236" s="124"/>
      <c r="BV4236" s="124"/>
    </row>
    <row r="4237" spans="72:74" x14ac:dyDescent="0.2">
      <c r="BT4237" s="124"/>
      <c r="BU4237" s="124"/>
      <c r="BV4237" s="124"/>
    </row>
    <row r="4238" spans="72:74" x14ac:dyDescent="0.2">
      <c r="BT4238" s="124"/>
      <c r="BU4238" s="124"/>
      <c r="BV4238" s="124"/>
    </row>
    <row r="4239" spans="72:74" x14ac:dyDescent="0.2">
      <c r="BT4239" s="124"/>
      <c r="BU4239" s="124"/>
      <c r="BV4239" s="124"/>
    </row>
    <row r="4240" spans="72:74" x14ac:dyDescent="0.2">
      <c r="BT4240" s="124"/>
      <c r="BU4240" s="124"/>
      <c r="BV4240" s="124"/>
    </row>
    <row r="4241" spans="72:74" x14ac:dyDescent="0.2">
      <c r="BT4241" s="124"/>
      <c r="BU4241" s="124"/>
      <c r="BV4241" s="124"/>
    </row>
    <row r="4242" spans="72:74" x14ac:dyDescent="0.2">
      <c r="BT4242" s="124"/>
      <c r="BU4242" s="124"/>
      <c r="BV4242" s="124"/>
    </row>
    <row r="4243" spans="72:74" x14ac:dyDescent="0.2">
      <c r="BT4243" s="124"/>
      <c r="BU4243" s="124"/>
      <c r="BV4243" s="124"/>
    </row>
    <row r="4244" spans="72:74" x14ac:dyDescent="0.2">
      <c r="BT4244" s="124"/>
      <c r="BU4244" s="124"/>
      <c r="BV4244" s="124"/>
    </row>
    <row r="4245" spans="72:74" x14ac:dyDescent="0.2">
      <c r="BT4245" s="124"/>
      <c r="BU4245" s="124"/>
      <c r="BV4245" s="124"/>
    </row>
    <row r="4246" spans="72:74" x14ac:dyDescent="0.2">
      <c r="BT4246" s="124"/>
      <c r="BU4246" s="124"/>
      <c r="BV4246" s="124"/>
    </row>
    <row r="4247" spans="72:74" x14ac:dyDescent="0.2">
      <c r="BT4247" s="124"/>
      <c r="BU4247" s="124"/>
      <c r="BV4247" s="124"/>
    </row>
    <row r="4248" spans="72:74" x14ac:dyDescent="0.2">
      <c r="BT4248" s="124"/>
      <c r="BU4248" s="124"/>
      <c r="BV4248" s="124"/>
    </row>
    <row r="4249" spans="72:74" x14ac:dyDescent="0.2">
      <c r="BT4249" s="124"/>
      <c r="BU4249" s="124"/>
      <c r="BV4249" s="124"/>
    </row>
    <row r="4250" spans="72:74" x14ac:dyDescent="0.2">
      <c r="BT4250" s="124"/>
      <c r="BU4250" s="124"/>
      <c r="BV4250" s="124"/>
    </row>
    <row r="4251" spans="72:74" x14ac:dyDescent="0.2">
      <c r="BT4251" s="124"/>
      <c r="BU4251" s="124"/>
      <c r="BV4251" s="124"/>
    </row>
    <row r="4252" spans="72:74" x14ac:dyDescent="0.2">
      <c r="BT4252" s="124"/>
      <c r="BU4252" s="124"/>
      <c r="BV4252" s="124"/>
    </row>
    <row r="4253" spans="72:74" x14ac:dyDescent="0.2">
      <c r="BT4253" s="124"/>
      <c r="BU4253" s="124"/>
      <c r="BV4253" s="124"/>
    </row>
    <row r="4254" spans="72:74" x14ac:dyDescent="0.2">
      <c r="BT4254" s="124"/>
      <c r="BU4254" s="124"/>
      <c r="BV4254" s="124"/>
    </row>
    <row r="4255" spans="72:74" x14ac:dyDescent="0.2">
      <c r="BT4255" s="124"/>
      <c r="BU4255" s="124"/>
      <c r="BV4255" s="124"/>
    </row>
    <row r="4256" spans="72:74" x14ac:dyDescent="0.2">
      <c r="BT4256" s="124"/>
      <c r="BU4256" s="124"/>
      <c r="BV4256" s="124"/>
    </row>
    <row r="4257" spans="72:74" x14ac:dyDescent="0.2">
      <c r="BT4257" s="124"/>
      <c r="BU4257" s="124"/>
      <c r="BV4257" s="124"/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B224"/>
  <sheetViews>
    <sheetView workbookViewId="0">
      <selection activeCell="B1" sqref="B1"/>
    </sheetView>
  </sheetViews>
  <sheetFormatPr defaultRowHeight="12.75" x14ac:dyDescent="0.2"/>
  <cols>
    <col min="1" max="1" width="10.140625" bestFit="1" customWidth="1"/>
    <col min="6" max="6" width="10.140625" bestFit="1" customWidth="1"/>
    <col min="10" max="10" width="10.140625" bestFit="1" customWidth="1"/>
    <col min="15" max="15" width="10.140625" bestFit="1" customWidth="1"/>
    <col min="17" max="17" width="10.140625" bestFit="1" customWidth="1"/>
    <col min="27" max="27" width="10.140625" bestFit="1" customWidth="1"/>
  </cols>
  <sheetData>
    <row r="1" spans="1:28" x14ac:dyDescent="0.2">
      <c r="A1" s="118">
        <v>34714</v>
      </c>
      <c r="B1">
        <v>7.6000000000000005</v>
      </c>
      <c r="F1" s="118">
        <v>34714</v>
      </c>
      <c r="G1">
        <v>11.790000000000001</v>
      </c>
      <c r="J1" s="118">
        <v>34714</v>
      </c>
      <c r="K1">
        <v>8.7900000000000009</v>
      </c>
      <c r="O1" s="118">
        <v>34714</v>
      </c>
      <c r="P1">
        <v>12.370000000000001</v>
      </c>
      <c r="Q1" s="118">
        <v>34714</v>
      </c>
      <c r="R1">
        <v>19</v>
      </c>
      <c r="AA1" s="118">
        <v>34714</v>
      </c>
      <c r="AB1">
        <v>11.86</v>
      </c>
    </row>
    <row r="2" spans="1:28" x14ac:dyDescent="0.2">
      <c r="A2" s="118">
        <v>34745</v>
      </c>
      <c r="B2">
        <v>7.42</v>
      </c>
      <c r="F2" s="118">
        <v>34745</v>
      </c>
      <c r="G2">
        <v>11.700000000000001</v>
      </c>
      <c r="J2" s="118">
        <v>34745</v>
      </c>
      <c r="K2">
        <v>8.67</v>
      </c>
      <c r="O2" s="118">
        <v>34745</v>
      </c>
      <c r="P2">
        <v>12.39</v>
      </c>
      <c r="Q2" s="118">
        <v>34745</v>
      </c>
      <c r="R2">
        <v>18.5</v>
      </c>
      <c r="AA2" s="118">
        <v>34745</v>
      </c>
      <c r="AB2">
        <v>11.6</v>
      </c>
    </row>
    <row r="3" spans="1:28" x14ac:dyDescent="0.2">
      <c r="A3" s="118">
        <v>34773</v>
      </c>
      <c r="B3">
        <v>7.28</v>
      </c>
      <c r="F3" s="118">
        <v>34773</v>
      </c>
      <c r="G3">
        <v>11.98</v>
      </c>
      <c r="J3" s="118">
        <v>34773</v>
      </c>
      <c r="K3">
        <v>8.8000000000000007</v>
      </c>
      <c r="O3" s="118">
        <v>34773</v>
      </c>
      <c r="P3">
        <v>13.450000000000001</v>
      </c>
      <c r="Q3" s="118">
        <v>34773</v>
      </c>
      <c r="R3">
        <v>18.25</v>
      </c>
      <c r="AA3" s="118">
        <v>34773</v>
      </c>
      <c r="AB3">
        <v>12.26</v>
      </c>
    </row>
    <row r="4" spans="1:28" x14ac:dyDescent="0.2">
      <c r="A4" s="118">
        <v>34804</v>
      </c>
      <c r="B4">
        <v>7.09</v>
      </c>
      <c r="F4" s="118">
        <v>34804</v>
      </c>
      <c r="G4">
        <v>12.17</v>
      </c>
      <c r="J4" s="118">
        <v>34804</v>
      </c>
      <c r="K4">
        <v>8.7000000000000011</v>
      </c>
      <c r="O4" s="118">
        <v>34804</v>
      </c>
      <c r="P4">
        <v>13.4</v>
      </c>
      <c r="Q4" s="118">
        <v>34804</v>
      </c>
      <c r="R4">
        <v>18</v>
      </c>
      <c r="AA4" s="118">
        <v>34804</v>
      </c>
      <c r="AB4">
        <v>12.09</v>
      </c>
    </row>
    <row r="5" spans="1:28" x14ac:dyDescent="0.2">
      <c r="A5" s="118">
        <v>34834</v>
      </c>
      <c r="B5">
        <v>6.86</v>
      </c>
      <c r="F5" s="118">
        <v>34834</v>
      </c>
      <c r="G5">
        <v>11.92</v>
      </c>
      <c r="J5" s="118">
        <v>34834</v>
      </c>
      <c r="K5">
        <v>8.34</v>
      </c>
      <c r="O5" s="118">
        <v>34834</v>
      </c>
      <c r="P5">
        <v>12.3</v>
      </c>
      <c r="Q5" s="118">
        <v>34834</v>
      </c>
      <c r="R5">
        <v>17.580000000000002</v>
      </c>
      <c r="AA5" s="118">
        <v>34834</v>
      </c>
      <c r="AB5">
        <v>11.41</v>
      </c>
    </row>
    <row r="6" spans="1:28" x14ac:dyDescent="0.2">
      <c r="A6" s="118">
        <v>34865</v>
      </c>
      <c r="B6">
        <v>6.78</v>
      </c>
      <c r="F6" s="118">
        <v>34865</v>
      </c>
      <c r="G6">
        <v>11.89</v>
      </c>
      <c r="J6" s="118">
        <v>34865</v>
      </c>
      <c r="K6">
        <v>8.26</v>
      </c>
      <c r="O6" s="118">
        <v>34865</v>
      </c>
      <c r="P6">
        <v>12.38</v>
      </c>
      <c r="Q6" s="118">
        <v>34865</v>
      </c>
      <c r="R6">
        <v>17.240000000000002</v>
      </c>
      <c r="AA6" s="118">
        <v>34865</v>
      </c>
      <c r="AB6">
        <v>11.540000000000001</v>
      </c>
    </row>
    <row r="7" spans="1:28" x14ac:dyDescent="0.2">
      <c r="A7" s="118">
        <v>34895</v>
      </c>
      <c r="B7">
        <v>6.86</v>
      </c>
      <c r="F7" s="118">
        <v>34895</v>
      </c>
      <c r="G7">
        <v>11.69</v>
      </c>
      <c r="J7" s="118">
        <v>34895</v>
      </c>
      <c r="K7">
        <v>8.39</v>
      </c>
      <c r="O7" s="118">
        <v>34895</v>
      </c>
      <c r="P7">
        <v>12.21</v>
      </c>
      <c r="Q7" s="118">
        <v>34895</v>
      </c>
      <c r="R7">
        <v>16.72</v>
      </c>
      <c r="AA7" s="118">
        <v>34895</v>
      </c>
      <c r="AB7">
        <v>11.33</v>
      </c>
    </row>
    <row r="8" spans="1:28" x14ac:dyDescent="0.2">
      <c r="A8" s="118">
        <v>34926</v>
      </c>
      <c r="B8">
        <v>6.74</v>
      </c>
      <c r="F8" s="118">
        <v>34926</v>
      </c>
      <c r="G8">
        <v>11.31</v>
      </c>
      <c r="J8" s="118">
        <v>34926</v>
      </c>
      <c r="K8">
        <v>8.15</v>
      </c>
      <c r="O8" s="118">
        <v>34926</v>
      </c>
      <c r="P8">
        <v>11.66</v>
      </c>
      <c r="Q8" s="118">
        <v>34926</v>
      </c>
      <c r="R8">
        <v>16.190000000000001</v>
      </c>
      <c r="AA8" s="118">
        <v>34926</v>
      </c>
      <c r="AB8">
        <v>10.97</v>
      </c>
    </row>
    <row r="9" spans="1:28" x14ac:dyDescent="0.2">
      <c r="A9" s="118">
        <v>34957</v>
      </c>
      <c r="B9">
        <v>6.59</v>
      </c>
      <c r="F9" s="118">
        <v>34957</v>
      </c>
      <c r="G9">
        <v>11.14</v>
      </c>
      <c r="J9" s="118">
        <v>34957</v>
      </c>
      <c r="K9">
        <v>7.96</v>
      </c>
      <c r="O9" s="118">
        <v>34957</v>
      </c>
      <c r="P9">
        <v>11.540000000000001</v>
      </c>
      <c r="Q9" s="118">
        <v>34957</v>
      </c>
      <c r="R9">
        <v>15.72</v>
      </c>
      <c r="AA9" s="118">
        <v>34957</v>
      </c>
      <c r="AB9">
        <v>10.8</v>
      </c>
    </row>
    <row r="10" spans="1:28" x14ac:dyDescent="0.2">
      <c r="A10" s="118">
        <v>34987</v>
      </c>
      <c r="B10">
        <v>6.57</v>
      </c>
      <c r="F10" s="118">
        <v>34987</v>
      </c>
      <c r="G10">
        <v>11.22</v>
      </c>
      <c r="J10" s="118">
        <v>34987</v>
      </c>
      <c r="K10">
        <v>7.99</v>
      </c>
      <c r="O10" s="118">
        <v>34987</v>
      </c>
      <c r="P10">
        <v>11.96</v>
      </c>
      <c r="Q10" s="118">
        <v>34987</v>
      </c>
      <c r="R10">
        <v>15.56</v>
      </c>
      <c r="AA10" s="118">
        <v>34987</v>
      </c>
      <c r="AB10">
        <v>10.89</v>
      </c>
    </row>
    <row r="11" spans="1:28" x14ac:dyDescent="0.2">
      <c r="A11" s="118">
        <v>35018</v>
      </c>
      <c r="B11">
        <v>6.34</v>
      </c>
      <c r="F11" s="118">
        <v>35018</v>
      </c>
      <c r="G11">
        <v>10.74</v>
      </c>
      <c r="J11" s="118">
        <v>35018</v>
      </c>
      <c r="K11">
        <v>7.63</v>
      </c>
      <c r="O11" s="118">
        <v>35018</v>
      </c>
      <c r="P11">
        <v>11.63</v>
      </c>
      <c r="Q11" s="118">
        <v>35018</v>
      </c>
      <c r="R11">
        <v>15.4</v>
      </c>
      <c r="AA11" s="118">
        <v>35018</v>
      </c>
      <c r="AB11">
        <v>10.540000000000001</v>
      </c>
    </row>
    <row r="12" spans="1:28" x14ac:dyDescent="0.2">
      <c r="A12" s="118">
        <v>35048</v>
      </c>
      <c r="B12">
        <v>6.07</v>
      </c>
      <c r="F12" s="118">
        <v>35048</v>
      </c>
      <c r="G12">
        <v>10.029999999999999</v>
      </c>
      <c r="J12" s="118">
        <v>35048</v>
      </c>
      <c r="K12">
        <v>7.38</v>
      </c>
      <c r="O12" s="118">
        <v>35048</v>
      </c>
      <c r="P12">
        <v>11.17</v>
      </c>
      <c r="Q12" s="118">
        <v>35048</v>
      </c>
      <c r="R12">
        <v>15.35</v>
      </c>
      <c r="AA12" s="118">
        <v>35048</v>
      </c>
      <c r="AB12">
        <v>9.9500000000000011</v>
      </c>
    </row>
    <row r="13" spans="1:28" x14ac:dyDescent="0.2">
      <c r="A13" s="118">
        <v>35079</v>
      </c>
      <c r="B13">
        <v>5.89</v>
      </c>
      <c r="F13" s="118">
        <v>35079</v>
      </c>
      <c r="G13">
        <v>9.44</v>
      </c>
      <c r="J13" s="118">
        <v>35079</v>
      </c>
      <c r="K13">
        <v>7.23</v>
      </c>
      <c r="O13" s="118">
        <v>35079</v>
      </c>
      <c r="P13">
        <v>10.43</v>
      </c>
      <c r="Q13" s="118">
        <v>35079</v>
      </c>
      <c r="R13">
        <v>15.3</v>
      </c>
      <c r="AA13" s="118">
        <v>35079</v>
      </c>
      <c r="AB13">
        <v>9.4600000000000009</v>
      </c>
    </row>
    <row r="14" spans="1:28" x14ac:dyDescent="0.2">
      <c r="A14" s="118">
        <v>35110</v>
      </c>
      <c r="B14">
        <v>6.2</v>
      </c>
      <c r="F14" s="118">
        <v>35110</v>
      </c>
      <c r="G14">
        <v>9.4500000000000011</v>
      </c>
      <c r="J14" s="118">
        <v>35110</v>
      </c>
      <c r="K14">
        <v>7.49</v>
      </c>
      <c r="O14" s="118">
        <v>35110</v>
      </c>
      <c r="P14">
        <v>10.52</v>
      </c>
      <c r="Q14" s="118">
        <v>35110</v>
      </c>
      <c r="R14">
        <v>15.3</v>
      </c>
      <c r="AA14" s="118">
        <v>35110</v>
      </c>
      <c r="AB14">
        <v>9.7100000000000009</v>
      </c>
    </row>
    <row r="15" spans="1:28" x14ac:dyDescent="0.2">
      <c r="A15" s="118">
        <v>35139</v>
      </c>
      <c r="B15">
        <v>6.44</v>
      </c>
      <c r="F15" s="118">
        <v>35139</v>
      </c>
      <c r="G15">
        <v>9.4600000000000009</v>
      </c>
      <c r="J15" s="118">
        <v>35139</v>
      </c>
      <c r="K15">
        <v>7.82</v>
      </c>
      <c r="O15" s="118">
        <v>35139</v>
      </c>
      <c r="P15">
        <v>10.69</v>
      </c>
      <c r="Q15" s="118">
        <v>35139</v>
      </c>
      <c r="R15">
        <v>14.9</v>
      </c>
      <c r="AA15" s="118">
        <v>35139</v>
      </c>
      <c r="AB15">
        <v>9.89</v>
      </c>
    </row>
    <row r="16" spans="1:28" x14ac:dyDescent="0.2">
      <c r="A16" s="118">
        <v>35170</v>
      </c>
      <c r="B16">
        <v>6.38</v>
      </c>
      <c r="F16" s="118">
        <v>35170</v>
      </c>
      <c r="G16">
        <v>9.06</v>
      </c>
      <c r="J16" s="118">
        <v>35170</v>
      </c>
      <c r="K16">
        <v>7.61</v>
      </c>
      <c r="O16" s="118">
        <v>35170</v>
      </c>
      <c r="P16">
        <v>10.34</v>
      </c>
      <c r="Q16" s="118">
        <v>35170</v>
      </c>
      <c r="R16">
        <v>14.8</v>
      </c>
      <c r="AA16" s="118">
        <v>35170</v>
      </c>
      <c r="AB16">
        <v>9.33</v>
      </c>
    </row>
    <row r="17" spans="1:28" x14ac:dyDescent="0.2">
      <c r="A17" s="118">
        <v>35200</v>
      </c>
      <c r="B17">
        <v>6.45</v>
      </c>
      <c r="F17" s="118">
        <v>35200</v>
      </c>
      <c r="G17">
        <v>8.9700000000000006</v>
      </c>
      <c r="J17" s="118">
        <v>35200</v>
      </c>
      <c r="K17">
        <v>7.5</v>
      </c>
      <c r="O17" s="118">
        <v>35200</v>
      </c>
      <c r="P17">
        <v>9.7000000000000011</v>
      </c>
      <c r="Q17" s="118">
        <v>35200</v>
      </c>
      <c r="R17">
        <v>14.870000000000001</v>
      </c>
      <c r="AA17" s="118">
        <v>35200</v>
      </c>
      <c r="AB17">
        <v>9.17</v>
      </c>
    </row>
    <row r="18" spans="1:28" x14ac:dyDescent="0.2">
      <c r="A18" s="118">
        <v>35231</v>
      </c>
      <c r="B18">
        <v>6.5600000000000005</v>
      </c>
      <c r="F18" s="118">
        <v>35231</v>
      </c>
      <c r="G18">
        <v>8.8800000000000008</v>
      </c>
      <c r="J18" s="118">
        <v>35231</v>
      </c>
      <c r="K18">
        <v>7.62</v>
      </c>
      <c r="O18" s="118">
        <v>35231</v>
      </c>
      <c r="P18">
        <v>9.57</v>
      </c>
      <c r="Q18" s="118">
        <v>35231</v>
      </c>
      <c r="R18">
        <v>14.950000000000001</v>
      </c>
      <c r="AA18" s="118">
        <v>35231</v>
      </c>
      <c r="AB18">
        <v>9.11</v>
      </c>
    </row>
    <row r="19" spans="1:28" x14ac:dyDescent="0.2">
      <c r="A19" s="118">
        <v>35261</v>
      </c>
      <c r="B19">
        <v>6.48</v>
      </c>
      <c r="F19" s="118">
        <v>35261</v>
      </c>
      <c r="G19">
        <v>8.7100000000000009</v>
      </c>
      <c r="J19" s="118">
        <v>35261</v>
      </c>
      <c r="K19">
        <v>7.49</v>
      </c>
      <c r="O19" s="118">
        <v>35261</v>
      </c>
      <c r="P19">
        <v>9.43</v>
      </c>
      <c r="Q19" s="118">
        <v>35261</v>
      </c>
      <c r="R19">
        <v>14.61</v>
      </c>
      <c r="AA19" s="118">
        <v>35261</v>
      </c>
      <c r="AB19">
        <v>8.7799999999999994</v>
      </c>
    </row>
    <row r="20" spans="1:28" x14ac:dyDescent="0.2">
      <c r="A20" s="118">
        <v>35292</v>
      </c>
      <c r="B20">
        <v>6.3</v>
      </c>
      <c r="F20" s="118">
        <v>35292</v>
      </c>
      <c r="G20">
        <v>8.7100000000000009</v>
      </c>
      <c r="J20" s="118">
        <v>35292</v>
      </c>
      <c r="K20">
        <v>7.43</v>
      </c>
      <c r="O20" s="118">
        <v>35292</v>
      </c>
      <c r="P20">
        <v>9.48</v>
      </c>
      <c r="Q20" s="118">
        <v>35292</v>
      </c>
      <c r="R20">
        <v>14.46</v>
      </c>
      <c r="AA20" s="118">
        <v>35292</v>
      </c>
      <c r="AB20">
        <v>8.86</v>
      </c>
    </row>
    <row r="21" spans="1:28" x14ac:dyDescent="0.2">
      <c r="A21" s="118">
        <v>35323</v>
      </c>
      <c r="B21">
        <v>6.23</v>
      </c>
      <c r="F21" s="118">
        <v>35323</v>
      </c>
      <c r="G21">
        <v>8.32</v>
      </c>
      <c r="J21" s="118">
        <v>35323</v>
      </c>
      <c r="K21">
        <v>7.21</v>
      </c>
      <c r="O21" s="118">
        <v>35323</v>
      </c>
      <c r="P21">
        <v>9.17</v>
      </c>
      <c r="Q21" s="118">
        <v>35323</v>
      </c>
      <c r="R21">
        <v>14.23</v>
      </c>
      <c r="AA21" s="118">
        <v>35323</v>
      </c>
      <c r="AB21">
        <v>8.43</v>
      </c>
    </row>
    <row r="22" spans="1:28" x14ac:dyDescent="0.2">
      <c r="A22" s="118">
        <v>35353</v>
      </c>
      <c r="B22">
        <v>6.01</v>
      </c>
      <c r="F22" s="118">
        <v>35353</v>
      </c>
      <c r="G22">
        <v>7.59</v>
      </c>
      <c r="J22" s="118">
        <v>35353</v>
      </c>
      <c r="K22">
        <v>6.78</v>
      </c>
      <c r="O22" s="118">
        <v>35353</v>
      </c>
      <c r="P22">
        <v>8.23</v>
      </c>
      <c r="Q22" s="118">
        <v>35353</v>
      </c>
      <c r="R22">
        <v>14</v>
      </c>
      <c r="AA22" s="118">
        <v>35353</v>
      </c>
      <c r="AB22">
        <v>7.76</v>
      </c>
    </row>
    <row r="23" spans="1:28" x14ac:dyDescent="0.2">
      <c r="A23" s="118">
        <v>35384</v>
      </c>
      <c r="B23">
        <v>5.86</v>
      </c>
      <c r="F23" s="118">
        <v>35384</v>
      </c>
      <c r="G23">
        <v>7.17</v>
      </c>
      <c r="J23" s="118">
        <v>35384</v>
      </c>
      <c r="K23">
        <v>6.68</v>
      </c>
      <c r="O23" s="118">
        <v>35384</v>
      </c>
      <c r="P23">
        <v>7.69</v>
      </c>
      <c r="Q23" s="118">
        <v>35384</v>
      </c>
      <c r="R23">
        <v>13.36</v>
      </c>
      <c r="AA23" s="118">
        <v>35384</v>
      </c>
      <c r="AB23">
        <v>7.34</v>
      </c>
    </row>
    <row r="24" spans="1:28" x14ac:dyDescent="0.2">
      <c r="A24" s="118">
        <v>35414</v>
      </c>
      <c r="B24">
        <v>5.79</v>
      </c>
      <c r="F24" s="118">
        <v>35414</v>
      </c>
      <c r="G24">
        <v>6.95</v>
      </c>
      <c r="J24" s="118">
        <v>35414</v>
      </c>
      <c r="K24">
        <v>6.61</v>
      </c>
      <c r="O24" s="118">
        <v>35414</v>
      </c>
      <c r="P24">
        <v>7.5600000000000005</v>
      </c>
      <c r="Q24" s="118">
        <v>35414</v>
      </c>
      <c r="R24">
        <v>12.42</v>
      </c>
      <c r="AA24" s="118">
        <v>35414</v>
      </c>
      <c r="AB24">
        <v>7</v>
      </c>
    </row>
    <row r="25" spans="1:28" x14ac:dyDescent="0.2">
      <c r="A25" s="118">
        <v>35445</v>
      </c>
      <c r="B25">
        <v>5.8</v>
      </c>
      <c r="F25" s="118">
        <v>35445</v>
      </c>
      <c r="G25">
        <v>6.72</v>
      </c>
      <c r="J25" s="118">
        <v>35445</v>
      </c>
      <c r="K25">
        <v>6.59</v>
      </c>
      <c r="O25" s="118">
        <v>35445</v>
      </c>
      <c r="P25">
        <v>7.38</v>
      </c>
      <c r="Q25" s="118">
        <v>35445</v>
      </c>
      <c r="R25">
        <v>12.290000000000001</v>
      </c>
      <c r="AA25" s="118">
        <v>35445</v>
      </c>
      <c r="AB25">
        <v>6.83</v>
      </c>
    </row>
    <row r="26" spans="1:28" x14ac:dyDescent="0.2">
      <c r="A26" s="118">
        <v>35476</v>
      </c>
      <c r="B26">
        <v>5.55</v>
      </c>
      <c r="F26" s="118">
        <v>35476</v>
      </c>
      <c r="G26">
        <v>6.66</v>
      </c>
      <c r="J26" s="118">
        <v>35476</v>
      </c>
      <c r="K26">
        <v>6.32</v>
      </c>
      <c r="O26" s="118">
        <v>35476</v>
      </c>
      <c r="P26">
        <v>7.36</v>
      </c>
      <c r="Q26" s="118">
        <v>35476</v>
      </c>
      <c r="R26">
        <v>10.870000000000001</v>
      </c>
      <c r="AA26" s="118">
        <v>35476</v>
      </c>
      <c r="AB26">
        <v>6.74</v>
      </c>
    </row>
    <row r="27" spans="1:28" x14ac:dyDescent="0.2">
      <c r="A27" s="118">
        <v>35504</v>
      </c>
      <c r="B27">
        <v>5.71</v>
      </c>
      <c r="F27" s="118">
        <v>35504</v>
      </c>
      <c r="G27">
        <v>6.87</v>
      </c>
      <c r="J27" s="118">
        <v>35504</v>
      </c>
      <c r="K27">
        <v>6.62</v>
      </c>
      <c r="O27" s="118">
        <v>35504</v>
      </c>
      <c r="P27">
        <v>7.87</v>
      </c>
      <c r="Q27" s="118">
        <v>35504</v>
      </c>
      <c r="R27">
        <v>9.4500000000000011</v>
      </c>
      <c r="AA27" s="118">
        <v>35504</v>
      </c>
      <c r="AB27">
        <v>7.03</v>
      </c>
    </row>
    <row r="28" spans="1:28" x14ac:dyDescent="0.2">
      <c r="A28" s="118">
        <v>35535</v>
      </c>
      <c r="B28">
        <v>5.87</v>
      </c>
      <c r="F28" s="118">
        <v>35535</v>
      </c>
      <c r="G28">
        <v>6.8</v>
      </c>
      <c r="J28" s="118">
        <v>35535</v>
      </c>
      <c r="K28">
        <v>6.69</v>
      </c>
      <c r="O28" s="118">
        <v>35535</v>
      </c>
      <c r="P28">
        <v>7.74</v>
      </c>
      <c r="Q28" s="118">
        <v>35535</v>
      </c>
      <c r="R28">
        <v>9.33</v>
      </c>
      <c r="AA28" s="118">
        <v>35535</v>
      </c>
      <c r="AB28">
        <v>6.95</v>
      </c>
    </row>
    <row r="29" spans="1:28" x14ac:dyDescent="0.2">
      <c r="A29" s="118">
        <v>35565</v>
      </c>
      <c r="B29">
        <v>5.76</v>
      </c>
      <c r="F29" s="118">
        <v>35565</v>
      </c>
      <c r="G29">
        <v>6.49</v>
      </c>
      <c r="J29" s="118">
        <v>35565</v>
      </c>
      <c r="K29">
        <v>6.54</v>
      </c>
      <c r="O29" s="118">
        <v>35565</v>
      </c>
      <c r="P29">
        <v>7.32</v>
      </c>
      <c r="Q29" s="118">
        <v>35565</v>
      </c>
      <c r="R29">
        <v>8.92</v>
      </c>
      <c r="AA29" s="118">
        <v>35565</v>
      </c>
      <c r="AB29">
        <v>6.61</v>
      </c>
    </row>
    <row r="30" spans="1:28" x14ac:dyDescent="0.2">
      <c r="A30" s="118">
        <v>35596</v>
      </c>
      <c r="B30">
        <v>5.72</v>
      </c>
      <c r="F30" s="118">
        <v>35596</v>
      </c>
      <c r="G30">
        <v>6.41</v>
      </c>
      <c r="J30" s="118">
        <v>35596</v>
      </c>
      <c r="K30">
        <v>6.49</v>
      </c>
      <c r="O30" s="118">
        <v>35596</v>
      </c>
      <c r="P30">
        <v>7.07</v>
      </c>
      <c r="Q30" s="118">
        <v>35596</v>
      </c>
      <c r="R30">
        <v>9.15</v>
      </c>
      <c r="AA30" s="118">
        <v>35596</v>
      </c>
      <c r="AB30">
        <v>6.47</v>
      </c>
    </row>
    <row r="31" spans="1:28" x14ac:dyDescent="0.2">
      <c r="A31" s="118">
        <v>35626</v>
      </c>
      <c r="B31">
        <v>5.5600000000000005</v>
      </c>
      <c r="F31" s="118">
        <v>35626</v>
      </c>
      <c r="G31">
        <v>6.26</v>
      </c>
      <c r="J31" s="118">
        <v>35626</v>
      </c>
      <c r="K31">
        <v>6.26</v>
      </c>
      <c r="O31" s="118">
        <v>35626</v>
      </c>
      <c r="P31">
        <v>6.5200000000000005</v>
      </c>
      <c r="Q31" s="118">
        <v>35626</v>
      </c>
      <c r="R31">
        <v>9.42</v>
      </c>
      <c r="AA31" s="118">
        <v>35626</v>
      </c>
      <c r="AB31">
        <v>6.21</v>
      </c>
    </row>
    <row r="32" spans="1:28" x14ac:dyDescent="0.2">
      <c r="A32" s="118">
        <v>35657</v>
      </c>
      <c r="B32">
        <v>5.66</v>
      </c>
      <c r="F32" s="118">
        <v>35657</v>
      </c>
      <c r="G32">
        <v>6.3500000000000005</v>
      </c>
      <c r="J32" s="118">
        <v>35657</v>
      </c>
      <c r="K32">
        <v>6.33</v>
      </c>
      <c r="O32" s="118">
        <v>35657</v>
      </c>
      <c r="P32">
        <v>6.66</v>
      </c>
      <c r="Q32" s="118">
        <v>35657</v>
      </c>
      <c r="R32">
        <v>9.6300000000000008</v>
      </c>
      <c r="AA32" s="118">
        <v>35657</v>
      </c>
      <c r="AB32">
        <v>6.3100000000000005</v>
      </c>
    </row>
    <row r="33" spans="1:28" x14ac:dyDescent="0.2">
      <c r="A33" s="118">
        <v>35688</v>
      </c>
      <c r="B33">
        <v>5.59</v>
      </c>
      <c r="F33" s="118">
        <v>35688</v>
      </c>
      <c r="G33">
        <v>6.13</v>
      </c>
      <c r="J33" s="118">
        <v>35688</v>
      </c>
      <c r="K33">
        <v>6.1000000000000005</v>
      </c>
      <c r="O33" s="118">
        <v>35688</v>
      </c>
      <c r="P33">
        <v>6.36</v>
      </c>
      <c r="Q33" s="118">
        <v>35688</v>
      </c>
      <c r="R33">
        <v>9.43</v>
      </c>
      <c r="AA33" s="118">
        <v>35688</v>
      </c>
      <c r="AB33">
        <v>6.09</v>
      </c>
    </row>
    <row r="34" spans="1:28" x14ac:dyDescent="0.2">
      <c r="A34" s="118">
        <v>35718</v>
      </c>
      <c r="B34">
        <v>5.58</v>
      </c>
      <c r="F34" s="118">
        <v>35718</v>
      </c>
      <c r="G34">
        <v>5.98</v>
      </c>
      <c r="J34" s="118">
        <v>35718</v>
      </c>
      <c r="K34">
        <v>5.99</v>
      </c>
      <c r="O34" s="118">
        <v>35718</v>
      </c>
      <c r="P34">
        <v>6.2</v>
      </c>
      <c r="Q34" s="118">
        <v>35718</v>
      </c>
      <c r="R34">
        <v>9.3000000000000007</v>
      </c>
      <c r="AA34" s="118">
        <v>35718</v>
      </c>
      <c r="AB34">
        <v>5.98</v>
      </c>
    </row>
    <row r="35" spans="1:28" x14ac:dyDescent="0.2">
      <c r="A35" s="118">
        <v>35749</v>
      </c>
      <c r="B35">
        <v>5.5600000000000005</v>
      </c>
      <c r="F35" s="118">
        <v>35749</v>
      </c>
      <c r="G35">
        <v>5.96</v>
      </c>
      <c r="J35" s="118">
        <v>35749</v>
      </c>
      <c r="K35">
        <v>5.98</v>
      </c>
      <c r="O35" s="118">
        <v>35749</v>
      </c>
      <c r="P35">
        <v>6.13</v>
      </c>
      <c r="Q35" s="118">
        <v>35749</v>
      </c>
      <c r="R35">
        <v>10.76</v>
      </c>
      <c r="AA35" s="118">
        <v>35749</v>
      </c>
      <c r="AB35">
        <v>5.96</v>
      </c>
    </row>
    <row r="36" spans="1:28" x14ac:dyDescent="0.2">
      <c r="A36" s="118">
        <v>35779</v>
      </c>
      <c r="B36">
        <v>5.33</v>
      </c>
      <c r="F36" s="118">
        <v>35779</v>
      </c>
      <c r="G36">
        <v>5.67</v>
      </c>
      <c r="J36" s="118">
        <v>35779</v>
      </c>
      <c r="K36">
        <v>5.61</v>
      </c>
      <c r="O36" s="118">
        <v>35779</v>
      </c>
      <c r="P36">
        <v>5.74</v>
      </c>
      <c r="Q36" s="118">
        <v>35779</v>
      </c>
      <c r="R36">
        <v>10.48</v>
      </c>
      <c r="AA36" s="118">
        <v>35779</v>
      </c>
      <c r="AB36">
        <v>5.64</v>
      </c>
    </row>
    <row r="37" spans="1:28" x14ac:dyDescent="0.2">
      <c r="A37" s="118">
        <v>35810</v>
      </c>
      <c r="B37">
        <v>5.1100000000000003</v>
      </c>
      <c r="F37" s="118">
        <v>35810</v>
      </c>
      <c r="G37">
        <v>5.4</v>
      </c>
      <c r="J37" s="118">
        <v>35810</v>
      </c>
      <c r="K37">
        <v>5.3500000000000005</v>
      </c>
      <c r="O37" s="118">
        <v>35810</v>
      </c>
      <c r="P37">
        <v>5.43</v>
      </c>
      <c r="Q37" s="118">
        <v>35810</v>
      </c>
      <c r="R37">
        <v>11.03</v>
      </c>
      <c r="AA37" s="118">
        <v>35810</v>
      </c>
      <c r="AB37">
        <v>5.4</v>
      </c>
    </row>
    <row r="38" spans="1:28" x14ac:dyDescent="0.2">
      <c r="A38" s="118">
        <v>35841</v>
      </c>
      <c r="B38">
        <v>4.99</v>
      </c>
      <c r="F38" s="118">
        <v>35841</v>
      </c>
      <c r="G38">
        <v>5.32</v>
      </c>
      <c r="J38" s="118">
        <v>35841</v>
      </c>
      <c r="K38">
        <v>5.23</v>
      </c>
      <c r="O38" s="118">
        <v>35841</v>
      </c>
      <c r="P38">
        <v>5.38</v>
      </c>
      <c r="Q38" s="118">
        <v>35841</v>
      </c>
      <c r="R38">
        <v>11.040000000000001</v>
      </c>
      <c r="AA38" s="118">
        <v>35841</v>
      </c>
      <c r="AB38">
        <v>5.24</v>
      </c>
    </row>
    <row r="39" spans="1:28" x14ac:dyDescent="0.2">
      <c r="A39" s="118">
        <v>35869</v>
      </c>
      <c r="B39">
        <v>4.9000000000000004</v>
      </c>
      <c r="F39" s="118">
        <v>35869</v>
      </c>
      <c r="G39">
        <v>5.25</v>
      </c>
      <c r="J39" s="118">
        <v>35869</v>
      </c>
      <c r="K39">
        <v>5.08</v>
      </c>
      <c r="O39" s="118">
        <v>35869</v>
      </c>
      <c r="P39">
        <v>5.2</v>
      </c>
      <c r="Q39" s="118">
        <v>35869</v>
      </c>
      <c r="R39">
        <v>9.27</v>
      </c>
      <c r="AA39" s="118">
        <v>35869</v>
      </c>
      <c r="AB39">
        <v>5.09</v>
      </c>
    </row>
    <row r="40" spans="1:28" x14ac:dyDescent="0.2">
      <c r="A40" s="118">
        <v>35900</v>
      </c>
      <c r="B40">
        <v>4.9000000000000004</v>
      </c>
      <c r="F40" s="118">
        <v>35900</v>
      </c>
      <c r="G40">
        <v>5.17</v>
      </c>
      <c r="J40" s="118">
        <v>35900</v>
      </c>
      <c r="K40">
        <v>5.05</v>
      </c>
      <c r="O40" s="118">
        <v>35900</v>
      </c>
      <c r="P40">
        <v>5.15</v>
      </c>
      <c r="Q40" s="118">
        <v>35900</v>
      </c>
      <c r="R40">
        <v>8.11</v>
      </c>
      <c r="AA40" s="118">
        <v>35900</v>
      </c>
      <c r="AB40">
        <v>5.0600000000000005</v>
      </c>
    </row>
    <row r="41" spans="1:28" x14ac:dyDescent="0.2">
      <c r="A41" s="118">
        <v>35930</v>
      </c>
      <c r="B41">
        <v>4.96</v>
      </c>
      <c r="F41" s="118">
        <v>35930</v>
      </c>
      <c r="G41">
        <v>5.18</v>
      </c>
      <c r="J41" s="118">
        <v>35930</v>
      </c>
      <c r="K41">
        <v>5.14</v>
      </c>
      <c r="O41" s="118">
        <v>35930</v>
      </c>
      <c r="P41">
        <v>5.21</v>
      </c>
      <c r="Q41" s="118">
        <v>35930</v>
      </c>
      <c r="R41">
        <v>7.8500000000000005</v>
      </c>
      <c r="AA41" s="118">
        <v>35930</v>
      </c>
      <c r="AB41">
        <v>5.13</v>
      </c>
    </row>
    <row r="42" spans="1:28" x14ac:dyDescent="0.2">
      <c r="A42" s="118">
        <v>35961</v>
      </c>
      <c r="B42">
        <v>4.8</v>
      </c>
      <c r="F42" s="118">
        <v>35961</v>
      </c>
      <c r="G42">
        <v>5.0600000000000005</v>
      </c>
      <c r="J42" s="118">
        <v>35961</v>
      </c>
      <c r="K42">
        <v>5.03</v>
      </c>
      <c r="O42" s="118">
        <v>35961</v>
      </c>
      <c r="P42">
        <v>5.08</v>
      </c>
      <c r="Q42" s="118">
        <v>35961</v>
      </c>
      <c r="R42">
        <v>7.74</v>
      </c>
      <c r="AA42" s="118">
        <v>35961</v>
      </c>
      <c r="AB42">
        <v>5.0200000000000005</v>
      </c>
    </row>
    <row r="43" spans="1:28" x14ac:dyDescent="0.2">
      <c r="A43" s="118">
        <v>35991</v>
      </c>
      <c r="B43">
        <v>4.68</v>
      </c>
      <c r="F43" s="118">
        <v>35991</v>
      </c>
      <c r="G43">
        <v>4.95</v>
      </c>
      <c r="J43" s="118">
        <v>35991</v>
      </c>
      <c r="K43">
        <v>4.93</v>
      </c>
      <c r="O43" s="118">
        <v>35991</v>
      </c>
      <c r="P43">
        <v>4.97</v>
      </c>
      <c r="Q43" s="118">
        <v>35991</v>
      </c>
      <c r="R43">
        <v>7.67</v>
      </c>
      <c r="AA43" s="118">
        <v>35991</v>
      </c>
      <c r="AB43">
        <v>4.9400000000000004</v>
      </c>
    </row>
    <row r="44" spans="1:28" x14ac:dyDescent="0.2">
      <c r="A44" s="118">
        <v>36022</v>
      </c>
      <c r="B44">
        <v>4.42</v>
      </c>
      <c r="F44" s="118">
        <v>36022</v>
      </c>
      <c r="G44">
        <v>4.76</v>
      </c>
      <c r="J44" s="118">
        <v>36022</v>
      </c>
      <c r="K44">
        <v>4.68</v>
      </c>
      <c r="O44" s="118">
        <v>36022</v>
      </c>
      <c r="P44">
        <v>4.79</v>
      </c>
      <c r="Q44" s="118">
        <v>36022</v>
      </c>
      <c r="R44">
        <v>7.5600000000000005</v>
      </c>
      <c r="AA44" s="118">
        <v>36022</v>
      </c>
      <c r="AB44">
        <v>4.74</v>
      </c>
    </row>
    <row r="45" spans="1:28" x14ac:dyDescent="0.2">
      <c r="A45" s="118">
        <v>36053</v>
      </c>
      <c r="B45">
        <v>4.0600000000000005</v>
      </c>
      <c r="F45" s="118">
        <v>36053</v>
      </c>
      <c r="G45">
        <v>4.46</v>
      </c>
      <c r="J45" s="118">
        <v>36053</v>
      </c>
      <c r="K45">
        <v>4.38</v>
      </c>
      <c r="O45" s="118">
        <v>36053</v>
      </c>
      <c r="P45">
        <v>4.53</v>
      </c>
      <c r="Q45" s="118">
        <v>36053</v>
      </c>
      <c r="R45">
        <v>8.25</v>
      </c>
      <c r="AA45" s="118">
        <v>36053</v>
      </c>
      <c r="AB45">
        <v>4.4800000000000004</v>
      </c>
    </row>
    <row r="46" spans="1:28" x14ac:dyDescent="0.2">
      <c r="A46" s="118">
        <v>36083</v>
      </c>
      <c r="B46">
        <v>4.0600000000000005</v>
      </c>
      <c r="F46" s="118">
        <v>36083</v>
      </c>
      <c r="G46">
        <v>4.4400000000000004</v>
      </c>
      <c r="J46" s="118">
        <v>36083</v>
      </c>
      <c r="K46">
        <v>4.3500000000000005</v>
      </c>
      <c r="O46" s="118">
        <v>36083</v>
      </c>
      <c r="P46">
        <v>4.49</v>
      </c>
      <c r="Q46" s="118">
        <v>36083</v>
      </c>
      <c r="R46">
        <v>8.4499999999999993</v>
      </c>
      <c r="AA46" s="118">
        <v>36083</v>
      </c>
      <c r="AB46">
        <v>4.43</v>
      </c>
    </row>
    <row r="47" spans="1:28" x14ac:dyDescent="0.2">
      <c r="A47" s="118">
        <v>36114</v>
      </c>
      <c r="B47">
        <v>4.12</v>
      </c>
      <c r="F47" s="118">
        <v>36114</v>
      </c>
      <c r="G47">
        <v>4.42</v>
      </c>
      <c r="J47" s="118">
        <v>36114</v>
      </c>
      <c r="K47">
        <v>4.32</v>
      </c>
      <c r="O47" s="118">
        <v>36114</v>
      </c>
      <c r="P47">
        <v>4.38</v>
      </c>
      <c r="Q47" s="118">
        <v>36114</v>
      </c>
      <c r="R47">
        <v>7.65</v>
      </c>
      <c r="AA47" s="118">
        <v>36114</v>
      </c>
      <c r="AB47">
        <v>4.4000000000000004</v>
      </c>
    </row>
    <row r="48" spans="1:28" x14ac:dyDescent="0.2">
      <c r="A48" s="118">
        <v>36144</v>
      </c>
      <c r="B48">
        <v>3.86</v>
      </c>
      <c r="F48" s="118">
        <v>36144</v>
      </c>
      <c r="G48">
        <v>4.12</v>
      </c>
      <c r="J48" s="118">
        <v>36144</v>
      </c>
      <c r="K48">
        <v>4.0200000000000005</v>
      </c>
      <c r="O48" s="118">
        <v>36144</v>
      </c>
      <c r="P48">
        <v>4</v>
      </c>
      <c r="Q48" s="118">
        <v>36144</v>
      </c>
      <c r="R48">
        <v>7.17</v>
      </c>
      <c r="AA48" s="118">
        <v>36144</v>
      </c>
      <c r="AB48">
        <v>4.07</v>
      </c>
    </row>
    <row r="49" spans="1:28" x14ac:dyDescent="0.2">
      <c r="A49" s="118">
        <v>36175</v>
      </c>
      <c r="B49">
        <v>3.7</v>
      </c>
      <c r="F49" s="118">
        <v>36175</v>
      </c>
      <c r="G49">
        <v>3.9</v>
      </c>
      <c r="J49" s="118">
        <v>36175</v>
      </c>
      <c r="K49">
        <v>3.89</v>
      </c>
      <c r="O49" s="118">
        <v>36175</v>
      </c>
      <c r="P49">
        <v>3.92</v>
      </c>
      <c r="Q49" s="118">
        <v>36175</v>
      </c>
      <c r="R49">
        <v>6.32</v>
      </c>
      <c r="AA49" s="118">
        <v>36175</v>
      </c>
      <c r="AB49">
        <v>3.88</v>
      </c>
    </row>
    <row r="50" spans="1:28" x14ac:dyDescent="0.2">
      <c r="A50" s="118">
        <v>36206</v>
      </c>
      <c r="B50">
        <v>3.85</v>
      </c>
      <c r="F50" s="118">
        <v>36206</v>
      </c>
      <c r="G50">
        <v>4.0200000000000005</v>
      </c>
      <c r="J50" s="118">
        <v>36206</v>
      </c>
      <c r="K50">
        <v>4.0200000000000005</v>
      </c>
      <c r="O50" s="118">
        <v>36206</v>
      </c>
      <c r="P50">
        <v>4.05</v>
      </c>
      <c r="Q50" s="118">
        <v>36206</v>
      </c>
      <c r="R50">
        <v>5.96</v>
      </c>
      <c r="AA50" s="118">
        <v>36206</v>
      </c>
      <c r="AB50">
        <v>4.0200000000000005</v>
      </c>
    </row>
    <row r="51" spans="1:28" x14ac:dyDescent="0.2">
      <c r="A51" s="118">
        <v>36234</v>
      </c>
      <c r="B51">
        <v>4.04</v>
      </c>
      <c r="F51" s="118">
        <v>36234</v>
      </c>
      <c r="G51">
        <v>4.24</v>
      </c>
      <c r="J51" s="118">
        <v>36234</v>
      </c>
      <c r="K51">
        <v>4.1900000000000004</v>
      </c>
      <c r="O51" s="118">
        <v>36234</v>
      </c>
      <c r="P51">
        <v>4.2700000000000005</v>
      </c>
      <c r="Q51" s="118">
        <v>36234</v>
      </c>
      <c r="R51">
        <v>5.97</v>
      </c>
      <c r="AA51" s="118">
        <v>36234</v>
      </c>
      <c r="AB51">
        <v>4.26</v>
      </c>
    </row>
    <row r="52" spans="1:28" x14ac:dyDescent="0.2">
      <c r="A52" s="118">
        <v>36265</v>
      </c>
      <c r="B52">
        <v>3.85</v>
      </c>
      <c r="F52" s="118">
        <v>36265</v>
      </c>
      <c r="G52">
        <v>4.13</v>
      </c>
      <c r="J52" s="118">
        <v>36265</v>
      </c>
      <c r="K52">
        <v>3.95</v>
      </c>
      <c r="O52" s="118">
        <v>36265</v>
      </c>
      <c r="P52">
        <v>4.1100000000000003</v>
      </c>
      <c r="Q52" s="118">
        <v>36265</v>
      </c>
      <c r="R52">
        <v>5.8500000000000005</v>
      </c>
      <c r="AA52" s="118">
        <v>36265</v>
      </c>
      <c r="AB52">
        <v>4.08</v>
      </c>
    </row>
    <row r="53" spans="1:28" x14ac:dyDescent="0.2">
      <c r="A53" s="118">
        <v>36295</v>
      </c>
      <c r="B53">
        <v>4.01</v>
      </c>
      <c r="F53" s="118">
        <v>36295</v>
      </c>
      <c r="G53">
        <v>4.32</v>
      </c>
      <c r="J53" s="118">
        <v>36295</v>
      </c>
      <c r="K53">
        <v>4.18</v>
      </c>
      <c r="O53" s="118">
        <v>36295</v>
      </c>
      <c r="P53">
        <v>4.28</v>
      </c>
      <c r="Q53" s="118">
        <v>36295</v>
      </c>
      <c r="R53">
        <v>5.75</v>
      </c>
      <c r="AA53" s="118">
        <v>36295</v>
      </c>
      <c r="AB53">
        <v>4.28</v>
      </c>
    </row>
    <row r="54" spans="1:28" x14ac:dyDescent="0.2">
      <c r="A54" s="118">
        <v>36326</v>
      </c>
      <c r="B54">
        <v>4.3600000000000003</v>
      </c>
      <c r="F54" s="118">
        <v>36326</v>
      </c>
      <c r="G54">
        <v>4.66</v>
      </c>
      <c r="J54" s="118">
        <v>36326</v>
      </c>
      <c r="K54">
        <v>4.59</v>
      </c>
      <c r="O54" s="118">
        <v>36326</v>
      </c>
      <c r="P54">
        <v>4.62</v>
      </c>
      <c r="Q54" s="118">
        <v>36326</v>
      </c>
      <c r="R54">
        <v>6.0200000000000005</v>
      </c>
      <c r="AA54" s="118">
        <v>36326</v>
      </c>
      <c r="AB54">
        <v>4.6000000000000005</v>
      </c>
    </row>
    <row r="55" spans="1:28" x14ac:dyDescent="0.2">
      <c r="A55" s="118">
        <v>36356</v>
      </c>
      <c r="B55">
        <v>4.68</v>
      </c>
      <c r="F55" s="118">
        <v>36356</v>
      </c>
      <c r="G55">
        <v>4.99</v>
      </c>
      <c r="J55" s="118">
        <v>36356</v>
      </c>
      <c r="K55">
        <v>4.9400000000000004</v>
      </c>
      <c r="O55" s="118">
        <v>36356</v>
      </c>
      <c r="P55">
        <v>4.9400000000000004</v>
      </c>
      <c r="Q55" s="118">
        <v>36356</v>
      </c>
      <c r="R55">
        <v>6.37</v>
      </c>
      <c r="AA55" s="118">
        <v>36356</v>
      </c>
      <c r="AB55">
        <v>4.91</v>
      </c>
    </row>
    <row r="56" spans="1:28" x14ac:dyDescent="0.2">
      <c r="A56" s="118">
        <v>36387</v>
      </c>
      <c r="B56">
        <v>4.88</v>
      </c>
      <c r="F56" s="118">
        <v>36387</v>
      </c>
      <c r="G56">
        <v>5.22</v>
      </c>
      <c r="J56" s="118">
        <v>36387</v>
      </c>
      <c r="K56">
        <v>5.16</v>
      </c>
      <c r="O56" s="118">
        <v>36387</v>
      </c>
      <c r="P56">
        <v>5.13</v>
      </c>
      <c r="Q56" s="118">
        <v>36387</v>
      </c>
      <c r="R56">
        <v>6.66</v>
      </c>
      <c r="AA56" s="118">
        <v>36387</v>
      </c>
      <c r="AB56">
        <v>5.17</v>
      </c>
    </row>
    <row r="57" spans="1:28" x14ac:dyDescent="0.2">
      <c r="A57" s="118">
        <v>36418</v>
      </c>
      <c r="B57">
        <v>5.04</v>
      </c>
      <c r="F57" s="118">
        <v>36418</v>
      </c>
      <c r="G57">
        <v>5.41</v>
      </c>
      <c r="J57" s="118">
        <v>36418</v>
      </c>
      <c r="K57">
        <v>5.34</v>
      </c>
      <c r="O57" s="118">
        <v>36418</v>
      </c>
      <c r="P57">
        <v>5.28</v>
      </c>
      <c r="Q57" s="118">
        <v>36418</v>
      </c>
      <c r="R57">
        <v>6.6400000000000006</v>
      </c>
      <c r="AA57" s="118">
        <v>36418</v>
      </c>
      <c r="AB57">
        <v>5.32</v>
      </c>
    </row>
    <row r="58" spans="1:28" x14ac:dyDescent="0.2">
      <c r="A58" s="118">
        <v>36448</v>
      </c>
      <c r="B58">
        <v>5.29</v>
      </c>
      <c r="F58" s="118">
        <v>36448</v>
      </c>
      <c r="G58">
        <v>5.62</v>
      </c>
      <c r="J58" s="118">
        <v>36448</v>
      </c>
      <c r="K58">
        <v>5.57</v>
      </c>
      <c r="O58" s="118">
        <v>36448</v>
      </c>
      <c r="P58">
        <v>5.5200000000000005</v>
      </c>
      <c r="Q58" s="118">
        <v>36448</v>
      </c>
      <c r="R58">
        <v>7.03</v>
      </c>
      <c r="AA58" s="118">
        <v>36448</v>
      </c>
      <c r="AB58">
        <v>5.5600000000000005</v>
      </c>
    </row>
    <row r="59" spans="1:28" x14ac:dyDescent="0.2">
      <c r="A59" s="118">
        <v>36479</v>
      </c>
      <c r="B59">
        <v>5.04</v>
      </c>
      <c r="F59" s="118">
        <v>36479</v>
      </c>
      <c r="G59">
        <v>5.36</v>
      </c>
      <c r="J59" s="118">
        <v>36479</v>
      </c>
      <c r="K59">
        <v>5.3100000000000005</v>
      </c>
      <c r="O59" s="118">
        <v>36479</v>
      </c>
      <c r="P59">
        <v>5.25</v>
      </c>
      <c r="Q59" s="118">
        <v>36479</v>
      </c>
      <c r="R59">
        <v>6.61</v>
      </c>
      <c r="AA59" s="118">
        <v>36479</v>
      </c>
      <c r="AB59">
        <v>5.28</v>
      </c>
    </row>
    <row r="60" spans="1:28" x14ac:dyDescent="0.2">
      <c r="A60" s="118">
        <v>36509</v>
      </c>
      <c r="B60">
        <v>5.15</v>
      </c>
      <c r="F60" s="118">
        <v>36509</v>
      </c>
      <c r="G60">
        <v>5.46</v>
      </c>
      <c r="J60" s="118">
        <v>36509</v>
      </c>
      <c r="K60">
        <v>5.39</v>
      </c>
      <c r="O60" s="118">
        <v>36509</v>
      </c>
      <c r="P60">
        <v>5.36</v>
      </c>
      <c r="Q60" s="118">
        <v>36509</v>
      </c>
      <c r="R60">
        <v>6.3900000000000006</v>
      </c>
      <c r="AA60" s="118">
        <v>36509</v>
      </c>
      <c r="AB60">
        <v>5.37</v>
      </c>
    </row>
    <row r="61" spans="1:28" x14ac:dyDescent="0.2">
      <c r="A61" s="118">
        <v>36540</v>
      </c>
      <c r="B61">
        <v>5.54</v>
      </c>
      <c r="F61" s="118">
        <v>36540</v>
      </c>
      <c r="G61">
        <v>5.8100000000000005</v>
      </c>
      <c r="J61" s="118">
        <v>36540</v>
      </c>
      <c r="K61">
        <v>5.8</v>
      </c>
      <c r="O61" s="118">
        <v>36540</v>
      </c>
      <c r="P61">
        <v>5.75</v>
      </c>
      <c r="Q61" s="118">
        <v>36540</v>
      </c>
      <c r="R61">
        <v>6.6000000000000005</v>
      </c>
      <c r="AA61" s="118">
        <v>36540</v>
      </c>
      <c r="AB61">
        <v>5.76</v>
      </c>
    </row>
    <row r="62" spans="1:28" x14ac:dyDescent="0.2">
      <c r="A62" s="118">
        <v>36571</v>
      </c>
      <c r="B62">
        <v>5.51</v>
      </c>
      <c r="F62" s="118">
        <v>36571</v>
      </c>
      <c r="G62">
        <v>5.78</v>
      </c>
      <c r="J62" s="118">
        <v>36571</v>
      </c>
      <c r="K62">
        <v>5.76</v>
      </c>
      <c r="O62" s="118">
        <v>36571</v>
      </c>
      <c r="P62">
        <v>5.73</v>
      </c>
      <c r="Q62" s="118">
        <v>36571</v>
      </c>
      <c r="R62">
        <v>6.48</v>
      </c>
      <c r="AA62" s="118">
        <v>36571</v>
      </c>
      <c r="AB62">
        <v>5.73</v>
      </c>
    </row>
    <row r="63" spans="1:28" x14ac:dyDescent="0.2">
      <c r="A63" s="118">
        <v>36600</v>
      </c>
      <c r="B63">
        <v>5.33</v>
      </c>
      <c r="F63" s="118">
        <v>36600</v>
      </c>
      <c r="G63">
        <v>5.61</v>
      </c>
      <c r="J63" s="118">
        <v>36600</v>
      </c>
      <c r="K63">
        <v>5.58</v>
      </c>
      <c r="O63" s="118">
        <v>36600</v>
      </c>
      <c r="P63">
        <v>5.58</v>
      </c>
      <c r="Q63" s="118">
        <v>36600</v>
      </c>
      <c r="R63">
        <v>6.24</v>
      </c>
      <c r="AA63" s="118">
        <v>36600</v>
      </c>
      <c r="AB63">
        <v>5.55</v>
      </c>
    </row>
    <row r="64" spans="1:28" x14ac:dyDescent="0.2">
      <c r="A64" s="118">
        <v>36631</v>
      </c>
      <c r="B64">
        <v>5.22</v>
      </c>
      <c r="F64" s="118">
        <v>36631</v>
      </c>
      <c r="G64">
        <v>5.5200000000000005</v>
      </c>
      <c r="J64" s="118">
        <v>36631</v>
      </c>
      <c r="K64">
        <v>5.46</v>
      </c>
      <c r="O64" s="118">
        <v>36631</v>
      </c>
      <c r="P64">
        <v>5.47</v>
      </c>
      <c r="Q64" s="118">
        <v>36631</v>
      </c>
      <c r="R64">
        <v>6.09</v>
      </c>
      <c r="AA64" s="118">
        <v>36631</v>
      </c>
      <c r="AB64">
        <v>5.45</v>
      </c>
    </row>
    <row r="65" spans="1:28" x14ac:dyDescent="0.2">
      <c r="A65" s="118">
        <v>36661</v>
      </c>
      <c r="B65">
        <v>5.38</v>
      </c>
      <c r="F65" s="118">
        <v>36661</v>
      </c>
      <c r="G65">
        <v>5.68</v>
      </c>
      <c r="J65" s="118">
        <v>36661</v>
      </c>
      <c r="K65">
        <v>5.61</v>
      </c>
      <c r="O65" s="118">
        <v>36661</v>
      </c>
      <c r="P65">
        <v>5.66</v>
      </c>
      <c r="Q65" s="118">
        <v>36661</v>
      </c>
      <c r="R65">
        <v>6.18</v>
      </c>
      <c r="AA65" s="118">
        <v>36661</v>
      </c>
      <c r="AB65">
        <v>5.63</v>
      </c>
    </row>
    <row r="66" spans="1:28" x14ac:dyDescent="0.2">
      <c r="A66" s="118">
        <v>36692</v>
      </c>
      <c r="B66">
        <v>5.19</v>
      </c>
      <c r="F66" s="118">
        <v>36692</v>
      </c>
      <c r="G66">
        <v>5.54</v>
      </c>
      <c r="J66" s="118">
        <v>36692</v>
      </c>
      <c r="K66">
        <v>5.43</v>
      </c>
      <c r="O66" s="118">
        <v>36692</v>
      </c>
      <c r="P66">
        <v>5.51</v>
      </c>
      <c r="Q66" s="118">
        <v>36692</v>
      </c>
      <c r="R66">
        <v>6.0600000000000005</v>
      </c>
      <c r="AA66" s="118">
        <v>36692</v>
      </c>
      <c r="AB66">
        <v>5.45</v>
      </c>
    </row>
    <row r="67" spans="1:28" x14ac:dyDescent="0.2">
      <c r="A67" s="118">
        <v>36722</v>
      </c>
      <c r="B67">
        <v>5.2700000000000005</v>
      </c>
      <c r="F67" s="118">
        <v>36722</v>
      </c>
      <c r="G67">
        <v>5.61</v>
      </c>
      <c r="J67" s="118">
        <v>36722</v>
      </c>
      <c r="K67">
        <v>5.5200000000000005</v>
      </c>
      <c r="O67" s="118">
        <v>36722</v>
      </c>
      <c r="P67">
        <v>5.59</v>
      </c>
      <c r="Q67" s="118">
        <v>36722</v>
      </c>
      <c r="R67">
        <v>6.08</v>
      </c>
      <c r="AA67" s="118">
        <v>36722</v>
      </c>
      <c r="AB67">
        <v>5.53</v>
      </c>
    </row>
    <row r="68" spans="1:28" x14ac:dyDescent="0.2">
      <c r="A68" s="118">
        <v>36753</v>
      </c>
      <c r="B68">
        <v>5.21</v>
      </c>
      <c r="F68" s="118">
        <v>36753</v>
      </c>
      <c r="G68">
        <v>5.57</v>
      </c>
      <c r="J68" s="118">
        <v>36753</v>
      </c>
      <c r="K68">
        <v>5.47</v>
      </c>
      <c r="O68" s="118">
        <v>36753</v>
      </c>
      <c r="P68">
        <v>5.5600000000000005</v>
      </c>
      <c r="Q68" s="118">
        <v>36753</v>
      </c>
      <c r="R68">
        <v>6.04</v>
      </c>
      <c r="AA68" s="118">
        <v>36753</v>
      </c>
      <c r="AB68">
        <v>5.5</v>
      </c>
    </row>
    <row r="69" spans="1:28" x14ac:dyDescent="0.2">
      <c r="A69" s="118">
        <v>36784</v>
      </c>
      <c r="B69">
        <v>5.26</v>
      </c>
      <c r="F69" s="118">
        <v>36784</v>
      </c>
      <c r="G69">
        <v>5.63</v>
      </c>
      <c r="J69" s="118">
        <v>36784</v>
      </c>
      <c r="K69">
        <v>5.5200000000000005</v>
      </c>
      <c r="O69" s="118">
        <v>36784</v>
      </c>
      <c r="P69">
        <v>5.63</v>
      </c>
      <c r="Q69" s="118">
        <v>36784</v>
      </c>
      <c r="R69">
        <v>6.05</v>
      </c>
      <c r="AA69" s="118">
        <v>36784</v>
      </c>
      <c r="AB69">
        <v>5.5600000000000005</v>
      </c>
    </row>
    <row r="70" spans="1:28" x14ac:dyDescent="0.2">
      <c r="A70" s="118">
        <v>36814</v>
      </c>
      <c r="B70">
        <v>5.21</v>
      </c>
      <c r="F70" s="118">
        <v>36814</v>
      </c>
      <c r="G70">
        <v>5.58</v>
      </c>
      <c r="J70" s="118">
        <v>36814</v>
      </c>
      <c r="K70">
        <v>5.46</v>
      </c>
      <c r="O70" s="118">
        <v>36814</v>
      </c>
      <c r="P70">
        <v>5.58</v>
      </c>
      <c r="Q70" s="118">
        <v>36814</v>
      </c>
      <c r="R70">
        <v>5.97</v>
      </c>
      <c r="AA70" s="118">
        <v>36814</v>
      </c>
      <c r="AB70">
        <v>5.5</v>
      </c>
    </row>
    <row r="71" spans="1:28" x14ac:dyDescent="0.2">
      <c r="A71" s="118">
        <v>36845</v>
      </c>
      <c r="B71">
        <v>5.15</v>
      </c>
      <c r="F71" s="118">
        <v>36845</v>
      </c>
      <c r="G71">
        <v>5.53</v>
      </c>
      <c r="J71" s="118">
        <v>36845</v>
      </c>
      <c r="K71">
        <v>5.4</v>
      </c>
      <c r="O71" s="118">
        <v>36845</v>
      </c>
      <c r="P71">
        <v>5.55</v>
      </c>
      <c r="Q71" s="118">
        <v>36845</v>
      </c>
      <c r="R71">
        <v>5.87</v>
      </c>
      <c r="AA71" s="118">
        <v>36845</v>
      </c>
      <c r="AB71">
        <v>5.45</v>
      </c>
    </row>
    <row r="72" spans="1:28" x14ac:dyDescent="0.2">
      <c r="A72" s="118">
        <v>36875</v>
      </c>
      <c r="B72">
        <v>4.8899999999999997</v>
      </c>
      <c r="F72" s="118">
        <v>36875</v>
      </c>
      <c r="G72">
        <v>5.28</v>
      </c>
      <c r="J72" s="118">
        <v>36875</v>
      </c>
      <c r="K72">
        <v>5.14</v>
      </c>
      <c r="O72" s="118">
        <v>36875</v>
      </c>
      <c r="P72">
        <v>5.3</v>
      </c>
      <c r="Q72" s="118">
        <v>36875</v>
      </c>
      <c r="R72">
        <v>5.54</v>
      </c>
      <c r="AA72" s="118">
        <v>36875</v>
      </c>
      <c r="AB72">
        <v>5.2</v>
      </c>
    </row>
    <row r="73" spans="1:28" x14ac:dyDescent="0.2">
      <c r="A73" s="118">
        <v>36906</v>
      </c>
      <c r="B73">
        <v>4.8</v>
      </c>
      <c r="F73" s="118">
        <v>36906</v>
      </c>
      <c r="G73">
        <v>5.16</v>
      </c>
      <c r="J73" s="118">
        <v>36906</v>
      </c>
      <c r="K73">
        <v>5.03</v>
      </c>
      <c r="O73" s="118">
        <v>36906</v>
      </c>
      <c r="P73">
        <v>5.18</v>
      </c>
      <c r="Q73" s="118">
        <v>36906</v>
      </c>
      <c r="R73">
        <v>5.3500000000000005</v>
      </c>
      <c r="AA73" s="118">
        <v>36906</v>
      </c>
      <c r="AB73">
        <v>5.08</v>
      </c>
    </row>
    <row r="74" spans="1:28" x14ac:dyDescent="0.2">
      <c r="A74" s="118">
        <v>36937</v>
      </c>
      <c r="B74">
        <v>4.78</v>
      </c>
      <c r="F74" s="118">
        <v>36937</v>
      </c>
      <c r="G74">
        <v>5.14</v>
      </c>
      <c r="J74" s="118">
        <v>36937</v>
      </c>
      <c r="K74">
        <v>5.01</v>
      </c>
      <c r="O74" s="118">
        <v>36937</v>
      </c>
      <c r="P74">
        <v>5.18</v>
      </c>
      <c r="Q74" s="118">
        <v>36937</v>
      </c>
      <c r="R74">
        <v>5.3500000000000005</v>
      </c>
      <c r="AA74" s="118">
        <v>36937</v>
      </c>
      <c r="AB74">
        <v>5.12</v>
      </c>
    </row>
    <row r="75" spans="1:28" x14ac:dyDescent="0.2">
      <c r="A75" s="118">
        <v>36965</v>
      </c>
      <c r="B75">
        <v>4.67</v>
      </c>
      <c r="F75" s="118">
        <v>36965</v>
      </c>
      <c r="G75">
        <v>5.09</v>
      </c>
      <c r="J75" s="118">
        <v>36965</v>
      </c>
      <c r="K75">
        <v>4.92</v>
      </c>
      <c r="O75" s="118">
        <v>36965</v>
      </c>
      <c r="P75">
        <v>5.13</v>
      </c>
      <c r="Q75" s="118">
        <v>36965</v>
      </c>
      <c r="R75">
        <v>5.28</v>
      </c>
      <c r="AA75" s="118">
        <v>36965</v>
      </c>
      <c r="AB75">
        <v>5.04</v>
      </c>
    </row>
    <row r="76" spans="1:28" x14ac:dyDescent="0.2">
      <c r="A76" s="118">
        <v>36996</v>
      </c>
      <c r="B76">
        <v>4.83</v>
      </c>
      <c r="F76" s="118">
        <v>36996</v>
      </c>
      <c r="G76">
        <v>5.26</v>
      </c>
      <c r="J76" s="118">
        <v>36996</v>
      </c>
      <c r="K76">
        <v>5.09</v>
      </c>
      <c r="O76" s="118">
        <v>36996</v>
      </c>
      <c r="P76">
        <v>5.28</v>
      </c>
      <c r="Q76" s="118">
        <v>36996</v>
      </c>
      <c r="R76">
        <v>5.39</v>
      </c>
      <c r="AA76" s="118">
        <v>36996</v>
      </c>
      <c r="AB76">
        <v>5.18</v>
      </c>
    </row>
    <row r="77" spans="1:28" x14ac:dyDescent="0.2">
      <c r="A77" s="118">
        <v>37026</v>
      </c>
      <c r="B77">
        <v>5.05</v>
      </c>
      <c r="F77" s="118">
        <v>37026</v>
      </c>
      <c r="G77">
        <v>5.42</v>
      </c>
      <c r="J77" s="118">
        <v>37026</v>
      </c>
      <c r="K77">
        <v>5.28</v>
      </c>
      <c r="O77" s="118">
        <v>37026</v>
      </c>
      <c r="P77">
        <v>5.45</v>
      </c>
      <c r="Q77" s="118">
        <v>37026</v>
      </c>
      <c r="R77">
        <v>5.54</v>
      </c>
      <c r="AA77" s="118">
        <v>37026</v>
      </c>
      <c r="AB77">
        <v>5.36</v>
      </c>
    </row>
    <row r="78" spans="1:28" x14ac:dyDescent="0.2">
      <c r="A78" s="118">
        <v>37057</v>
      </c>
      <c r="B78">
        <v>5</v>
      </c>
      <c r="F78" s="118">
        <v>37057</v>
      </c>
      <c r="G78">
        <v>5.38</v>
      </c>
      <c r="J78" s="118">
        <v>37057</v>
      </c>
      <c r="K78">
        <v>5.23</v>
      </c>
      <c r="O78" s="118">
        <v>37057</v>
      </c>
      <c r="P78">
        <v>5.4</v>
      </c>
      <c r="Q78" s="118">
        <v>37057</v>
      </c>
      <c r="R78">
        <v>5.48</v>
      </c>
      <c r="AA78" s="118">
        <v>37057</v>
      </c>
      <c r="AB78">
        <v>5.33</v>
      </c>
    </row>
    <row r="79" spans="1:28" x14ac:dyDescent="0.2">
      <c r="A79" s="118">
        <v>37087</v>
      </c>
      <c r="B79">
        <v>5.0200000000000005</v>
      </c>
      <c r="F79" s="118">
        <v>37087</v>
      </c>
      <c r="G79">
        <v>5.39</v>
      </c>
      <c r="J79" s="118">
        <v>37087</v>
      </c>
      <c r="K79">
        <v>5.23</v>
      </c>
      <c r="O79" s="118">
        <v>37087</v>
      </c>
      <c r="P79">
        <v>5.42</v>
      </c>
      <c r="Q79" s="118">
        <v>37087</v>
      </c>
      <c r="R79">
        <v>5.51</v>
      </c>
      <c r="AA79" s="118">
        <v>37087</v>
      </c>
      <c r="AB79">
        <v>5.3500000000000005</v>
      </c>
    </row>
    <row r="80" spans="1:28" x14ac:dyDescent="0.2">
      <c r="A80" s="118">
        <v>37118</v>
      </c>
      <c r="B80">
        <v>4.82</v>
      </c>
      <c r="F80" s="118">
        <v>37118</v>
      </c>
      <c r="G80">
        <v>5.19</v>
      </c>
      <c r="J80" s="118">
        <v>37118</v>
      </c>
      <c r="K80">
        <v>5.01</v>
      </c>
      <c r="O80" s="118">
        <v>37118</v>
      </c>
      <c r="P80">
        <v>5.22</v>
      </c>
      <c r="Q80" s="118">
        <v>37118</v>
      </c>
      <c r="R80">
        <v>5.33</v>
      </c>
      <c r="AA80" s="118">
        <v>37118</v>
      </c>
      <c r="AB80">
        <v>5.16</v>
      </c>
    </row>
    <row r="81" spans="1:28" x14ac:dyDescent="0.2">
      <c r="A81" s="118">
        <v>37149</v>
      </c>
      <c r="B81">
        <v>4.8100000000000005</v>
      </c>
      <c r="F81" s="118">
        <v>37149</v>
      </c>
      <c r="G81">
        <v>5.17</v>
      </c>
      <c r="J81" s="118">
        <v>37149</v>
      </c>
      <c r="K81">
        <v>5.01</v>
      </c>
      <c r="O81" s="118">
        <v>37149</v>
      </c>
      <c r="P81">
        <v>5.2</v>
      </c>
      <c r="Q81" s="118">
        <v>37149</v>
      </c>
      <c r="R81">
        <v>5.3100000000000005</v>
      </c>
      <c r="AA81" s="118">
        <v>37149</v>
      </c>
      <c r="AB81">
        <v>5.14</v>
      </c>
    </row>
    <row r="82" spans="1:28" x14ac:dyDescent="0.2">
      <c r="A82" s="118">
        <v>37179</v>
      </c>
      <c r="B82">
        <v>4.6000000000000005</v>
      </c>
      <c r="F82" s="118">
        <v>37179</v>
      </c>
      <c r="G82">
        <v>4.92</v>
      </c>
      <c r="J82" s="118">
        <v>37179</v>
      </c>
      <c r="K82">
        <v>4.7700000000000005</v>
      </c>
      <c r="O82" s="118">
        <v>37179</v>
      </c>
      <c r="P82">
        <v>4.96</v>
      </c>
      <c r="Q82" s="118">
        <v>37179</v>
      </c>
      <c r="R82">
        <v>5.07</v>
      </c>
      <c r="AA82" s="118">
        <v>37179</v>
      </c>
      <c r="AB82">
        <v>4.91</v>
      </c>
    </row>
    <row r="83" spans="1:28" x14ac:dyDescent="0.2">
      <c r="A83" s="118">
        <v>37210</v>
      </c>
      <c r="B83">
        <v>4.45</v>
      </c>
      <c r="F83" s="118">
        <v>37210</v>
      </c>
      <c r="G83">
        <v>4.76</v>
      </c>
      <c r="J83" s="118">
        <v>37210</v>
      </c>
      <c r="K83">
        <v>4.63</v>
      </c>
      <c r="O83" s="118">
        <v>37210</v>
      </c>
      <c r="P83">
        <v>4.8</v>
      </c>
      <c r="Q83" s="118">
        <v>37210</v>
      </c>
      <c r="R83">
        <v>4.9000000000000004</v>
      </c>
      <c r="AA83" s="118">
        <v>37210</v>
      </c>
      <c r="AB83">
        <v>4.76</v>
      </c>
    </row>
    <row r="84" spans="1:28" x14ac:dyDescent="0.2">
      <c r="A84" s="118">
        <v>37240</v>
      </c>
      <c r="B84">
        <v>4.74</v>
      </c>
      <c r="F84" s="118">
        <v>37240</v>
      </c>
      <c r="G84">
        <v>5.01</v>
      </c>
      <c r="J84" s="118">
        <v>37240</v>
      </c>
      <c r="K84">
        <v>4.93</v>
      </c>
      <c r="O84" s="118">
        <v>37240</v>
      </c>
      <c r="P84">
        <v>5.05</v>
      </c>
      <c r="Q84" s="118">
        <v>37240</v>
      </c>
      <c r="R84">
        <v>5.13</v>
      </c>
      <c r="AA84" s="118">
        <v>37240</v>
      </c>
      <c r="AB84">
        <v>4.97</v>
      </c>
    </row>
    <row r="85" spans="1:28" x14ac:dyDescent="0.2">
      <c r="A85" s="118">
        <v>37271</v>
      </c>
      <c r="B85">
        <v>4.8600000000000003</v>
      </c>
      <c r="F85" s="118">
        <v>37271</v>
      </c>
      <c r="G85">
        <v>5.08</v>
      </c>
      <c r="J85" s="118">
        <v>37271</v>
      </c>
      <c r="K85">
        <v>5.0200000000000005</v>
      </c>
      <c r="O85" s="118">
        <v>37271</v>
      </c>
      <c r="P85">
        <v>5.14</v>
      </c>
      <c r="Q85" s="118">
        <v>37271</v>
      </c>
      <c r="R85">
        <v>5.24</v>
      </c>
      <c r="AA85" s="118">
        <v>37271</v>
      </c>
      <c r="AB85">
        <v>5.05</v>
      </c>
    </row>
    <row r="86" spans="1:28" x14ac:dyDescent="0.2">
      <c r="A86" s="118">
        <v>37302</v>
      </c>
      <c r="B86">
        <v>4.92</v>
      </c>
      <c r="F86" s="118">
        <v>37302</v>
      </c>
      <c r="G86">
        <v>5.15</v>
      </c>
      <c r="J86" s="118">
        <v>37302</v>
      </c>
      <c r="K86">
        <v>5.2</v>
      </c>
      <c r="O86" s="118">
        <v>37302</v>
      </c>
      <c r="P86">
        <v>5.2</v>
      </c>
      <c r="Q86" s="118">
        <v>37302</v>
      </c>
      <c r="R86">
        <v>5.3100000000000005</v>
      </c>
      <c r="AA86" s="118">
        <v>37302</v>
      </c>
      <c r="AB86">
        <v>5.1100000000000003</v>
      </c>
    </row>
    <row r="87" spans="1:28" x14ac:dyDescent="0.2">
      <c r="A87" s="118">
        <v>37330</v>
      </c>
      <c r="B87">
        <v>5.16</v>
      </c>
      <c r="F87" s="118">
        <v>37330</v>
      </c>
      <c r="G87">
        <v>5.39</v>
      </c>
      <c r="J87" s="118">
        <v>37330</v>
      </c>
      <c r="K87">
        <v>5.42</v>
      </c>
      <c r="O87" s="118">
        <v>37330</v>
      </c>
      <c r="P87">
        <v>5.41</v>
      </c>
      <c r="Q87" s="118">
        <v>37330</v>
      </c>
      <c r="R87">
        <v>5.5</v>
      </c>
      <c r="AA87" s="118">
        <v>37330</v>
      </c>
      <c r="AB87">
        <v>5.34</v>
      </c>
    </row>
    <row r="88" spans="1:28" x14ac:dyDescent="0.2">
      <c r="A88" s="118">
        <v>37361</v>
      </c>
      <c r="B88">
        <v>5.15</v>
      </c>
      <c r="F88" s="118">
        <v>37361</v>
      </c>
      <c r="G88">
        <v>5.39</v>
      </c>
      <c r="J88" s="118">
        <v>37361</v>
      </c>
      <c r="K88">
        <v>5.41</v>
      </c>
      <c r="O88" s="118">
        <v>37361</v>
      </c>
      <c r="P88">
        <v>5.4</v>
      </c>
      <c r="Q88" s="118">
        <v>37361</v>
      </c>
      <c r="R88">
        <v>5.51</v>
      </c>
      <c r="AA88" s="118">
        <v>37361</v>
      </c>
      <c r="AB88">
        <v>5.34</v>
      </c>
    </row>
    <row r="89" spans="1:28" x14ac:dyDescent="0.2">
      <c r="A89" s="118">
        <v>37391</v>
      </c>
      <c r="B89">
        <v>5.17</v>
      </c>
      <c r="F89" s="118">
        <v>37391</v>
      </c>
      <c r="G89">
        <v>5.4</v>
      </c>
      <c r="J89" s="118">
        <v>37391</v>
      </c>
      <c r="K89">
        <v>5.41</v>
      </c>
      <c r="O89" s="118">
        <v>37391</v>
      </c>
      <c r="P89">
        <v>5.41</v>
      </c>
      <c r="Q89" s="118">
        <v>37391</v>
      </c>
      <c r="R89">
        <v>5.5200000000000005</v>
      </c>
      <c r="AA89" s="118">
        <v>37391</v>
      </c>
      <c r="AB89">
        <v>5.36</v>
      </c>
    </row>
    <row r="90" spans="1:28" x14ac:dyDescent="0.2">
      <c r="A90" s="118">
        <v>37422</v>
      </c>
      <c r="B90">
        <v>5.0200000000000005</v>
      </c>
      <c r="F90" s="118">
        <v>37422</v>
      </c>
      <c r="G90">
        <v>5.26</v>
      </c>
      <c r="J90" s="118">
        <v>37422</v>
      </c>
      <c r="K90">
        <v>5.25</v>
      </c>
      <c r="O90" s="118">
        <v>37422</v>
      </c>
      <c r="P90">
        <v>5.26</v>
      </c>
      <c r="Q90" s="118">
        <v>37422</v>
      </c>
      <c r="R90">
        <v>5.37</v>
      </c>
      <c r="AA90" s="118">
        <v>37422</v>
      </c>
      <c r="AB90">
        <v>5.23</v>
      </c>
    </row>
    <row r="91" spans="1:28" x14ac:dyDescent="0.2">
      <c r="A91" s="118">
        <v>37452</v>
      </c>
      <c r="B91">
        <v>4.87</v>
      </c>
      <c r="F91" s="118">
        <v>37452</v>
      </c>
      <c r="G91">
        <v>5.12</v>
      </c>
      <c r="J91" s="118">
        <v>37452</v>
      </c>
      <c r="K91">
        <v>5.1100000000000003</v>
      </c>
      <c r="O91" s="118">
        <v>37452</v>
      </c>
      <c r="P91">
        <v>5.1100000000000003</v>
      </c>
      <c r="Q91" s="118">
        <v>37452</v>
      </c>
      <c r="R91">
        <v>5.21</v>
      </c>
      <c r="AA91" s="118">
        <v>37452</v>
      </c>
      <c r="AB91">
        <v>5.07</v>
      </c>
    </row>
    <row r="92" spans="1:28" x14ac:dyDescent="0.2">
      <c r="A92" s="118">
        <v>37483</v>
      </c>
      <c r="B92">
        <v>4.59</v>
      </c>
      <c r="F92" s="118">
        <v>37483</v>
      </c>
      <c r="G92">
        <v>4.8500000000000005</v>
      </c>
      <c r="J92" s="118">
        <v>37483</v>
      </c>
      <c r="K92">
        <v>4.84</v>
      </c>
      <c r="O92" s="118">
        <v>37483</v>
      </c>
      <c r="P92">
        <v>4.83</v>
      </c>
      <c r="Q92" s="118">
        <v>37483</v>
      </c>
      <c r="R92">
        <v>4.95</v>
      </c>
      <c r="AA92" s="118">
        <v>37483</v>
      </c>
      <c r="AB92">
        <v>4.78</v>
      </c>
    </row>
    <row r="93" spans="1:28" x14ac:dyDescent="0.2">
      <c r="A93" s="118">
        <v>37514</v>
      </c>
      <c r="B93">
        <v>4.38</v>
      </c>
      <c r="F93" s="118">
        <v>37514</v>
      </c>
      <c r="G93">
        <v>4.63</v>
      </c>
      <c r="J93" s="118">
        <v>37514</v>
      </c>
      <c r="K93">
        <v>4.63</v>
      </c>
      <c r="O93" s="118">
        <v>37514</v>
      </c>
      <c r="P93">
        <v>4.62</v>
      </c>
      <c r="Q93" s="118">
        <v>37514</v>
      </c>
      <c r="R93">
        <v>4.7300000000000004</v>
      </c>
      <c r="AA93" s="118">
        <v>37514</v>
      </c>
      <c r="AB93">
        <v>4.57</v>
      </c>
    </row>
    <row r="94" spans="1:28" x14ac:dyDescent="0.2">
      <c r="A94" s="118">
        <v>37544</v>
      </c>
      <c r="B94">
        <v>4.46</v>
      </c>
      <c r="F94" s="118">
        <v>37544</v>
      </c>
      <c r="G94">
        <v>4.7</v>
      </c>
      <c r="J94" s="118">
        <v>37544</v>
      </c>
      <c r="K94">
        <v>4.7</v>
      </c>
      <c r="O94" s="118">
        <v>37544</v>
      </c>
      <c r="P94">
        <v>4.76</v>
      </c>
      <c r="Q94" s="118">
        <v>37544</v>
      </c>
      <c r="R94">
        <v>4.79</v>
      </c>
      <c r="AA94" s="118">
        <v>37544</v>
      </c>
      <c r="AB94">
        <v>4.63</v>
      </c>
    </row>
    <row r="95" spans="1:28" x14ac:dyDescent="0.2">
      <c r="A95" s="118">
        <v>37575</v>
      </c>
      <c r="B95">
        <v>4.4800000000000004</v>
      </c>
      <c r="F95" s="118">
        <v>37575</v>
      </c>
      <c r="G95">
        <v>4.66</v>
      </c>
      <c r="J95" s="118">
        <v>37575</v>
      </c>
      <c r="K95">
        <v>4.67</v>
      </c>
      <c r="O95" s="118">
        <v>37575</v>
      </c>
      <c r="P95">
        <v>4.74</v>
      </c>
      <c r="Q95" s="118">
        <v>37575</v>
      </c>
      <c r="R95">
        <v>4.76</v>
      </c>
      <c r="AA95" s="118">
        <v>37575</v>
      </c>
      <c r="AB95">
        <v>4.6000000000000005</v>
      </c>
    </row>
    <row r="96" spans="1:28" x14ac:dyDescent="0.2">
      <c r="A96" s="118">
        <v>37605</v>
      </c>
      <c r="B96">
        <v>4.33</v>
      </c>
      <c r="F96" s="118">
        <v>37605</v>
      </c>
      <c r="G96">
        <v>4.45</v>
      </c>
      <c r="J96" s="118">
        <v>37605</v>
      </c>
      <c r="K96">
        <v>4.46</v>
      </c>
      <c r="O96" s="118">
        <v>37605</v>
      </c>
      <c r="P96">
        <v>4.55</v>
      </c>
      <c r="Q96" s="118">
        <v>37605</v>
      </c>
      <c r="R96">
        <v>4.58</v>
      </c>
      <c r="AA96" s="118">
        <v>37605</v>
      </c>
      <c r="AB96">
        <v>4.42</v>
      </c>
    </row>
    <row r="97" spans="1:28" x14ac:dyDescent="0.2">
      <c r="A97" s="118">
        <v>37636</v>
      </c>
      <c r="B97">
        <v>4.18</v>
      </c>
      <c r="F97" s="118">
        <v>37636</v>
      </c>
      <c r="G97">
        <v>4.2700000000000005</v>
      </c>
      <c r="J97" s="118">
        <v>37636</v>
      </c>
      <c r="K97">
        <v>4.2700000000000005</v>
      </c>
      <c r="O97" s="118">
        <v>37636</v>
      </c>
      <c r="P97">
        <v>4.38</v>
      </c>
      <c r="Q97" s="118">
        <v>37636</v>
      </c>
      <c r="R97">
        <v>4.43</v>
      </c>
      <c r="AA97" s="118">
        <v>37636</v>
      </c>
      <c r="AB97">
        <v>4.24</v>
      </c>
    </row>
    <row r="98" spans="1:28" x14ac:dyDescent="0.2">
      <c r="A98" s="118">
        <v>37667</v>
      </c>
      <c r="B98">
        <v>3.95</v>
      </c>
      <c r="F98" s="118">
        <v>37667</v>
      </c>
      <c r="G98">
        <v>4.04</v>
      </c>
      <c r="J98" s="118">
        <v>37667</v>
      </c>
      <c r="K98">
        <v>4.0600000000000005</v>
      </c>
      <c r="O98" s="118">
        <v>37667</v>
      </c>
      <c r="P98">
        <v>4.16</v>
      </c>
      <c r="Q98" s="118">
        <v>37667</v>
      </c>
      <c r="R98">
        <v>4.24</v>
      </c>
      <c r="AA98" s="118">
        <v>37667</v>
      </c>
      <c r="AB98">
        <v>4.01</v>
      </c>
    </row>
    <row r="99" spans="1:28" x14ac:dyDescent="0.2">
      <c r="A99" s="118">
        <v>37695</v>
      </c>
      <c r="B99">
        <v>4</v>
      </c>
      <c r="F99" s="118">
        <v>37695</v>
      </c>
      <c r="G99">
        <v>4.08</v>
      </c>
      <c r="J99" s="118">
        <v>37695</v>
      </c>
      <c r="K99">
        <v>4.09</v>
      </c>
      <c r="O99" s="118">
        <v>37695</v>
      </c>
      <c r="P99">
        <v>4.18</v>
      </c>
      <c r="Q99" s="118">
        <v>37695</v>
      </c>
      <c r="R99">
        <v>4.26</v>
      </c>
      <c r="AA99" s="118">
        <v>37695</v>
      </c>
      <c r="AB99">
        <v>4.04</v>
      </c>
    </row>
    <row r="100" spans="1:28" x14ac:dyDescent="0.2">
      <c r="A100" s="118">
        <v>37726</v>
      </c>
      <c r="B100">
        <v>4.1500000000000004</v>
      </c>
      <c r="F100" s="118">
        <v>37726</v>
      </c>
      <c r="G100">
        <v>4.18</v>
      </c>
      <c r="J100" s="118">
        <v>37726</v>
      </c>
      <c r="K100">
        <v>4.22</v>
      </c>
      <c r="O100" s="118">
        <v>37726</v>
      </c>
      <c r="P100">
        <v>4.3100000000000005</v>
      </c>
      <c r="Q100" s="118">
        <v>37726</v>
      </c>
      <c r="R100">
        <v>4.38</v>
      </c>
      <c r="AA100" s="118">
        <v>37726</v>
      </c>
      <c r="AB100">
        <v>4.1900000000000004</v>
      </c>
    </row>
    <row r="101" spans="1:28" x14ac:dyDescent="0.2">
      <c r="A101" s="118">
        <v>37756</v>
      </c>
      <c r="B101">
        <v>3.8200000000000003</v>
      </c>
      <c r="F101" s="118">
        <v>37756</v>
      </c>
      <c r="G101">
        <v>3.91</v>
      </c>
      <c r="J101" s="118">
        <v>37756</v>
      </c>
      <c r="K101">
        <v>3.89</v>
      </c>
      <c r="O101" s="118">
        <v>37756</v>
      </c>
      <c r="P101">
        <v>4.04</v>
      </c>
      <c r="Q101" s="118">
        <v>37756</v>
      </c>
      <c r="R101">
        <v>4.0200000000000005</v>
      </c>
      <c r="AA101" s="118">
        <v>37756</v>
      </c>
      <c r="AB101">
        <v>3.88</v>
      </c>
    </row>
    <row r="102" spans="1:28" x14ac:dyDescent="0.2">
      <c r="A102" s="118">
        <v>37787</v>
      </c>
      <c r="B102">
        <v>3.62</v>
      </c>
      <c r="F102" s="118">
        <v>37787</v>
      </c>
      <c r="G102">
        <v>3.77</v>
      </c>
      <c r="J102" s="118">
        <v>37787</v>
      </c>
      <c r="K102">
        <v>3.69</v>
      </c>
      <c r="O102" s="118">
        <v>37787</v>
      </c>
      <c r="P102">
        <v>3.8200000000000003</v>
      </c>
      <c r="Q102" s="118">
        <v>37787</v>
      </c>
      <c r="R102">
        <v>3.81</v>
      </c>
      <c r="AA102" s="118">
        <v>37787</v>
      </c>
      <c r="AB102">
        <v>3.69</v>
      </c>
    </row>
    <row r="103" spans="1:28" x14ac:dyDescent="0.2">
      <c r="A103" s="118">
        <v>37817</v>
      </c>
      <c r="B103">
        <v>3.97</v>
      </c>
      <c r="F103" s="118">
        <v>37817</v>
      </c>
      <c r="G103">
        <v>4.0999999999999996</v>
      </c>
      <c r="J103" s="118">
        <v>37817</v>
      </c>
      <c r="K103">
        <v>4.01</v>
      </c>
      <c r="O103" s="118">
        <v>37817</v>
      </c>
      <c r="P103">
        <v>4.13</v>
      </c>
      <c r="Q103" s="118">
        <v>37817</v>
      </c>
      <c r="R103">
        <v>4.12</v>
      </c>
      <c r="AA103" s="118">
        <v>37817</v>
      </c>
      <c r="AB103">
        <v>4.03</v>
      </c>
    </row>
    <row r="104" spans="1:28" x14ac:dyDescent="0.2">
      <c r="A104" s="118">
        <v>37848</v>
      </c>
      <c r="B104">
        <v>4.13</v>
      </c>
      <c r="F104" s="118">
        <v>37848</v>
      </c>
      <c r="G104">
        <v>4.26</v>
      </c>
      <c r="J104" s="118">
        <v>37848</v>
      </c>
      <c r="K104">
        <v>4.17</v>
      </c>
      <c r="O104" s="118">
        <v>37848</v>
      </c>
      <c r="P104">
        <v>4.29</v>
      </c>
      <c r="Q104" s="118">
        <v>37848</v>
      </c>
      <c r="R104">
        <v>4.29</v>
      </c>
      <c r="AA104" s="118">
        <v>37848</v>
      </c>
      <c r="AB104">
        <v>4.1900000000000004</v>
      </c>
    </row>
    <row r="105" spans="1:28" x14ac:dyDescent="0.2">
      <c r="A105" s="118">
        <v>37879</v>
      </c>
      <c r="B105">
        <v>4.17</v>
      </c>
      <c r="F105" s="118">
        <v>37879</v>
      </c>
      <c r="G105">
        <v>4.29</v>
      </c>
      <c r="J105" s="118">
        <v>37879</v>
      </c>
      <c r="K105">
        <v>4.1900000000000004</v>
      </c>
      <c r="O105" s="118">
        <v>37879</v>
      </c>
      <c r="P105">
        <v>4.3100000000000005</v>
      </c>
      <c r="Q105" s="118">
        <v>37879</v>
      </c>
      <c r="R105">
        <v>4.32</v>
      </c>
      <c r="AA105" s="118">
        <v>37879</v>
      </c>
      <c r="AB105">
        <v>4.21</v>
      </c>
    </row>
    <row r="106" spans="1:28" x14ac:dyDescent="0.2">
      <c r="A106" s="118">
        <v>37909</v>
      </c>
      <c r="B106">
        <v>4.22</v>
      </c>
      <c r="F106" s="118">
        <v>37909</v>
      </c>
      <c r="G106">
        <v>4.3600000000000003</v>
      </c>
      <c r="J106" s="118">
        <v>37909</v>
      </c>
      <c r="K106">
        <v>4.25</v>
      </c>
      <c r="O106" s="118">
        <v>37909</v>
      </c>
      <c r="P106">
        <v>4.38</v>
      </c>
      <c r="Q106" s="118">
        <v>37909</v>
      </c>
      <c r="R106">
        <v>4.38</v>
      </c>
      <c r="AA106" s="118">
        <v>37909</v>
      </c>
      <c r="AB106">
        <v>4.2700000000000005</v>
      </c>
    </row>
    <row r="107" spans="1:28" x14ac:dyDescent="0.2">
      <c r="A107" s="118">
        <v>37940</v>
      </c>
      <c r="B107">
        <v>4.3500000000000005</v>
      </c>
      <c r="F107" s="118">
        <v>37940</v>
      </c>
      <c r="G107">
        <v>4.4800000000000004</v>
      </c>
      <c r="J107" s="118">
        <v>37940</v>
      </c>
      <c r="K107">
        <v>4.3899999999999997</v>
      </c>
      <c r="O107" s="118">
        <v>37940</v>
      </c>
      <c r="P107">
        <v>4.51</v>
      </c>
      <c r="Q107" s="118">
        <v>37940</v>
      </c>
      <c r="R107">
        <v>4.51</v>
      </c>
      <c r="AA107" s="118">
        <v>37940</v>
      </c>
      <c r="AB107">
        <v>4.4000000000000004</v>
      </c>
    </row>
    <row r="108" spans="1:28" x14ac:dyDescent="0.2">
      <c r="A108" s="118">
        <v>37970</v>
      </c>
      <c r="B108">
        <v>4.29</v>
      </c>
      <c r="F108" s="118">
        <v>37970</v>
      </c>
      <c r="G108">
        <v>4.4000000000000004</v>
      </c>
      <c r="J108" s="118">
        <v>37970</v>
      </c>
      <c r="K108">
        <v>4.3600000000000003</v>
      </c>
      <c r="O108" s="118">
        <v>37970</v>
      </c>
      <c r="P108">
        <v>4.46</v>
      </c>
      <c r="Q108" s="118">
        <v>37970</v>
      </c>
      <c r="R108">
        <v>4.45</v>
      </c>
      <c r="AA108" s="118">
        <v>37970</v>
      </c>
      <c r="AB108">
        <v>4.34</v>
      </c>
    </row>
    <row r="109" spans="1:28" x14ac:dyDescent="0.2">
      <c r="A109" s="118">
        <v>38001</v>
      </c>
      <c r="B109">
        <v>4.17</v>
      </c>
      <c r="F109" s="118">
        <v>38001</v>
      </c>
      <c r="G109">
        <v>4.25</v>
      </c>
      <c r="J109" s="118">
        <v>38001</v>
      </c>
      <c r="K109">
        <v>4.2</v>
      </c>
      <c r="O109" s="118">
        <v>38001</v>
      </c>
      <c r="P109">
        <v>4.32</v>
      </c>
      <c r="Q109" s="118">
        <v>38001</v>
      </c>
      <c r="R109">
        <v>4.37</v>
      </c>
      <c r="AA109" s="118">
        <v>38001</v>
      </c>
      <c r="AB109">
        <v>4.1900000000000004</v>
      </c>
    </row>
    <row r="110" spans="1:28" x14ac:dyDescent="0.2">
      <c r="A110" s="118">
        <v>38032</v>
      </c>
      <c r="B110">
        <v>4.1100000000000003</v>
      </c>
      <c r="F110" s="118">
        <v>38032</v>
      </c>
      <c r="G110">
        <v>4.1900000000000004</v>
      </c>
      <c r="J110" s="118">
        <v>38032</v>
      </c>
      <c r="K110">
        <v>4.1500000000000004</v>
      </c>
      <c r="O110" s="118">
        <v>38032</v>
      </c>
      <c r="P110">
        <v>4.34</v>
      </c>
      <c r="Q110" s="118">
        <v>38032</v>
      </c>
      <c r="R110">
        <v>4.3500000000000005</v>
      </c>
      <c r="AA110" s="118">
        <v>38032</v>
      </c>
      <c r="AB110">
        <v>4.1399999999999997</v>
      </c>
    </row>
    <row r="111" spans="1:28" x14ac:dyDescent="0.2">
      <c r="A111" s="118">
        <v>38061</v>
      </c>
      <c r="B111">
        <v>3.91</v>
      </c>
      <c r="F111" s="118">
        <v>38061</v>
      </c>
      <c r="G111">
        <v>4</v>
      </c>
      <c r="J111" s="118">
        <v>38061</v>
      </c>
      <c r="K111">
        <v>3.97</v>
      </c>
      <c r="O111" s="118">
        <v>38061</v>
      </c>
      <c r="P111">
        <v>4.17</v>
      </c>
      <c r="Q111" s="118">
        <v>38061</v>
      </c>
      <c r="R111">
        <v>4.17</v>
      </c>
      <c r="AA111" s="118">
        <v>38061</v>
      </c>
      <c r="AB111">
        <v>4.01</v>
      </c>
    </row>
    <row r="112" spans="1:28" x14ac:dyDescent="0.2">
      <c r="A112" s="118">
        <v>38092</v>
      </c>
      <c r="B112">
        <v>4.0999999999999996</v>
      </c>
      <c r="F112" s="118">
        <v>38092</v>
      </c>
      <c r="G112">
        <v>4.25</v>
      </c>
      <c r="J112" s="118">
        <v>38092</v>
      </c>
      <c r="K112">
        <v>4.17</v>
      </c>
      <c r="O112" s="118">
        <v>38092</v>
      </c>
      <c r="P112">
        <v>4.3500000000000005</v>
      </c>
      <c r="Q112" s="118">
        <v>38092</v>
      </c>
      <c r="R112">
        <v>4.3500000000000005</v>
      </c>
      <c r="AA112" s="118">
        <v>38092</v>
      </c>
      <c r="AB112">
        <v>4.2</v>
      </c>
    </row>
    <row r="113" spans="1:28" x14ac:dyDescent="0.2">
      <c r="A113" s="118">
        <v>38122</v>
      </c>
      <c r="B113">
        <v>4.25</v>
      </c>
      <c r="F113" s="118">
        <v>38122</v>
      </c>
      <c r="G113">
        <v>4.42</v>
      </c>
      <c r="J113" s="118">
        <v>38122</v>
      </c>
      <c r="K113">
        <v>4.3100000000000005</v>
      </c>
      <c r="O113" s="118">
        <v>38122</v>
      </c>
      <c r="P113">
        <v>4.49</v>
      </c>
      <c r="Q113" s="118">
        <v>38122</v>
      </c>
      <c r="R113">
        <v>4.49</v>
      </c>
      <c r="AA113" s="118">
        <v>38122</v>
      </c>
      <c r="AB113">
        <v>4.33</v>
      </c>
    </row>
    <row r="114" spans="1:28" x14ac:dyDescent="0.2">
      <c r="A114" s="118">
        <v>38153</v>
      </c>
      <c r="B114">
        <v>4.3100000000000005</v>
      </c>
      <c r="F114" s="118">
        <v>38153</v>
      </c>
      <c r="G114">
        <v>4.47</v>
      </c>
      <c r="J114" s="118">
        <v>38153</v>
      </c>
      <c r="K114">
        <v>4.38</v>
      </c>
      <c r="O114" s="118">
        <v>38153</v>
      </c>
      <c r="P114">
        <v>4.54</v>
      </c>
      <c r="Q114" s="118">
        <v>38153</v>
      </c>
      <c r="R114">
        <v>4.55</v>
      </c>
      <c r="AA114" s="118">
        <v>38153</v>
      </c>
      <c r="AB114">
        <v>4.3899999999999997</v>
      </c>
    </row>
    <row r="115" spans="1:28" x14ac:dyDescent="0.2">
      <c r="A115" s="118">
        <v>38183</v>
      </c>
      <c r="B115">
        <v>4.24</v>
      </c>
      <c r="F115" s="118">
        <v>38183</v>
      </c>
      <c r="G115">
        <v>4.3500000000000005</v>
      </c>
      <c r="J115" s="118">
        <v>38183</v>
      </c>
      <c r="K115">
        <v>4.2700000000000005</v>
      </c>
      <c r="O115" s="118">
        <v>38183</v>
      </c>
      <c r="P115">
        <v>4.4400000000000004</v>
      </c>
      <c r="Q115" s="118">
        <v>38183</v>
      </c>
      <c r="R115">
        <v>4.4400000000000004</v>
      </c>
      <c r="AA115" s="118">
        <v>38183</v>
      </c>
      <c r="AB115">
        <v>4.28</v>
      </c>
    </row>
    <row r="116" spans="1:28" x14ac:dyDescent="0.2">
      <c r="A116" s="118">
        <v>38214</v>
      </c>
      <c r="B116">
        <v>4.08</v>
      </c>
      <c r="F116" s="118">
        <v>38214</v>
      </c>
      <c r="G116">
        <v>4.18</v>
      </c>
      <c r="J116" s="118">
        <v>38214</v>
      </c>
      <c r="K116">
        <v>4.09</v>
      </c>
      <c r="O116" s="118">
        <v>38214</v>
      </c>
      <c r="P116">
        <v>4.28</v>
      </c>
      <c r="Q116" s="118">
        <v>38214</v>
      </c>
      <c r="R116">
        <v>4.28</v>
      </c>
      <c r="AA116" s="118">
        <v>38214</v>
      </c>
      <c r="AB116">
        <v>4.1500000000000004</v>
      </c>
    </row>
    <row r="117" spans="1:28" x14ac:dyDescent="0.2">
      <c r="A117" s="118">
        <v>38245</v>
      </c>
      <c r="B117">
        <v>4.0200000000000005</v>
      </c>
      <c r="F117" s="118">
        <v>38245</v>
      </c>
      <c r="G117">
        <v>4.12</v>
      </c>
      <c r="J117" s="118">
        <v>38245</v>
      </c>
      <c r="K117">
        <v>4.04</v>
      </c>
      <c r="O117" s="118">
        <v>38245</v>
      </c>
      <c r="P117">
        <v>4.25</v>
      </c>
      <c r="Q117" s="118">
        <v>38245</v>
      </c>
      <c r="R117">
        <v>4.22</v>
      </c>
      <c r="AA117" s="118">
        <v>38245</v>
      </c>
      <c r="AB117">
        <v>4.08</v>
      </c>
    </row>
    <row r="118" spans="1:28" x14ac:dyDescent="0.2">
      <c r="A118" s="118">
        <v>38275</v>
      </c>
      <c r="B118">
        <v>3.89</v>
      </c>
      <c r="F118" s="118">
        <v>38275</v>
      </c>
      <c r="G118">
        <v>3.99</v>
      </c>
      <c r="J118" s="118">
        <v>38275</v>
      </c>
      <c r="K118">
        <v>3.92</v>
      </c>
      <c r="O118" s="118">
        <v>38275</v>
      </c>
      <c r="P118">
        <v>4.13</v>
      </c>
      <c r="Q118" s="118">
        <v>38275</v>
      </c>
      <c r="R118">
        <v>4.1100000000000003</v>
      </c>
      <c r="AA118" s="118">
        <v>38275</v>
      </c>
      <c r="AB118">
        <v>3.97</v>
      </c>
    </row>
    <row r="119" spans="1:28" x14ac:dyDescent="0.2">
      <c r="A119" s="118">
        <v>38306</v>
      </c>
      <c r="B119">
        <v>3.7800000000000002</v>
      </c>
      <c r="F119" s="118">
        <v>38306</v>
      </c>
      <c r="G119">
        <v>3.86</v>
      </c>
      <c r="J119" s="118">
        <v>38306</v>
      </c>
      <c r="K119">
        <v>3.8000000000000003</v>
      </c>
      <c r="O119" s="118">
        <v>38306</v>
      </c>
      <c r="P119">
        <v>4</v>
      </c>
      <c r="Q119" s="118">
        <v>38306</v>
      </c>
      <c r="R119">
        <v>3.97</v>
      </c>
      <c r="AA119" s="118">
        <v>38306</v>
      </c>
      <c r="AB119">
        <v>3.85</v>
      </c>
    </row>
    <row r="120" spans="1:28" x14ac:dyDescent="0.2">
      <c r="A120" s="118">
        <v>38336</v>
      </c>
      <c r="B120">
        <v>3.58</v>
      </c>
      <c r="F120" s="118">
        <v>38336</v>
      </c>
      <c r="G120">
        <v>3.64</v>
      </c>
      <c r="J120" s="118">
        <v>38336</v>
      </c>
      <c r="K120">
        <v>3.62</v>
      </c>
      <c r="O120" s="118">
        <v>38336</v>
      </c>
      <c r="P120">
        <v>3.79</v>
      </c>
      <c r="Q120" s="118">
        <v>38336</v>
      </c>
      <c r="R120">
        <v>3.77</v>
      </c>
      <c r="AA120" s="118">
        <v>38336</v>
      </c>
      <c r="AB120">
        <v>3.64</v>
      </c>
    </row>
    <row r="121" spans="1:28" x14ac:dyDescent="0.2">
      <c r="A121" s="118">
        <v>38367</v>
      </c>
      <c r="B121">
        <v>3.56</v>
      </c>
      <c r="F121" s="118">
        <v>38367</v>
      </c>
      <c r="G121">
        <v>3.56</v>
      </c>
      <c r="J121" s="118">
        <v>38367</v>
      </c>
      <c r="K121">
        <v>3.52</v>
      </c>
      <c r="O121" s="118">
        <v>38367</v>
      </c>
      <c r="P121">
        <v>3.71</v>
      </c>
      <c r="Q121" s="118">
        <v>38367</v>
      </c>
      <c r="R121">
        <v>3.69</v>
      </c>
      <c r="AA121" s="118">
        <v>38367</v>
      </c>
      <c r="AB121">
        <v>3.59</v>
      </c>
    </row>
    <row r="122" spans="1:28" x14ac:dyDescent="0.2">
      <c r="A122" s="118">
        <v>38398</v>
      </c>
      <c r="B122">
        <v>3.54</v>
      </c>
      <c r="F122" s="118">
        <v>38398</v>
      </c>
      <c r="G122">
        <v>3.5500000000000003</v>
      </c>
      <c r="J122" s="118">
        <v>38398</v>
      </c>
      <c r="K122">
        <v>3.5100000000000002</v>
      </c>
      <c r="O122" s="118">
        <v>38398</v>
      </c>
      <c r="P122">
        <v>3.68</v>
      </c>
      <c r="Q122" s="118">
        <v>38398</v>
      </c>
      <c r="R122">
        <v>3.69</v>
      </c>
      <c r="AA122" s="118">
        <v>38398</v>
      </c>
      <c r="AB122">
        <v>3.58</v>
      </c>
    </row>
    <row r="123" spans="1:28" x14ac:dyDescent="0.2">
      <c r="A123" s="118">
        <v>38426</v>
      </c>
      <c r="B123">
        <v>3.7</v>
      </c>
      <c r="F123" s="118">
        <v>38426</v>
      </c>
      <c r="G123">
        <v>3.7</v>
      </c>
      <c r="J123" s="118">
        <v>38426</v>
      </c>
      <c r="K123">
        <v>3.66</v>
      </c>
      <c r="O123" s="118">
        <v>38426</v>
      </c>
      <c r="P123">
        <v>3.84</v>
      </c>
      <c r="Q123" s="118">
        <v>38426</v>
      </c>
      <c r="R123">
        <v>3.92</v>
      </c>
      <c r="AA123" s="118">
        <v>38426</v>
      </c>
      <c r="AB123">
        <v>3.74</v>
      </c>
    </row>
    <row r="124" spans="1:28" x14ac:dyDescent="0.2">
      <c r="A124" s="118">
        <v>38457</v>
      </c>
      <c r="B124">
        <v>3.48</v>
      </c>
      <c r="F124" s="118">
        <v>38457</v>
      </c>
      <c r="G124">
        <v>3.5</v>
      </c>
      <c r="J124" s="118">
        <v>38457</v>
      </c>
      <c r="K124">
        <v>3.46</v>
      </c>
      <c r="O124" s="118">
        <v>38457</v>
      </c>
      <c r="P124">
        <v>3.65</v>
      </c>
      <c r="Q124" s="118">
        <v>38457</v>
      </c>
      <c r="R124">
        <v>3.7600000000000002</v>
      </c>
      <c r="AA124" s="118">
        <v>38457</v>
      </c>
      <c r="AB124">
        <v>3.5300000000000002</v>
      </c>
    </row>
    <row r="125" spans="1:28" x14ac:dyDescent="0.2">
      <c r="A125" s="118">
        <v>38487</v>
      </c>
      <c r="B125">
        <v>3.3000000000000003</v>
      </c>
      <c r="F125" s="118">
        <v>38487</v>
      </c>
      <c r="G125">
        <v>3.35</v>
      </c>
      <c r="J125" s="118">
        <v>38487</v>
      </c>
      <c r="K125">
        <v>3.2800000000000002</v>
      </c>
      <c r="O125" s="118">
        <v>38487</v>
      </c>
      <c r="P125">
        <v>3.5500000000000003</v>
      </c>
      <c r="Q125" s="118">
        <v>38487</v>
      </c>
      <c r="R125">
        <v>3.6</v>
      </c>
      <c r="AA125" s="118">
        <v>38487</v>
      </c>
      <c r="AB125">
        <v>3.36</v>
      </c>
    </row>
    <row r="126" spans="1:28" x14ac:dyDescent="0.2">
      <c r="A126" s="118">
        <v>38518</v>
      </c>
      <c r="B126">
        <v>3.13</v>
      </c>
      <c r="F126" s="118">
        <v>38518</v>
      </c>
      <c r="G126">
        <v>3.19</v>
      </c>
      <c r="J126" s="118">
        <v>38518</v>
      </c>
      <c r="K126">
        <v>3.13</v>
      </c>
      <c r="O126" s="118">
        <v>38518</v>
      </c>
      <c r="P126">
        <v>3.4</v>
      </c>
      <c r="Q126" s="118">
        <v>38518</v>
      </c>
      <c r="R126">
        <v>3.44</v>
      </c>
      <c r="AA126" s="118">
        <v>38518</v>
      </c>
      <c r="AB126">
        <v>3.18</v>
      </c>
    </row>
    <row r="127" spans="1:28" x14ac:dyDescent="0.2">
      <c r="A127" s="118">
        <v>38548</v>
      </c>
      <c r="B127">
        <v>3.2</v>
      </c>
      <c r="F127" s="118">
        <v>38548</v>
      </c>
      <c r="G127">
        <v>3.35</v>
      </c>
      <c r="J127" s="118">
        <v>38548</v>
      </c>
      <c r="K127">
        <v>3.18</v>
      </c>
      <c r="O127" s="118">
        <v>38548</v>
      </c>
      <c r="P127">
        <v>3.44</v>
      </c>
      <c r="Q127" s="118">
        <v>38548</v>
      </c>
      <c r="R127">
        <v>3.46</v>
      </c>
      <c r="AA127" s="118">
        <v>38548</v>
      </c>
      <c r="AB127">
        <v>3.22</v>
      </c>
    </row>
    <row r="128" spans="1:28" x14ac:dyDescent="0.2">
      <c r="A128" s="118">
        <v>38579</v>
      </c>
      <c r="B128">
        <v>3.23</v>
      </c>
      <c r="F128" s="118">
        <v>38579</v>
      </c>
      <c r="G128">
        <v>3.39</v>
      </c>
      <c r="J128" s="118">
        <v>38579</v>
      </c>
      <c r="K128">
        <v>3.22</v>
      </c>
      <c r="O128" s="118">
        <v>38579</v>
      </c>
      <c r="P128">
        <v>3.45</v>
      </c>
      <c r="Q128" s="118">
        <v>38579</v>
      </c>
      <c r="R128">
        <v>3.47</v>
      </c>
      <c r="AA128" s="118">
        <v>38579</v>
      </c>
      <c r="AB128">
        <v>3.23</v>
      </c>
    </row>
    <row r="129" spans="1:28" x14ac:dyDescent="0.2">
      <c r="A129" s="118">
        <v>38610</v>
      </c>
      <c r="B129">
        <v>3.0700000000000003</v>
      </c>
      <c r="F129" s="118">
        <v>38610</v>
      </c>
      <c r="G129">
        <v>3.23</v>
      </c>
      <c r="J129" s="118">
        <v>38610</v>
      </c>
      <c r="K129">
        <v>3.04</v>
      </c>
      <c r="O129" s="118">
        <v>38610</v>
      </c>
      <c r="P129">
        <v>3.29</v>
      </c>
      <c r="Q129" s="118">
        <v>38610</v>
      </c>
      <c r="R129">
        <v>3.3000000000000003</v>
      </c>
      <c r="AA129" s="118">
        <v>38610</v>
      </c>
      <c r="AB129">
        <v>3.09</v>
      </c>
    </row>
    <row r="130" spans="1:28" x14ac:dyDescent="0.2">
      <c r="A130" s="118">
        <v>38640</v>
      </c>
      <c r="B130">
        <v>3.24</v>
      </c>
      <c r="F130" s="118">
        <v>38640</v>
      </c>
      <c r="G130">
        <v>3.39</v>
      </c>
      <c r="J130" s="118">
        <v>38640</v>
      </c>
      <c r="K130">
        <v>3.19</v>
      </c>
      <c r="O130" s="118">
        <v>38640</v>
      </c>
      <c r="P130">
        <v>3.44</v>
      </c>
      <c r="Q130" s="118">
        <v>38640</v>
      </c>
      <c r="R130">
        <v>3.45</v>
      </c>
      <c r="AA130" s="118">
        <v>38640</v>
      </c>
      <c r="AB130">
        <v>3.2800000000000002</v>
      </c>
    </row>
    <row r="131" spans="1:28" x14ac:dyDescent="0.2">
      <c r="A131" s="118">
        <v>38671</v>
      </c>
      <c r="B131">
        <v>3.45</v>
      </c>
      <c r="F131" s="118">
        <v>38671</v>
      </c>
      <c r="G131">
        <v>3.58</v>
      </c>
      <c r="J131" s="118">
        <v>38671</v>
      </c>
      <c r="K131">
        <v>3.4</v>
      </c>
      <c r="O131" s="118">
        <v>38671</v>
      </c>
      <c r="P131">
        <v>3.66</v>
      </c>
      <c r="Q131" s="118">
        <v>38671</v>
      </c>
      <c r="R131">
        <v>3.67</v>
      </c>
      <c r="AA131" s="118">
        <v>38671</v>
      </c>
      <c r="AB131">
        <v>3.48</v>
      </c>
    </row>
    <row r="132" spans="1:28" x14ac:dyDescent="0.2">
      <c r="A132" s="118">
        <v>38701</v>
      </c>
      <c r="B132">
        <v>3.34</v>
      </c>
      <c r="F132" s="118">
        <v>38701</v>
      </c>
      <c r="G132">
        <v>3.46</v>
      </c>
      <c r="J132" s="118">
        <v>38701</v>
      </c>
      <c r="K132">
        <v>3.36</v>
      </c>
      <c r="O132" s="118">
        <v>38701</v>
      </c>
      <c r="P132">
        <v>3.5500000000000003</v>
      </c>
      <c r="Q132" s="118">
        <v>38701</v>
      </c>
      <c r="R132">
        <v>3.5700000000000003</v>
      </c>
      <c r="AA132" s="118">
        <v>38701</v>
      </c>
      <c r="AB132">
        <v>3.37</v>
      </c>
    </row>
    <row r="133" spans="1:28" x14ac:dyDescent="0.2">
      <c r="A133" s="118">
        <v>38732</v>
      </c>
      <c r="B133">
        <v>3.3200000000000003</v>
      </c>
      <c r="F133" s="118">
        <v>38732</v>
      </c>
      <c r="G133">
        <v>3.45</v>
      </c>
      <c r="J133" s="118">
        <v>38732</v>
      </c>
      <c r="K133">
        <v>3.3200000000000003</v>
      </c>
      <c r="O133" s="118">
        <v>38732</v>
      </c>
      <c r="P133">
        <v>3.54</v>
      </c>
      <c r="Q133" s="118">
        <v>38732</v>
      </c>
      <c r="R133">
        <v>3.6</v>
      </c>
      <c r="AA133" s="118">
        <v>38732</v>
      </c>
      <c r="AB133">
        <v>3.33</v>
      </c>
    </row>
    <row r="134" spans="1:28" x14ac:dyDescent="0.2">
      <c r="A134" s="118">
        <v>38763</v>
      </c>
      <c r="B134">
        <v>3.47</v>
      </c>
      <c r="F134" s="118">
        <v>38763</v>
      </c>
      <c r="G134">
        <v>3.6</v>
      </c>
      <c r="J134" s="118">
        <v>38763</v>
      </c>
      <c r="K134">
        <v>3.47</v>
      </c>
      <c r="O134" s="118">
        <v>38763</v>
      </c>
      <c r="P134">
        <v>3.7</v>
      </c>
      <c r="Q134" s="118">
        <v>38763</v>
      </c>
      <c r="R134">
        <v>3.77</v>
      </c>
      <c r="AA134" s="118">
        <v>38763</v>
      </c>
      <c r="AB134">
        <v>3.48</v>
      </c>
    </row>
    <row r="135" spans="1:28" x14ac:dyDescent="0.2">
      <c r="A135" s="118">
        <v>38791</v>
      </c>
      <c r="B135">
        <v>3.64</v>
      </c>
      <c r="F135" s="118">
        <v>38791</v>
      </c>
      <c r="G135">
        <v>3.77</v>
      </c>
      <c r="J135" s="118">
        <v>38791</v>
      </c>
      <c r="K135">
        <v>3.65</v>
      </c>
      <c r="O135" s="118">
        <v>38791</v>
      </c>
      <c r="P135">
        <v>3.92</v>
      </c>
      <c r="Q135" s="118">
        <v>38791</v>
      </c>
      <c r="R135">
        <v>3.95</v>
      </c>
      <c r="AA135" s="118">
        <v>38791</v>
      </c>
      <c r="AB135">
        <v>3.66</v>
      </c>
    </row>
    <row r="136" spans="1:28" x14ac:dyDescent="0.2">
      <c r="A136" s="118">
        <v>38822</v>
      </c>
      <c r="B136">
        <v>3.89</v>
      </c>
      <c r="F136" s="118">
        <v>38822</v>
      </c>
      <c r="G136">
        <v>4.03</v>
      </c>
      <c r="J136" s="118">
        <v>38822</v>
      </c>
      <c r="K136">
        <v>3.9</v>
      </c>
      <c r="O136" s="118">
        <v>38822</v>
      </c>
      <c r="P136">
        <v>4.22</v>
      </c>
      <c r="Q136" s="118">
        <v>38822</v>
      </c>
      <c r="R136">
        <v>4.2300000000000004</v>
      </c>
      <c r="AA136" s="118">
        <v>38822</v>
      </c>
      <c r="AB136">
        <v>3.92</v>
      </c>
    </row>
    <row r="137" spans="1:28" x14ac:dyDescent="0.2">
      <c r="A137" s="118">
        <v>38852</v>
      </c>
      <c r="B137">
        <v>3.96</v>
      </c>
      <c r="F137" s="118">
        <v>38852</v>
      </c>
      <c r="G137">
        <v>4.07</v>
      </c>
      <c r="J137" s="118">
        <v>38852</v>
      </c>
      <c r="K137">
        <v>3.96</v>
      </c>
      <c r="O137" s="118">
        <v>38852</v>
      </c>
      <c r="P137">
        <v>4.28</v>
      </c>
      <c r="Q137" s="118">
        <v>38852</v>
      </c>
      <c r="R137">
        <v>4.3</v>
      </c>
      <c r="AA137" s="118">
        <v>38852</v>
      </c>
      <c r="AB137">
        <v>3.99</v>
      </c>
    </row>
    <row r="138" spans="1:28" x14ac:dyDescent="0.2">
      <c r="A138" s="118">
        <v>38883</v>
      </c>
      <c r="B138">
        <v>3.96</v>
      </c>
      <c r="F138" s="118">
        <v>38883</v>
      </c>
      <c r="G138">
        <v>4.0999999999999996</v>
      </c>
      <c r="J138" s="118">
        <v>38883</v>
      </c>
      <c r="K138">
        <v>3.98</v>
      </c>
      <c r="O138" s="118">
        <v>38883</v>
      </c>
      <c r="P138">
        <v>4.3</v>
      </c>
      <c r="Q138" s="118">
        <v>38883</v>
      </c>
      <c r="R138">
        <v>4.3100000000000005</v>
      </c>
      <c r="AA138" s="118">
        <v>38883</v>
      </c>
      <c r="AB138">
        <v>3.99</v>
      </c>
    </row>
    <row r="139" spans="1:28" x14ac:dyDescent="0.2">
      <c r="A139" s="118">
        <v>38913</v>
      </c>
      <c r="B139">
        <v>4.01</v>
      </c>
      <c r="F139" s="118">
        <v>38913</v>
      </c>
      <c r="G139">
        <v>4.1399999999999997</v>
      </c>
      <c r="J139" s="118">
        <v>38913</v>
      </c>
      <c r="K139">
        <v>4</v>
      </c>
      <c r="O139" s="118">
        <v>38913</v>
      </c>
      <c r="P139">
        <v>4.3100000000000005</v>
      </c>
      <c r="Q139" s="118">
        <v>38913</v>
      </c>
      <c r="R139">
        <v>4.33</v>
      </c>
      <c r="AA139" s="118">
        <v>38913</v>
      </c>
      <c r="AB139">
        <v>4.0200000000000005</v>
      </c>
    </row>
    <row r="140" spans="1:28" x14ac:dyDescent="0.2">
      <c r="A140" s="118">
        <v>38944</v>
      </c>
      <c r="B140">
        <v>3.88</v>
      </c>
      <c r="F140" s="118">
        <v>38944</v>
      </c>
      <c r="G140">
        <v>4.0600000000000005</v>
      </c>
      <c r="J140" s="118">
        <v>38944</v>
      </c>
      <c r="K140">
        <v>3.88</v>
      </c>
      <c r="O140" s="118">
        <v>38944</v>
      </c>
      <c r="P140">
        <v>4.17</v>
      </c>
      <c r="Q140" s="118">
        <v>38944</v>
      </c>
      <c r="R140">
        <v>4.1900000000000004</v>
      </c>
      <c r="AA140" s="118">
        <v>38944</v>
      </c>
      <c r="AB140">
        <v>3.89</v>
      </c>
    </row>
    <row r="141" spans="1:28" x14ac:dyDescent="0.2">
      <c r="A141" s="118">
        <v>38975</v>
      </c>
      <c r="B141">
        <v>3.75</v>
      </c>
      <c r="F141" s="118">
        <v>38975</v>
      </c>
      <c r="G141">
        <v>3.93</v>
      </c>
      <c r="J141" s="118">
        <v>38975</v>
      </c>
      <c r="K141">
        <v>3.7600000000000002</v>
      </c>
      <c r="O141" s="118">
        <v>38975</v>
      </c>
      <c r="P141">
        <v>4.04</v>
      </c>
      <c r="Q141" s="118">
        <v>38975</v>
      </c>
      <c r="R141">
        <v>4.0600000000000005</v>
      </c>
      <c r="AA141" s="118">
        <v>38975</v>
      </c>
      <c r="AB141">
        <v>3.7600000000000002</v>
      </c>
    </row>
    <row r="142" spans="1:28" x14ac:dyDescent="0.2">
      <c r="A142" s="118">
        <v>39005</v>
      </c>
      <c r="B142">
        <v>3.79</v>
      </c>
      <c r="F142" s="118">
        <v>39005</v>
      </c>
      <c r="G142">
        <v>3.98</v>
      </c>
      <c r="J142" s="118">
        <v>39005</v>
      </c>
      <c r="K142">
        <v>3.7800000000000002</v>
      </c>
      <c r="O142" s="118">
        <v>39005</v>
      </c>
      <c r="P142">
        <v>4.07</v>
      </c>
      <c r="Q142" s="118">
        <v>39005</v>
      </c>
      <c r="R142">
        <v>4.08</v>
      </c>
      <c r="AA142" s="118">
        <v>39005</v>
      </c>
      <c r="AB142">
        <v>3.81</v>
      </c>
    </row>
    <row r="143" spans="1:28" x14ac:dyDescent="0.2">
      <c r="A143" s="118">
        <v>39036</v>
      </c>
      <c r="B143">
        <v>3.71</v>
      </c>
      <c r="F143" s="118">
        <v>39036</v>
      </c>
      <c r="G143">
        <v>3.89</v>
      </c>
      <c r="J143" s="118">
        <v>39036</v>
      </c>
      <c r="K143">
        <v>3.72</v>
      </c>
      <c r="O143" s="118">
        <v>39036</v>
      </c>
      <c r="P143">
        <v>3.97</v>
      </c>
      <c r="Q143" s="118">
        <v>39036</v>
      </c>
      <c r="R143">
        <v>3.98</v>
      </c>
      <c r="AA143" s="118">
        <v>39036</v>
      </c>
      <c r="AB143">
        <v>3.75</v>
      </c>
    </row>
    <row r="144" spans="1:28" x14ac:dyDescent="0.2">
      <c r="A144" s="118">
        <v>39066</v>
      </c>
      <c r="B144">
        <v>3.77</v>
      </c>
      <c r="F144" s="118">
        <v>39066</v>
      </c>
      <c r="G144">
        <v>3.96</v>
      </c>
      <c r="J144" s="118">
        <v>39066</v>
      </c>
      <c r="K144">
        <v>3.7600000000000002</v>
      </c>
      <c r="O144" s="118">
        <v>39066</v>
      </c>
      <c r="P144">
        <v>4.04</v>
      </c>
      <c r="Q144" s="118">
        <v>39066</v>
      </c>
      <c r="R144">
        <v>4.04</v>
      </c>
      <c r="AA144" s="118">
        <v>39066</v>
      </c>
      <c r="AB144">
        <v>3.8200000000000003</v>
      </c>
    </row>
    <row r="145" spans="1:28" x14ac:dyDescent="0.2">
      <c r="A145" s="118">
        <v>39097</v>
      </c>
      <c r="B145">
        <v>4.0200000000000005</v>
      </c>
      <c r="F145" s="118">
        <v>39097</v>
      </c>
      <c r="G145">
        <v>4.18</v>
      </c>
      <c r="J145" s="118">
        <v>39097</v>
      </c>
      <c r="K145">
        <v>4.04</v>
      </c>
      <c r="O145" s="118">
        <v>39097</v>
      </c>
      <c r="P145">
        <v>4.26</v>
      </c>
      <c r="Q145" s="118">
        <v>39097</v>
      </c>
      <c r="R145">
        <v>4.28</v>
      </c>
      <c r="AA145" s="118">
        <v>39097</v>
      </c>
      <c r="AB145">
        <v>4.07</v>
      </c>
    </row>
    <row r="146" spans="1:28" x14ac:dyDescent="0.2">
      <c r="A146" s="118">
        <v>39128</v>
      </c>
      <c r="B146">
        <v>4.05</v>
      </c>
      <c r="F146" s="118">
        <v>39128</v>
      </c>
      <c r="G146">
        <v>4.1900000000000004</v>
      </c>
      <c r="J146" s="118">
        <v>39128</v>
      </c>
      <c r="K146">
        <v>4.07</v>
      </c>
      <c r="O146" s="118">
        <v>39128</v>
      </c>
      <c r="P146">
        <v>4.28</v>
      </c>
      <c r="Q146" s="118">
        <v>39128</v>
      </c>
      <c r="R146">
        <v>4.3</v>
      </c>
      <c r="AA146" s="118">
        <v>39128</v>
      </c>
      <c r="AB146">
        <v>4.0999999999999996</v>
      </c>
    </row>
    <row r="147" spans="1:28" x14ac:dyDescent="0.2">
      <c r="A147" s="118">
        <v>39156</v>
      </c>
      <c r="B147">
        <v>3.94</v>
      </c>
      <c r="F147" s="118">
        <v>39156</v>
      </c>
      <c r="G147">
        <v>4.0999999999999996</v>
      </c>
      <c r="J147" s="118">
        <v>39156</v>
      </c>
      <c r="K147">
        <v>3.97</v>
      </c>
      <c r="O147" s="118">
        <v>39156</v>
      </c>
      <c r="P147">
        <v>4.18</v>
      </c>
      <c r="Q147" s="118">
        <v>39156</v>
      </c>
      <c r="R147">
        <v>4.2</v>
      </c>
      <c r="AA147" s="118">
        <v>39156</v>
      </c>
      <c r="AB147">
        <v>4.01</v>
      </c>
    </row>
    <row r="148" spans="1:28" x14ac:dyDescent="0.2">
      <c r="A148" s="118">
        <v>39187</v>
      </c>
      <c r="B148">
        <v>4.1500000000000004</v>
      </c>
      <c r="F148" s="118">
        <v>39187</v>
      </c>
      <c r="G148">
        <v>4.3</v>
      </c>
      <c r="J148" s="118">
        <v>39187</v>
      </c>
      <c r="K148">
        <v>4.1900000000000004</v>
      </c>
      <c r="O148" s="118">
        <v>39187</v>
      </c>
      <c r="P148">
        <v>4.37</v>
      </c>
      <c r="Q148" s="118">
        <v>39187</v>
      </c>
      <c r="R148">
        <v>4.4000000000000004</v>
      </c>
      <c r="AA148" s="118">
        <v>39187</v>
      </c>
      <c r="AB148">
        <v>4.21</v>
      </c>
    </row>
    <row r="149" spans="1:28" x14ac:dyDescent="0.2">
      <c r="A149" s="118">
        <v>39217</v>
      </c>
      <c r="B149">
        <v>4.28</v>
      </c>
      <c r="F149" s="118">
        <v>39217</v>
      </c>
      <c r="G149">
        <v>4.4400000000000004</v>
      </c>
      <c r="J149" s="118">
        <v>39217</v>
      </c>
      <c r="K149">
        <v>4.32</v>
      </c>
      <c r="O149" s="118">
        <v>39217</v>
      </c>
      <c r="P149">
        <v>4.49</v>
      </c>
      <c r="Q149" s="118">
        <v>39217</v>
      </c>
      <c r="R149">
        <v>4.51</v>
      </c>
      <c r="AA149" s="118">
        <v>39217</v>
      </c>
      <c r="AB149">
        <v>4.34</v>
      </c>
    </row>
    <row r="150" spans="1:28" x14ac:dyDescent="0.2">
      <c r="A150" s="118">
        <v>39248</v>
      </c>
      <c r="B150">
        <v>4.5600000000000005</v>
      </c>
      <c r="F150" s="118">
        <v>39248</v>
      </c>
      <c r="G150">
        <v>4.74</v>
      </c>
      <c r="J150" s="118">
        <v>39248</v>
      </c>
      <c r="K150">
        <v>4.62</v>
      </c>
      <c r="O150" s="118">
        <v>39248</v>
      </c>
      <c r="P150">
        <v>4.7700000000000005</v>
      </c>
      <c r="Q150" s="118">
        <v>39248</v>
      </c>
      <c r="R150">
        <v>4.8</v>
      </c>
      <c r="AA150" s="118">
        <v>39248</v>
      </c>
      <c r="AB150">
        <v>4.62</v>
      </c>
    </row>
    <row r="151" spans="1:28" x14ac:dyDescent="0.2">
      <c r="A151" s="118">
        <v>39278</v>
      </c>
      <c r="B151">
        <v>4.5</v>
      </c>
      <c r="F151" s="118">
        <v>39278</v>
      </c>
      <c r="G151">
        <v>4.7300000000000004</v>
      </c>
      <c r="J151" s="118">
        <v>39278</v>
      </c>
      <c r="K151">
        <v>4.59</v>
      </c>
      <c r="O151" s="118">
        <v>39278</v>
      </c>
      <c r="P151">
        <v>4.76</v>
      </c>
      <c r="Q151" s="118">
        <v>39278</v>
      </c>
      <c r="R151">
        <v>4.79</v>
      </c>
      <c r="AA151" s="118">
        <v>39278</v>
      </c>
      <c r="AB151">
        <v>4.6000000000000005</v>
      </c>
    </row>
    <row r="152" spans="1:28" x14ac:dyDescent="0.2">
      <c r="A152" s="118">
        <v>39309</v>
      </c>
      <c r="B152">
        <v>4.3</v>
      </c>
      <c r="F152" s="118">
        <v>39309</v>
      </c>
      <c r="G152">
        <v>4.5600000000000005</v>
      </c>
      <c r="J152" s="118">
        <v>39309</v>
      </c>
      <c r="K152">
        <v>4.4000000000000004</v>
      </c>
      <c r="O152" s="118">
        <v>39309</v>
      </c>
      <c r="P152">
        <v>4.58</v>
      </c>
      <c r="Q152" s="118">
        <v>39309</v>
      </c>
      <c r="R152">
        <v>4.62</v>
      </c>
      <c r="AA152" s="118">
        <v>39309</v>
      </c>
      <c r="AB152">
        <v>4.4000000000000004</v>
      </c>
    </row>
    <row r="153" spans="1:28" x14ac:dyDescent="0.2">
      <c r="A153" s="118">
        <v>39340</v>
      </c>
      <c r="B153">
        <v>4.22</v>
      </c>
      <c r="F153" s="118">
        <v>39340</v>
      </c>
      <c r="G153">
        <v>4.5</v>
      </c>
      <c r="J153" s="118">
        <v>39340</v>
      </c>
      <c r="K153">
        <v>4.32</v>
      </c>
      <c r="O153" s="118">
        <v>39340</v>
      </c>
      <c r="P153">
        <v>4.57</v>
      </c>
      <c r="Q153" s="118">
        <v>39340</v>
      </c>
      <c r="R153">
        <v>4.5600000000000005</v>
      </c>
      <c r="AA153" s="118">
        <v>39340</v>
      </c>
      <c r="AB153">
        <v>4.3600000000000003</v>
      </c>
    </row>
    <row r="154" spans="1:28" x14ac:dyDescent="0.2">
      <c r="A154" s="118">
        <v>39370</v>
      </c>
      <c r="B154">
        <v>4.28</v>
      </c>
      <c r="F154" s="118">
        <v>39370</v>
      </c>
      <c r="G154">
        <v>4.5200000000000005</v>
      </c>
      <c r="J154" s="118">
        <v>39370</v>
      </c>
      <c r="K154">
        <v>4.3899999999999997</v>
      </c>
      <c r="O154" s="118">
        <v>39370</v>
      </c>
      <c r="P154">
        <v>4.59</v>
      </c>
      <c r="Q154" s="118">
        <v>39370</v>
      </c>
      <c r="R154">
        <v>4.58</v>
      </c>
      <c r="AA154" s="118">
        <v>39370</v>
      </c>
      <c r="AB154">
        <v>4.38</v>
      </c>
    </row>
    <row r="155" spans="1:28" x14ac:dyDescent="0.2">
      <c r="A155" s="118">
        <v>39401</v>
      </c>
      <c r="B155">
        <v>4.09</v>
      </c>
      <c r="F155" s="118">
        <v>39401</v>
      </c>
      <c r="G155">
        <v>4.3600000000000003</v>
      </c>
      <c r="J155" s="118">
        <v>39401</v>
      </c>
      <c r="K155">
        <v>4.3100000000000005</v>
      </c>
      <c r="O155" s="118">
        <v>39401</v>
      </c>
      <c r="P155">
        <v>4.45</v>
      </c>
      <c r="Q155" s="118">
        <v>39401</v>
      </c>
      <c r="R155">
        <v>4.43</v>
      </c>
      <c r="AA155" s="118">
        <v>39401</v>
      </c>
      <c r="AB155">
        <v>4.25</v>
      </c>
    </row>
    <row r="156" spans="1:28" x14ac:dyDescent="0.2">
      <c r="A156" s="118">
        <v>39431</v>
      </c>
      <c r="B156">
        <v>4.21</v>
      </c>
      <c r="F156" s="118">
        <v>39431</v>
      </c>
      <c r="G156">
        <v>4.47</v>
      </c>
      <c r="J156" s="118">
        <v>39431</v>
      </c>
      <c r="K156">
        <v>4.45</v>
      </c>
      <c r="O156" s="118">
        <v>39431</v>
      </c>
      <c r="P156">
        <v>4.54</v>
      </c>
      <c r="Q156" s="118">
        <v>39431</v>
      </c>
      <c r="R156">
        <v>4.53</v>
      </c>
      <c r="AA156" s="118">
        <v>39431</v>
      </c>
      <c r="AB156">
        <v>4.3500000000000005</v>
      </c>
    </row>
    <row r="157" spans="1:28" x14ac:dyDescent="0.2">
      <c r="A157" s="118">
        <v>39462</v>
      </c>
      <c r="B157">
        <v>4.03</v>
      </c>
      <c r="F157" s="118">
        <v>39462</v>
      </c>
      <c r="G157">
        <v>4.3100000000000005</v>
      </c>
      <c r="J157" s="118">
        <v>39462</v>
      </c>
      <c r="K157">
        <v>4.25</v>
      </c>
      <c r="O157" s="118">
        <v>39462</v>
      </c>
      <c r="P157">
        <v>4.4000000000000004</v>
      </c>
      <c r="Q157" s="118">
        <v>39462</v>
      </c>
      <c r="R157">
        <v>4.4000000000000004</v>
      </c>
      <c r="AA157" s="118">
        <v>39462</v>
      </c>
      <c r="AB157">
        <v>4.18</v>
      </c>
    </row>
    <row r="158" spans="1:28" x14ac:dyDescent="0.2">
      <c r="A158" s="118">
        <v>39493</v>
      </c>
      <c r="B158">
        <v>3.95</v>
      </c>
      <c r="F158" s="118">
        <v>39493</v>
      </c>
      <c r="G158">
        <v>4.2700000000000005</v>
      </c>
      <c r="J158" s="118">
        <v>39493</v>
      </c>
      <c r="K158">
        <v>4.21</v>
      </c>
      <c r="O158" s="118">
        <v>39493</v>
      </c>
      <c r="P158">
        <v>4.3500000000000005</v>
      </c>
      <c r="Q158" s="118">
        <v>39493</v>
      </c>
      <c r="R158">
        <v>4.3600000000000003</v>
      </c>
      <c r="AA158" s="118">
        <v>39493</v>
      </c>
      <c r="AB158">
        <v>4.1500000000000004</v>
      </c>
    </row>
    <row r="159" spans="1:28" x14ac:dyDescent="0.2">
      <c r="A159" s="118">
        <v>39522</v>
      </c>
      <c r="B159">
        <v>3.8000000000000003</v>
      </c>
      <c r="F159" s="118">
        <v>39522</v>
      </c>
      <c r="G159">
        <v>4.3600000000000003</v>
      </c>
      <c r="J159" s="118">
        <v>39522</v>
      </c>
      <c r="K159">
        <v>4.17</v>
      </c>
      <c r="O159" s="118">
        <v>39522</v>
      </c>
      <c r="P159">
        <v>4.38</v>
      </c>
      <c r="Q159" s="118">
        <v>39522</v>
      </c>
      <c r="R159">
        <v>4.42</v>
      </c>
      <c r="AA159" s="118">
        <v>39522</v>
      </c>
      <c r="AB159">
        <v>4.12</v>
      </c>
    </row>
    <row r="160" spans="1:28" x14ac:dyDescent="0.2">
      <c r="A160" s="118">
        <v>39553</v>
      </c>
      <c r="B160">
        <v>4.04</v>
      </c>
      <c r="F160" s="118">
        <v>39553</v>
      </c>
      <c r="G160">
        <v>4.5200000000000005</v>
      </c>
      <c r="J160" s="118">
        <v>39553</v>
      </c>
      <c r="K160">
        <v>4.4400000000000004</v>
      </c>
      <c r="O160" s="118">
        <v>39553</v>
      </c>
      <c r="P160">
        <v>4.53</v>
      </c>
      <c r="Q160" s="118">
        <v>39553</v>
      </c>
      <c r="R160">
        <v>4.54</v>
      </c>
      <c r="AA160" s="118">
        <v>39553</v>
      </c>
      <c r="AB160">
        <v>4.32</v>
      </c>
    </row>
    <row r="161" spans="1:28" x14ac:dyDescent="0.2">
      <c r="A161" s="118">
        <v>39583</v>
      </c>
      <c r="B161">
        <v>4.2</v>
      </c>
      <c r="F161" s="118">
        <v>39583</v>
      </c>
      <c r="G161">
        <v>4.6000000000000005</v>
      </c>
      <c r="J161" s="118">
        <v>39583</v>
      </c>
      <c r="K161">
        <v>4.58</v>
      </c>
      <c r="O161" s="118">
        <v>39583</v>
      </c>
      <c r="P161">
        <v>4.7</v>
      </c>
      <c r="Q161" s="118">
        <v>39583</v>
      </c>
      <c r="R161">
        <v>4.74</v>
      </c>
      <c r="AA161" s="118">
        <v>39583</v>
      </c>
      <c r="AB161">
        <v>4.43</v>
      </c>
    </row>
    <row r="162" spans="1:28" x14ac:dyDescent="0.2">
      <c r="A162" s="118">
        <v>39614</v>
      </c>
      <c r="B162">
        <v>4.5200000000000005</v>
      </c>
      <c r="F162" s="118">
        <v>39614</v>
      </c>
      <c r="G162">
        <v>4.96</v>
      </c>
      <c r="J162" s="118">
        <v>39614</v>
      </c>
      <c r="K162">
        <v>4.91</v>
      </c>
      <c r="O162" s="118">
        <v>39614</v>
      </c>
      <c r="P162">
        <v>5.1100000000000003</v>
      </c>
      <c r="Q162" s="118">
        <v>39614</v>
      </c>
      <c r="R162">
        <v>5.17</v>
      </c>
      <c r="AA162" s="118">
        <v>39614</v>
      </c>
      <c r="AB162">
        <v>4.79</v>
      </c>
    </row>
    <row r="163" spans="1:28" x14ac:dyDescent="0.2">
      <c r="A163" s="118">
        <v>39644</v>
      </c>
      <c r="B163">
        <v>4.49</v>
      </c>
      <c r="F163" s="118">
        <v>39644</v>
      </c>
      <c r="G163">
        <v>4.95</v>
      </c>
      <c r="J163" s="118">
        <v>39644</v>
      </c>
      <c r="K163">
        <v>4.92</v>
      </c>
      <c r="O163" s="118">
        <v>39644</v>
      </c>
      <c r="P163">
        <v>5.1000000000000005</v>
      </c>
      <c r="Q163" s="118">
        <v>39644</v>
      </c>
      <c r="R163">
        <v>5.15</v>
      </c>
      <c r="AA163" s="118">
        <v>39644</v>
      </c>
      <c r="AB163">
        <v>4.8</v>
      </c>
    </row>
    <row r="164" spans="1:28" x14ac:dyDescent="0.2">
      <c r="A164" s="118">
        <v>39675</v>
      </c>
      <c r="B164">
        <v>4.2</v>
      </c>
      <c r="F164" s="118">
        <v>39675</v>
      </c>
      <c r="G164">
        <v>4.6900000000000004</v>
      </c>
      <c r="J164" s="118">
        <v>39675</v>
      </c>
      <c r="K164">
        <v>4.59</v>
      </c>
      <c r="O164" s="118">
        <v>39675</v>
      </c>
      <c r="P164">
        <v>4.8100000000000005</v>
      </c>
      <c r="Q164" s="118">
        <v>39675</v>
      </c>
      <c r="R164">
        <v>4.87</v>
      </c>
      <c r="AA164" s="118">
        <v>39675</v>
      </c>
      <c r="AB164">
        <v>4.5600000000000005</v>
      </c>
    </row>
    <row r="165" spans="1:28" x14ac:dyDescent="0.2">
      <c r="A165" s="118">
        <v>39706</v>
      </c>
      <c r="B165">
        <v>4.09</v>
      </c>
      <c r="F165" s="118">
        <v>39706</v>
      </c>
      <c r="G165">
        <v>4.66</v>
      </c>
      <c r="J165" s="118">
        <v>39706</v>
      </c>
      <c r="K165">
        <v>4.5600000000000005</v>
      </c>
      <c r="O165" s="118">
        <v>39706</v>
      </c>
      <c r="P165">
        <v>4.8</v>
      </c>
      <c r="Q165" s="118">
        <v>39706</v>
      </c>
      <c r="R165">
        <v>4.88</v>
      </c>
      <c r="AA165" s="118">
        <v>39706</v>
      </c>
      <c r="AB165">
        <v>4.57</v>
      </c>
    </row>
    <row r="166" spans="1:28" x14ac:dyDescent="0.2">
      <c r="A166" s="118">
        <v>39736</v>
      </c>
      <c r="B166">
        <v>3.88</v>
      </c>
      <c r="F166" s="118">
        <v>39736</v>
      </c>
      <c r="G166">
        <v>4.5600000000000005</v>
      </c>
      <c r="J166" s="118">
        <v>39736</v>
      </c>
      <c r="K166">
        <v>4.55</v>
      </c>
      <c r="O166" s="118">
        <v>39736</v>
      </c>
      <c r="P166">
        <v>4.78</v>
      </c>
      <c r="Q166" s="118">
        <v>39736</v>
      </c>
      <c r="R166">
        <v>4.93</v>
      </c>
      <c r="AA166" s="118">
        <v>39736</v>
      </c>
      <c r="AB166">
        <v>4.46</v>
      </c>
    </row>
    <row r="167" spans="1:28" x14ac:dyDescent="0.2">
      <c r="A167" s="118">
        <v>39767</v>
      </c>
      <c r="B167">
        <v>3.56</v>
      </c>
      <c r="F167" s="118">
        <v>39767</v>
      </c>
      <c r="G167">
        <v>4.3500000000000005</v>
      </c>
      <c r="J167" s="118">
        <v>39767</v>
      </c>
      <c r="K167">
        <v>4.5600000000000005</v>
      </c>
      <c r="O167" s="118">
        <v>39767</v>
      </c>
      <c r="P167">
        <v>4.74</v>
      </c>
      <c r="Q167" s="118">
        <v>39767</v>
      </c>
      <c r="R167">
        <v>5.09</v>
      </c>
      <c r="AA167" s="118">
        <v>39767</v>
      </c>
      <c r="AB167">
        <v>4.1500000000000004</v>
      </c>
    </row>
    <row r="168" spans="1:28" x14ac:dyDescent="0.2">
      <c r="A168" s="118">
        <v>39797</v>
      </c>
      <c r="B168">
        <v>3.0500000000000003</v>
      </c>
      <c r="F168" s="118">
        <v>39797</v>
      </c>
      <c r="G168">
        <v>4</v>
      </c>
      <c r="J168" s="118">
        <v>39797</v>
      </c>
      <c r="K168">
        <v>4.57</v>
      </c>
      <c r="O168" s="118">
        <v>39797</v>
      </c>
      <c r="P168">
        <v>4.47</v>
      </c>
      <c r="Q168" s="118">
        <v>39797</v>
      </c>
      <c r="R168">
        <v>5.08</v>
      </c>
      <c r="AA168" s="118">
        <v>39797</v>
      </c>
      <c r="AB168">
        <v>3.86</v>
      </c>
    </row>
    <row r="169" spans="1:28" x14ac:dyDescent="0.2">
      <c r="A169" s="118">
        <v>39828</v>
      </c>
      <c r="B169">
        <v>3.0700000000000003</v>
      </c>
      <c r="F169" s="118">
        <v>39828</v>
      </c>
      <c r="G169">
        <v>4.32</v>
      </c>
      <c r="J169" s="118">
        <v>39828</v>
      </c>
      <c r="K169">
        <v>5.2</v>
      </c>
      <c r="O169" s="118">
        <v>39828</v>
      </c>
      <c r="P169">
        <v>4.62</v>
      </c>
      <c r="Q169" s="118">
        <v>39828</v>
      </c>
      <c r="R169">
        <v>5.6000000000000005</v>
      </c>
      <c r="AA169" s="118">
        <v>39828</v>
      </c>
      <c r="AB169">
        <v>4.1500000000000004</v>
      </c>
    </row>
    <row r="170" spans="1:28" x14ac:dyDescent="0.2">
      <c r="A170" s="118">
        <v>39859</v>
      </c>
      <c r="B170">
        <v>3.13</v>
      </c>
      <c r="F170" s="118">
        <v>39859</v>
      </c>
      <c r="G170">
        <v>4.5200000000000005</v>
      </c>
      <c r="J170" s="118">
        <v>39859</v>
      </c>
      <c r="K170">
        <v>5.65</v>
      </c>
      <c r="O170" s="118">
        <v>39859</v>
      </c>
      <c r="P170">
        <v>4.54</v>
      </c>
      <c r="Q170" s="118">
        <v>39859</v>
      </c>
      <c r="R170">
        <v>5.7</v>
      </c>
      <c r="AA170" s="118">
        <v>39859</v>
      </c>
      <c r="AB170">
        <v>4.2300000000000004</v>
      </c>
    </row>
    <row r="171" spans="1:28" x14ac:dyDescent="0.2">
      <c r="A171" s="118">
        <v>39887</v>
      </c>
      <c r="B171">
        <v>3.02</v>
      </c>
      <c r="F171" s="118">
        <v>39887</v>
      </c>
      <c r="G171">
        <v>4.68</v>
      </c>
      <c r="J171" s="118">
        <v>39887</v>
      </c>
      <c r="K171">
        <v>5.76</v>
      </c>
      <c r="O171" s="118">
        <v>39887</v>
      </c>
      <c r="P171">
        <v>4.46</v>
      </c>
      <c r="Q171" s="118">
        <v>39887</v>
      </c>
      <c r="R171">
        <v>5.87</v>
      </c>
      <c r="AA171" s="118">
        <v>39887</v>
      </c>
      <c r="AB171">
        <v>4.0600000000000005</v>
      </c>
    </row>
    <row r="172" spans="1:28" x14ac:dyDescent="0.2">
      <c r="A172" s="118">
        <v>39918</v>
      </c>
      <c r="B172">
        <v>3.13</v>
      </c>
      <c r="F172" s="118">
        <v>39918</v>
      </c>
      <c r="G172">
        <v>4.53</v>
      </c>
      <c r="J172" s="118">
        <v>39918</v>
      </c>
      <c r="K172">
        <v>5.34</v>
      </c>
      <c r="O172" s="118">
        <v>39918</v>
      </c>
      <c r="P172">
        <v>4.3600000000000003</v>
      </c>
      <c r="Q172" s="118">
        <v>39918</v>
      </c>
      <c r="R172">
        <v>5.5</v>
      </c>
      <c r="AA172" s="118">
        <v>39918</v>
      </c>
      <c r="AB172">
        <v>4.01</v>
      </c>
    </row>
    <row r="173" spans="1:28" x14ac:dyDescent="0.2">
      <c r="A173" s="118">
        <v>39948</v>
      </c>
      <c r="B173">
        <v>3.37</v>
      </c>
      <c r="F173" s="118">
        <v>39948</v>
      </c>
      <c r="G173">
        <v>4.29</v>
      </c>
      <c r="J173" s="118">
        <v>39948</v>
      </c>
      <c r="K173">
        <v>5.2700000000000005</v>
      </c>
      <c r="O173" s="118">
        <v>39948</v>
      </c>
      <c r="P173">
        <v>4.42</v>
      </c>
      <c r="Q173" s="118">
        <v>39948</v>
      </c>
      <c r="R173">
        <v>5.22</v>
      </c>
      <c r="AA173" s="118">
        <v>39948</v>
      </c>
      <c r="AB173">
        <v>4.0600000000000005</v>
      </c>
    </row>
    <row r="174" spans="1:28" x14ac:dyDescent="0.2">
      <c r="A174" s="118">
        <v>39979</v>
      </c>
      <c r="B174">
        <v>3.47</v>
      </c>
      <c r="F174" s="118">
        <v>39979</v>
      </c>
      <c r="G174">
        <v>4.5</v>
      </c>
      <c r="J174" s="118">
        <v>39979</v>
      </c>
      <c r="K174">
        <v>5.73</v>
      </c>
      <c r="O174" s="118">
        <v>39979</v>
      </c>
      <c r="P174">
        <v>4.6100000000000003</v>
      </c>
      <c r="Q174" s="118">
        <v>39979</v>
      </c>
      <c r="R174">
        <v>5.33</v>
      </c>
      <c r="AA174" s="118">
        <v>39979</v>
      </c>
      <c r="AB174">
        <v>4.25</v>
      </c>
    </row>
    <row r="175" spans="1:28" x14ac:dyDescent="0.2">
      <c r="A175" s="118">
        <v>40009</v>
      </c>
      <c r="B175">
        <v>3.34</v>
      </c>
      <c r="F175" s="118">
        <v>40009</v>
      </c>
      <c r="G175">
        <v>4.25</v>
      </c>
      <c r="J175" s="118">
        <v>40009</v>
      </c>
      <c r="K175">
        <v>5.45</v>
      </c>
      <c r="O175" s="118">
        <v>40009</v>
      </c>
      <c r="P175">
        <v>4.37</v>
      </c>
      <c r="Q175" s="118">
        <v>40009</v>
      </c>
      <c r="R175">
        <v>4.8899999999999997</v>
      </c>
      <c r="AA175" s="118">
        <v>40009</v>
      </c>
      <c r="AB175">
        <v>4.01</v>
      </c>
    </row>
    <row r="176" spans="1:28" x14ac:dyDescent="0.2">
      <c r="A176" s="118">
        <v>40040</v>
      </c>
      <c r="B176">
        <v>3.31</v>
      </c>
      <c r="F176" s="118">
        <v>40040</v>
      </c>
      <c r="G176">
        <v>3.95</v>
      </c>
      <c r="J176" s="118">
        <v>40040</v>
      </c>
      <c r="K176">
        <v>4.92</v>
      </c>
      <c r="O176" s="118">
        <v>40040</v>
      </c>
      <c r="P176">
        <v>4.12</v>
      </c>
      <c r="Q176" s="118">
        <v>40040</v>
      </c>
      <c r="R176">
        <v>4.5200000000000005</v>
      </c>
      <c r="AA176" s="118">
        <v>40040</v>
      </c>
      <c r="AB176">
        <v>3.79</v>
      </c>
    </row>
    <row r="177" spans="1:28" x14ac:dyDescent="0.2">
      <c r="A177" s="118">
        <v>40071</v>
      </c>
      <c r="B177">
        <v>3.2600000000000002</v>
      </c>
      <c r="F177" s="118">
        <v>40071</v>
      </c>
      <c r="G177">
        <v>3.94</v>
      </c>
      <c r="J177" s="118">
        <v>40071</v>
      </c>
      <c r="K177">
        <v>4.91</v>
      </c>
      <c r="O177" s="118">
        <v>40071</v>
      </c>
      <c r="P177">
        <v>4.09</v>
      </c>
      <c r="Q177" s="118">
        <v>40071</v>
      </c>
      <c r="R177">
        <v>4.5600000000000005</v>
      </c>
      <c r="AA177" s="118">
        <v>40071</v>
      </c>
      <c r="AB177">
        <v>3.81</v>
      </c>
    </row>
    <row r="178" spans="1:28" x14ac:dyDescent="0.2">
      <c r="A178" s="118">
        <v>40101</v>
      </c>
      <c r="B178">
        <v>3.21</v>
      </c>
      <c r="F178" s="118">
        <v>40101</v>
      </c>
      <c r="G178">
        <v>3.85</v>
      </c>
      <c r="J178" s="118">
        <v>40101</v>
      </c>
      <c r="K178">
        <v>4.7700000000000005</v>
      </c>
      <c r="O178" s="118">
        <v>40101</v>
      </c>
      <c r="P178">
        <v>4.0999999999999996</v>
      </c>
      <c r="Q178" s="118">
        <v>40101</v>
      </c>
      <c r="R178">
        <v>4.57</v>
      </c>
      <c r="AA178" s="118">
        <v>40101</v>
      </c>
      <c r="AB178">
        <v>3.7800000000000002</v>
      </c>
    </row>
    <row r="179" spans="1:28" x14ac:dyDescent="0.2">
      <c r="A179" s="118">
        <v>40132</v>
      </c>
      <c r="B179">
        <v>3.22</v>
      </c>
      <c r="F179" s="118">
        <v>40132</v>
      </c>
      <c r="G179">
        <v>3.8000000000000003</v>
      </c>
      <c r="J179" s="118">
        <v>40132</v>
      </c>
      <c r="K179">
        <v>4.82</v>
      </c>
      <c r="O179" s="118">
        <v>40132</v>
      </c>
      <c r="P179">
        <v>4.0600000000000005</v>
      </c>
      <c r="Q179" s="118">
        <v>40132</v>
      </c>
      <c r="R179">
        <v>4.84</v>
      </c>
      <c r="AA179" s="118">
        <v>40132</v>
      </c>
      <c r="AB179">
        <v>3.79</v>
      </c>
    </row>
    <row r="180" spans="1:28" x14ac:dyDescent="0.2">
      <c r="A180" s="118">
        <v>40162</v>
      </c>
      <c r="B180">
        <v>3.14</v>
      </c>
      <c r="F180" s="118">
        <v>40162</v>
      </c>
      <c r="G180">
        <v>3.91</v>
      </c>
      <c r="J180" s="118">
        <v>40162</v>
      </c>
      <c r="K180">
        <v>4.88</v>
      </c>
      <c r="O180" s="118">
        <v>40162</v>
      </c>
      <c r="P180">
        <v>4.01</v>
      </c>
      <c r="Q180" s="118">
        <v>40162</v>
      </c>
      <c r="R180">
        <v>5.49</v>
      </c>
      <c r="AA180" s="118">
        <v>40162</v>
      </c>
      <c r="AB180">
        <v>3.81</v>
      </c>
    </row>
    <row r="181" spans="1:28" x14ac:dyDescent="0.2">
      <c r="A181" s="118">
        <v>40193</v>
      </c>
      <c r="B181">
        <v>3.2600000000000002</v>
      </c>
      <c r="F181" s="118">
        <v>40193</v>
      </c>
      <c r="G181">
        <v>4.17</v>
      </c>
      <c r="J181" s="118">
        <v>40193</v>
      </c>
      <c r="K181">
        <v>4.83</v>
      </c>
      <c r="O181" s="118">
        <v>40193</v>
      </c>
      <c r="P181">
        <v>4.08</v>
      </c>
      <c r="Q181" s="118">
        <v>40193</v>
      </c>
      <c r="R181">
        <v>6.0200000000000005</v>
      </c>
      <c r="AA181" s="118">
        <v>40193</v>
      </c>
      <c r="AB181">
        <v>3.99</v>
      </c>
    </row>
    <row r="182" spans="1:28" x14ac:dyDescent="0.2">
      <c r="A182" s="118">
        <v>40224</v>
      </c>
      <c r="B182">
        <v>3.17</v>
      </c>
      <c r="F182" s="118">
        <v>40224</v>
      </c>
      <c r="G182">
        <v>4.5600000000000005</v>
      </c>
      <c r="J182" s="118">
        <v>40224</v>
      </c>
      <c r="K182">
        <v>4.7300000000000004</v>
      </c>
      <c r="O182" s="118">
        <v>40224</v>
      </c>
      <c r="P182">
        <v>4.05</v>
      </c>
      <c r="Q182" s="118">
        <v>40224</v>
      </c>
      <c r="R182">
        <v>6.46</v>
      </c>
      <c r="AA182" s="118">
        <v>40224</v>
      </c>
      <c r="AB182">
        <v>3.98</v>
      </c>
    </row>
    <row r="183" spans="1:28" x14ac:dyDescent="0.2">
      <c r="A183" s="118">
        <v>40252</v>
      </c>
      <c r="B183">
        <v>3.1</v>
      </c>
      <c r="F183" s="118">
        <v>40252</v>
      </c>
      <c r="G183">
        <v>4.3100000000000005</v>
      </c>
      <c r="J183" s="118">
        <v>40252</v>
      </c>
      <c r="K183">
        <v>4.53</v>
      </c>
      <c r="O183" s="118">
        <v>40252</v>
      </c>
      <c r="P183">
        <v>3.94</v>
      </c>
      <c r="Q183" s="118">
        <v>40252</v>
      </c>
      <c r="R183">
        <v>6.24</v>
      </c>
      <c r="AA183" s="118">
        <v>40252</v>
      </c>
      <c r="AB183">
        <v>3.83</v>
      </c>
    </row>
    <row r="184" spans="1:28" x14ac:dyDescent="0.2">
      <c r="A184" s="118">
        <v>40283</v>
      </c>
      <c r="B184">
        <v>3.06</v>
      </c>
      <c r="F184" s="118">
        <v>40283</v>
      </c>
      <c r="G184">
        <v>4.78</v>
      </c>
      <c r="J184" s="118">
        <v>40283</v>
      </c>
      <c r="K184">
        <v>4.76</v>
      </c>
      <c r="O184" s="118">
        <v>40283</v>
      </c>
      <c r="P184">
        <v>4</v>
      </c>
      <c r="Q184" s="118">
        <v>40283</v>
      </c>
      <c r="R184">
        <v>7.83</v>
      </c>
      <c r="AA184" s="118">
        <v>40283</v>
      </c>
      <c r="AB184">
        <v>3.9</v>
      </c>
    </row>
    <row r="185" spans="1:28" x14ac:dyDescent="0.2">
      <c r="A185" s="118">
        <v>40313</v>
      </c>
      <c r="B185">
        <v>2.73</v>
      </c>
      <c r="F185" s="118">
        <v>40313</v>
      </c>
      <c r="G185">
        <v>5.0200000000000005</v>
      </c>
      <c r="J185" s="118">
        <v>40313</v>
      </c>
      <c r="K185">
        <v>4.8600000000000003</v>
      </c>
      <c r="O185" s="118">
        <v>40313</v>
      </c>
      <c r="P185">
        <v>3.98</v>
      </c>
      <c r="Q185" s="118">
        <v>40313</v>
      </c>
      <c r="R185">
        <v>7.97</v>
      </c>
      <c r="AA185" s="118">
        <v>40313</v>
      </c>
      <c r="AB185">
        <v>4.08</v>
      </c>
    </row>
    <row r="186" spans="1:28" x14ac:dyDescent="0.2">
      <c r="A186" s="118">
        <v>40344</v>
      </c>
      <c r="B186">
        <v>2.54</v>
      </c>
      <c r="F186" s="118">
        <v>40344</v>
      </c>
      <c r="G186">
        <v>5.54</v>
      </c>
      <c r="J186" s="118">
        <v>40344</v>
      </c>
      <c r="K186">
        <v>5.3100000000000005</v>
      </c>
      <c r="O186" s="118">
        <v>40344</v>
      </c>
      <c r="P186">
        <v>4.0999999999999996</v>
      </c>
      <c r="Q186" s="118">
        <v>40344</v>
      </c>
      <c r="R186">
        <v>9.1</v>
      </c>
      <c r="AA186" s="118">
        <v>40344</v>
      </c>
      <c r="AB186">
        <v>4.5600000000000005</v>
      </c>
    </row>
    <row r="187" spans="1:28" x14ac:dyDescent="0.2">
      <c r="A187" s="118">
        <v>40374</v>
      </c>
      <c r="B187">
        <v>2.62</v>
      </c>
      <c r="F187" s="118">
        <v>40374</v>
      </c>
      <c r="G187">
        <v>5.49</v>
      </c>
      <c r="J187" s="118">
        <v>40374</v>
      </c>
      <c r="K187">
        <v>5.32</v>
      </c>
      <c r="O187" s="118">
        <v>40374</v>
      </c>
      <c r="P187">
        <v>4.03</v>
      </c>
      <c r="Q187" s="118">
        <v>40374</v>
      </c>
      <c r="R187">
        <v>10.34</v>
      </c>
      <c r="AA187" s="118">
        <v>40374</v>
      </c>
      <c r="AB187">
        <v>4.43</v>
      </c>
    </row>
    <row r="188" spans="1:28" x14ac:dyDescent="0.2">
      <c r="A188" s="118">
        <v>40405</v>
      </c>
      <c r="B188">
        <v>2.35</v>
      </c>
      <c r="F188" s="118">
        <v>40405</v>
      </c>
      <c r="G188">
        <v>5.3100000000000005</v>
      </c>
      <c r="J188" s="118">
        <v>40405</v>
      </c>
      <c r="K188">
        <v>5.3</v>
      </c>
      <c r="O188" s="118">
        <v>40405</v>
      </c>
      <c r="P188">
        <v>3.8000000000000003</v>
      </c>
      <c r="Q188" s="118">
        <v>40405</v>
      </c>
      <c r="R188">
        <v>10.700000000000001</v>
      </c>
      <c r="AA188" s="118">
        <v>40405</v>
      </c>
      <c r="AB188">
        <v>4.04</v>
      </c>
    </row>
    <row r="189" spans="1:28" x14ac:dyDescent="0.2">
      <c r="A189" s="118">
        <v>40436</v>
      </c>
      <c r="B189">
        <v>2.3000000000000003</v>
      </c>
      <c r="F189" s="118">
        <v>40436</v>
      </c>
      <c r="G189">
        <v>6.08</v>
      </c>
      <c r="J189" s="118">
        <v>40436</v>
      </c>
      <c r="K189">
        <v>6.1400000000000006</v>
      </c>
      <c r="O189" s="118">
        <v>40436</v>
      </c>
      <c r="P189">
        <v>3.86</v>
      </c>
      <c r="Q189" s="118">
        <v>40436</v>
      </c>
      <c r="R189">
        <v>11.34</v>
      </c>
      <c r="AA189" s="118">
        <v>40436</v>
      </c>
      <c r="AB189">
        <v>4.09</v>
      </c>
    </row>
    <row r="190" spans="1:28" x14ac:dyDescent="0.2">
      <c r="A190" s="118">
        <v>40466</v>
      </c>
      <c r="B190">
        <v>2.35</v>
      </c>
      <c r="F190" s="118">
        <v>40466</v>
      </c>
      <c r="G190">
        <v>6.05</v>
      </c>
      <c r="J190" s="118">
        <v>40466</v>
      </c>
      <c r="K190">
        <v>6.42</v>
      </c>
      <c r="O190" s="118">
        <v>40466</v>
      </c>
      <c r="P190">
        <v>3.8000000000000003</v>
      </c>
      <c r="Q190" s="118">
        <v>40466</v>
      </c>
      <c r="R190">
        <v>9.57</v>
      </c>
      <c r="AA190" s="118">
        <v>40466</v>
      </c>
      <c r="AB190">
        <v>4.04</v>
      </c>
    </row>
    <row r="191" spans="1:28" x14ac:dyDescent="0.2">
      <c r="A191" s="118">
        <v>40497</v>
      </c>
      <c r="B191">
        <v>2.5300000000000002</v>
      </c>
      <c r="F191" s="118">
        <v>40497</v>
      </c>
      <c r="G191">
        <v>6.91</v>
      </c>
      <c r="J191" s="118">
        <v>40497</v>
      </c>
      <c r="K191">
        <v>8.2200000000000006</v>
      </c>
      <c r="O191" s="118">
        <v>40497</v>
      </c>
      <c r="P191">
        <v>4.18</v>
      </c>
      <c r="Q191" s="118">
        <v>40497</v>
      </c>
      <c r="R191">
        <v>11.52</v>
      </c>
      <c r="AA191" s="118">
        <v>40497</v>
      </c>
      <c r="AB191">
        <v>4.6900000000000004</v>
      </c>
    </row>
    <row r="192" spans="1:28" x14ac:dyDescent="0.2">
      <c r="A192" s="118">
        <v>40527</v>
      </c>
      <c r="B192">
        <v>2.91</v>
      </c>
      <c r="F192" s="118">
        <v>40527</v>
      </c>
      <c r="G192">
        <v>6.53</v>
      </c>
      <c r="J192" s="118">
        <v>40527</v>
      </c>
      <c r="K192">
        <v>8.4499999999999993</v>
      </c>
      <c r="O192" s="118">
        <v>40527</v>
      </c>
      <c r="P192">
        <v>4.6000000000000005</v>
      </c>
      <c r="Q192" s="118">
        <v>40527</v>
      </c>
      <c r="R192">
        <v>12.01</v>
      </c>
      <c r="AA192" s="118">
        <v>40527</v>
      </c>
      <c r="AB192">
        <v>5.38</v>
      </c>
    </row>
    <row r="193" spans="1:28" x14ac:dyDescent="0.2">
      <c r="A193" s="118">
        <v>40558</v>
      </c>
      <c r="B193">
        <v>3.02</v>
      </c>
      <c r="F193" s="118">
        <v>40558</v>
      </c>
      <c r="G193">
        <v>6.95</v>
      </c>
      <c r="J193" s="118">
        <v>40558</v>
      </c>
      <c r="K193">
        <v>8.75</v>
      </c>
      <c r="O193" s="118">
        <v>40558</v>
      </c>
      <c r="P193">
        <v>4.7300000000000004</v>
      </c>
      <c r="Q193" s="118">
        <v>40558</v>
      </c>
      <c r="R193">
        <v>11.73</v>
      </c>
      <c r="AA193" s="118">
        <v>40558</v>
      </c>
      <c r="AB193">
        <v>5.38</v>
      </c>
    </row>
    <row r="194" spans="1:28" x14ac:dyDescent="0.2">
      <c r="A194" s="118">
        <v>40589</v>
      </c>
      <c r="B194">
        <v>3.2</v>
      </c>
      <c r="F194" s="118">
        <v>40589</v>
      </c>
      <c r="G194">
        <v>7.34</v>
      </c>
      <c r="J194" s="118">
        <v>40589</v>
      </c>
      <c r="K194">
        <v>9.1</v>
      </c>
      <c r="O194" s="118">
        <v>40589</v>
      </c>
      <c r="P194">
        <v>4.74</v>
      </c>
      <c r="Q194" s="118">
        <v>40589</v>
      </c>
      <c r="R194">
        <v>11.4</v>
      </c>
      <c r="AA194" s="118">
        <v>40589</v>
      </c>
      <c r="AB194">
        <v>5.26</v>
      </c>
    </row>
    <row r="195" spans="1:28" x14ac:dyDescent="0.2">
      <c r="A195" s="118">
        <v>40617</v>
      </c>
      <c r="B195">
        <v>3.21</v>
      </c>
      <c r="F195" s="118">
        <v>40617</v>
      </c>
      <c r="G195">
        <v>7.8</v>
      </c>
      <c r="J195" s="118">
        <v>40617</v>
      </c>
      <c r="K195">
        <v>9.67</v>
      </c>
      <c r="O195" s="118">
        <v>40617</v>
      </c>
      <c r="P195">
        <v>4.88</v>
      </c>
      <c r="Q195" s="118">
        <v>40617</v>
      </c>
      <c r="R195">
        <v>12.44</v>
      </c>
      <c r="AA195" s="118">
        <v>40617</v>
      </c>
      <c r="AB195">
        <v>5.25</v>
      </c>
    </row>
    <row r="196" spans="1:28" x14ac:dyDescent="0.2">
      <c r="A196" s="118">
        <v>40648</v>
      </c>
      <c r="B196">
        <v>3.34</v>
      </c>
      <c r="F196" s="118">
        <v>40648</v>
      </c>
      <c r="G196">
        <v>9.19</v>
      </c>
      <c r="J196" s="118">
        <v>40648</v>
      </c>
      <c r="K196">
        <v>9.7900000000000009</v>
      </c>
      <c r="O196" s="118">
        <v>40648</v>
      </c>
      <c r="P196">
        <v>4.84</v>
      </c>
      <c r="Q196" s="118">
        <v>40648</v>
      </c>
      <c r="R196">
        <v>13.86</v>
      </c>
      <c r="AA196" s="118">
        <v>40648</v>
      </c>
      <c r="AB196">
        <v>5.33</v>
      </c>
    </row>
    <row r="197" spans="1:28" x14ac:dyDescent="0.2">
      <c r="A197" s="118">
        <v>40678</v>
      </c>
      <c r="B197">
        <v>3.06</v>
      </c>
      <c r="F197" s="118">
        <v>40678</v>
      </c>
      <c r="G197">
        <v>9.6300000000000008</v>
      </c>
      <c r="J197" s="118">
        <v>40678</v>
      </c>
      <c r="K197">
        <v>10.64</v>
      </c>
      <c r="O197" s="118">
        <v>40678</v>
      </c>
      <c r="P197">
        <v>4.76</v>
      </c>
      <c r="Q197" s="118">
        <v>40678</v>
      </c>
      <c r="R197">
        <v>15.94</v>
      </c>
      <c r="AA197" s="118">
        <v>40678</v>
      </c>
      <c r="AB197">
        <v>5.32</v>
      </c>
    </row>
    <row r="198" spans="1:28" x14ac:dyDescent="0.2">
      <c r="A198" s="118">
        <v>40709</v>
      </c>
      <c r="B198">
        <v>2.89</v>
      </c>
      <c r="F198" s="118">
        <v>40709</v>
      </c>
      <c r="G198">
        <v>10.870000000000001</v>
      </c>
      <c r="J198" s="118">
        <v>40709</v>
      </c>
      <c r="K198">
        <v>11.43</v>
      </c>
      <c r="O198" s="118">
        <v>40709</v>
      </c>
      <c r="P198">
        <v>4.82</v>
      </c>
      <c r="Q198" s="118">
        <v>40709</v>
      </c>
      <c r="R198">
        <v>16.690000000000001</v>
      </c>
      <c r="AA198" s="118">
        <v>40709</v>
      </c>
      <c r="AB198">
        <v>5.48</v>
      </c>
    </row>
    <row r="199" spans="1:28" x14ac:dyDescent="0.2">
      <c r="A199" s="118">
        <v>40739</v>
      </c>
      <c r="B199">
        <v>2.74</v>
      </c>
      <c r="F199" s="118">
        <v>40739</v>
      </c>
      <c r="G199">
        <v>12.15</v>
      </c>
      <c r="J199" s="118">
        <v>40739</v>
      </c>
      <c r="K199">
        <v>12.450000000000001</v>
      </c>
      <c r="O199" s="118">
        <v>40739</v>
      </c>
      <c r="P199">
        <v>5.46</v>
      </c>
      <c r="Q199" s="118">
        <v>40739</v>
      </c>
      <c r="R199">
        <v>16.149999999999999</v>
      </c>
      <c r="AA199" s="118">
        <v>40739</v>
      </c>
      <c r="AB199">
        <v>5.83</v>
      </c>
    </row>
    <row r="200" spans="1:28" x14ac:dyDescent="0.2">
      <c r="A200" s="118">
        <v>40770</v>
      </c>
      <c r="B200">
        <v>2.21</v>
      </c>
      <c r="F200" s="118">
        <v>40770</v>
      </c>
      <c r="G200">
        <v>10.93</v>
      </c>
      <c r="J200" s="118">
        <v>40770</v>
      </c>
      <c r="K200">
        <v>9.57</v>
      </c>
      <c r="O200" s="118">
        <v>40770</v>
      </c>
      <c r="P200">
        <v>5.2700000000000005</v>
      </c>
      <c r="Q200" s="118">
        <v>40770</v>
      </c>
      <c r="R200">
        <v>15.9</v>
      </c>
      <c r="AA200" s="118">
        <v>40770</v>
      </c>
      <c r="AB200">
        <v>5.25</v>
      </c>
    </row>
    <row r="201" spans="1:28" x14ac:dyDescent="0.2">
      <c r="A201" s="118">
        <v>40801</v>
      </c>
      <c r="B201">
        <v>1.83</v>
      </c>
      <c r="F201" s="118">
        <v>40801</v>
      </c>
      <c r="G201">
        <v>11.34</v>
      </c>
      <c r="J201" s="118">
        <v>40801</v>
      </c>
      <c r="K201">
        <v>8.51</v>
      </c>
      <c r="O201" s="118">
        <v>40801</v>
      </c>
      <c r="P201">
        <v>5.75</v>
      </c>
      <c r="Q201" s="118">
        <v>40801</v>
      </c>
      <c r="R201">
        <v>17.78</v>
      </c>
      <c r="AA201" s="118">
        <v>40801</v>
      </c>
      <c r="AB201">
        <v>5.2</v>
      </c>
    </row>
    <row r="202" spans="1:28" x14ac:dyDescent="0.2">
      <c r="A202" s="118">
        <v>40831</v>
      </c>
      <c r="B202">
        <v>2</v>
      </c>
      <c r="F202" s="118">
        <v>40831</v>
      </c>
      <c r="G202">
        <v>11.72</v>
      </c>
      <c r="J202" s="118">
        <v>40831</v>
      </c>
      <c r="K202">
        <v>8.1</v>
      </c>
      <c r="O202" s="118">
        <v>40831</v>
      </c>
      <c r="P202">
        <v>5.97</v>
      </c>
      <c r="Q202" s="118">
        <v>40831</v>
      </c>
      <c r="R202">
        <v>18.04</v>
      </c>
      <c r="AA202" s="118">
        <v>40831</v>
      </c>
      <c r="AB202">
        <v>5.26</v>
      </c>
    </row>
    <row r="203" spans="1:28" x14ac:dyDescent="0.2">
      <c r="A203" s="118">
        <v>40862</v>
      </c>
      <c r="B203">
        <v>1.87</v>
      </c>
      <c r="F203" s="118">
        <v>40862</v>
      </c>
      <c r="G203">
        <v>11.89</v>
      </c>
      <c r="J203" s="118">
        <v>40862</v>
      </c>
      <c r="K203">
        <v>8.51</v>
      </c>
      <c r="O203" s="118">
        <v>40862</v>
      </c>
      <c r="P203">
        <v>7.0600000000000005</v>
      </c>
      <c r="Q203" s="118">
        <v>40862</v>
      </c>
      <c r="R203">
        <v>17.920000000000002</v>
      </c>
      <c r="AA203" s="118">
        <v>40862</v>
      </c>
      <c r="AB203">
        <v>6.2</v>
      </c>
    </row>
    <row r="204" spans="1:28" x14ac:dyDescent="0.2">
      <c r="A204" s="118">
        <v>40892</v>
      </c>
      <c r="B204">
        <v>1.93</v>
      </c>
      <c r="F204" s="118">
        <v>40892</v>
      </c>
      <c r="G204">
        <v>13.08</v>
      </c>
      <c r="J204" s="118">
        <v>40892</v>
      </c>
      <c r="K204">
        <v>8.7000000000000011</v>
      </c>
      <c r="O204" s="118">
        <v>40892</v>
      </c>
      <c r="P204">
        <v>6.8100000000000005</v>
      </c>
      <c r="Q204" s="118">
        <v>40892</v>
      </c>
      <c r="R204">
        <v>21.14</v>
      </c>
      <c r="AA204" s="118">
        <v>40892</v>
      </c>
      <c r="AB204">
        <v>5.53</v>
      </c>
    </row>
    <row r="205" spans="1:28" x14ac:dyDescent="0.2">
      <c r="A205" s="118">
        <v>40923</v>
      </c>
      <c r="B205">
        <v>1.82</v>
      </c>
      <c r="F205" s="118">
        <v>40923</v>
      </c>
      <c r="G205">
        <v>13.85</v>
      </c>
      <c r="J205" s="118">
        <v>40923</v>
      </c>
      <c r="K205">
        <v>7.71</v>
      </c>
      <c r="O205" s="118">
        <v>40923</v>
      </c>
      <c r="P205">
        <v>6.54</v>
      </c>
      <c r="Q205" s="118">
        <v>40923</v>
      </c>
      <c r="R205">
        <v>25.91</v>
      </c>
      <c r="AA205" s="118">
        <v>40923</v>
      </c>
      <c r="AB205">
        <v>5.41</v>
      </c>
    </row>
    <row r="206" spans="1:28" x14ac:dyDescent="0.2">
      <c r="A206" s="118">
        <v>40954</v>
      </c>
      <c r="B206">
        <v>1.85</v>
      </c>
      <c r="F206" s="118">
        <v>40954</v>
      </c>
      <c r="G206">
        <v>12.81</v>
      </c>
      <c r="J206" s="118">
        <v>40954</v>
      </c>
      <c r="K206">
        <v>7.0200000000000005</v>
      </c>
      <c r="O206" s="118">
        <v>40954</v>
      </c>
      <c r="P206">
        <v>5.55</v>
      </c>
      <c r="Q206" s="118">
        <v>40954</v>
      </c>
      <c r="R206">
        <v>29.240000000000002</v>
      </c>
      <c r="AA206" s="118">
        <v>40954</v>
      </c>
      <c r="AB206">
        <v>5.1100000000000003</v>
      </c>
    </row>
    <row r="207" spans="1:28" x14ac:dyDescent="0.2">
      <c r="A207" s="118">
        <v>40983</v>
      </c>
      <c r="B207">
        <v>1.83</v>
      </c>
      <c r="F207" s="118">
        <v>40983</v>
      </c>
      <c r="G207">
        <v>13.01</v>
      </c>
      <c r="J207" s="118">
        <v>40983</v>
      </c>
      <c r="K207">
        <v>6.9</v>
      </c>
      <c r="O207" s="118">
        <v>40983</v>
      </c>
      <c r="P207">
        <v>5.05</v>
      </c>
      <c r="Q207" s="118">
        <v>40983</v>
      </c>
      <c r="R207">
        <v>19.07</v>
      </c>
      <c r="AA207" s="118">
        <v>40983</v>
      </c>
      <c r="AB207">
        <v>5.17</v>
      </c>
    </row>
    <row r="208" spans="1:28" x14ac:dyDescent="0.2">
      <c r="A208" s="118">
        <v>41014</v>
      </c>
      <c r="B208">
        <v>1.62</v>
      </c>
      <c r="F208" s="118">
        <v>41014</v>
      </c>
      <c r="G208">
        <v>12.01</v>
      </c>
      <c r="J208" s="118">
        <v>41014</v>
      </c>
      <c r="K208">
        <v>6.88</v>
      </c>
      <c r="O208" s="118">
        <v>41014</v>
      </c>
      <c r="P208">
        <v>5.68</v>
      </c>
      <c r="Q208" s="118">
        <v>41014</v>
      </c>
      <c r="R208">
        <v>21.48</v>
      </c>
      <c r="AA208" s="118">
        <v>41014</v>
      </c>
      <c r="AB208">
        <v>5.79</v>
      </c>
    </row>
    <row r="209" spans="1:28" x14ac:dyDescent="0.2">
      <c r="A209" s="118">
        <v>41044</v>
      </c>
      <c r="B209">
        <v>1.34</v>
      </c>
      <c r="F209" s="118">
        <v>41044</v>
      </c>
      <c r="G209">
        <v>11.59</v>
      </c>
      <c r="J209" s="118">
        <v>41044</v>
      </c>
      <c r="K209">
        <v>7.12</v>
      </c>
      <c r="O209" s="118">
        <v>41044</v>
      </c>
      <c r="P209">
        <v>5.78</v>
      </c>
      <c r="Q209" s="118">
        <v>41044</v>
      </c>
      <c r="R209">
        <v>26.900000000000002</v>
      </c>
      <c r="AA209" s="118">
        <v>41044</v>
      </c>
      <c r="AB209">
        <v>6.13</v>
      </c>
    </row>
    <row r="210" spans="1:28" x14ac:dyDescent="0.2">
      <c r="A210" s="118">
        <v>41075</v>
      </c>
      <c r="B210">
        <v>1.3</v>
      </c>
      <c r="F210" s="118">
        <v>41075</v>
      </c>
      <c r="G210">
        <v>10.56</v>
      </c>
      <c r="J210" s="118">
        <v>41075</v>
      </c>
      <c r="K210">
        <v>7.09</v>
      </c>
      <c r="O210" s="118">
        <v>41075</v>
      </c>
      <c r="P210">
        <v>5.9</v>
      </c>
      <c r="Q210" s="118">
        <v>41075</v>
      </c>
      <c r="R210">
        <v>27.82</v>
      </c>
      <c r="AA210" s="118">
        <v>41075</v>
      </c>
      <c r="AB210">
        <v>6.59</v>
      </c>
    </row>
    <row r="211" spans="1:28" x14ac:dyDescent="0.2">
      <c r="A211" s="118">
        <v>41105</v>
      </c>
      <c r="B211">
        <v>1.24</v>
      </c>
      <c r="F211" s="118">
        <v>41105</v>
      </c>
      <c r="G211">
        <v>10.49</v>
      </c>
      <c r="J211" s="118">
        <v>41105</v>
      </c>
      <c r="K211">
        <v>6.12</v>
      </c>
      <c r="O211" s="118">
        <v>41105</v>
      </c>
      <c r="P211">
        <v>6</v>
      </c>
      <c r="Q211" s="118">
        <v>41105</v>
      </c>
      <c r="R211">
        <v>25.82</v>
      </c>
      <c r="AA211" s="118">
        <v>41105</v>
      </c>
      <c r="AB211">
        <v>6.79</v>
      </c>
    </row>
    <row r="212" spans="1:28" x14ac:dyDescent="0.2">
      <c r="A212" s="118">
        <v>41136</v>
      </c>
      <c r="B212">
        <v>1.34</v>
      </c>
      <c r="F212" s="118">
        <v>41136</v>
      </c>
      <c r="G212">
        <v>9.89</v>
      </c>
      <c r="J212" s="118">
        <v>41136</v>
      </c>
      <c r="K212">
        <v>5.91</v>
      </c>
      <c r="O212" s="118">
        <v>41136</v>
      </c>
      <c r="P212">
        <v>5.82</v>
      </c>
      <c r="Q212" s="118">
        <v>41136</v>
      </c>
      <c r="R212">
        <v>24.34</v>
      </c>
      <c r="AA212" s="118">
        <v>41136</v>
      </c>
      <c r="AB212">
        <v>6.58</v>
      </c>
    </row>
    <row r="213" spans="1:28" x14ac:dyDescent="0.2">
      <c r="A213" s="118">
        <v>41167</v>
      </c>
      <c r="B213">
        <v>1.49</v>
      </c>
      <c r="F213" s="118">
        <v>41167</v>
      </c>
      <c r="G213">
        <v>8.620000000000001</v>
      </c>
      <c r="J213" s="118">
        <v>41167</v>
      </c>
      <c r="K213">
        <v>5.28</v>
      </c>
      <c r="O213" s="118">
        <v>41167</v>
      </c>
      <c r="P213">
        <v>5.25</v>
      </c>
      <c r="Q213" s="118">
        <v>41167</v>
      </c>
      <c r="R213">
        <v>20.91</v>
      </c>
      <c r="AA213" s="118">
        <v>41167</v>
      </c>
      <c r="AB213">
        <v>5.91</v>
      </c>
    </row>
    <row r="214" spans="1:28" x14ac:dyDescent="0.2">
      <c r="A214" s="118">
        <v>41197</v>
      </c>
      <c r="B214">
        <v>1.47</v>
      </c>
      <c r="F214" s="118">
        <v>41197</v>
      </c>
      <c r="G214">
        <v>8.17</v>
      </c>
      <c r="J214" s="118">
        <v>41197</v>
      </c>
      <c r="K214">
        <v>4.7700000000000005</v>
      </c>
      <c r="O214" s="118">
        <v>41197</v>
      </c>
      <c r="P214">
        <v>4.95</v>
      </c>
      <c r="Q214" s="118">
        <v>41197</v>
      </c>
      <c r="R214">
        <v>17.96</v>
      </c>
      <c r="AA214" s="118">
        <v>41197</v>
      </c>
      <c r="AB214">
        <v>5.64</v>
      </c>
    </row>
    <row r="215" spans="1:28" x14ac:dyDescent="0.2">
      <c r="A215" s="118">
        <v>41228</v>
      </c>
      <c r="B215">
        <v>1.34</v>
      </c>
      <c r="F215" s="118">
        <v>41228</v>
      </c>
      <c r="G215">
        <v>8.32</v>
      </c>
      <c r="J215" s="118">
        <v>41228</v>
      </c>
      <c r="K215">
        <v>4.59</v>
      </c>
      <c r="O215" s="118">
        <v>41228</v>
      </c>
      <c r="P215">
        <v>4.8500000000000005</v>
      </c>
      <c r="Q215" s="118">
        <v>41228</v>
      </c>
      <c r="R215">
        <v>17.2</v>
      </c>
      <c r="AA215" s="118">
        <v>41228</v>
      </c>
      <c r="AB215">
        <v>5.69</v>
      </c>
    </row>
    <row r="216" spans="1:28" x14ac:dyDescent="0.2">
      <c r="A216" s="118">
        <v>41258</v>
      </c>
      <c r="B216">
        <v>1.3</v>
      </c>
      <c r="F216" s="118">
        <v>41258</v>
      </c>
      <c r="G216">
        <v>7.25</v>
      </c>
      <c r="J216" s="118">
        <v>41258</v>
      </c>
      <c r="K216">
        <v>4.67</v>
      </c>
      <c r="O216" s="118">
        <v>41258</v>
      </c>
      <c r="P216">
        <v>4.54</v>
      </c>
      <c r="Q216" s="118">
        <v>41258</v>
      </c>
      <c r="R216">
        <v>13.33</v>
      </c>
      <c r="AA216" s="118">
        <v>41258</v>
      </c>
      <c r="AB216">
        <v>5.34</v>
      </c>
    </row>
    <row r="217" spans="1:28" x14ac:dyDescent="0.2">
      <c r="A217" s="118">
        <v>41289</v>
      </c>
      <c r="B217">
        <v>1.51</v>
      </c>
      <c r="F217" s="118">
        <v>41289</v>
      </c>
      <c r="G217">
        <v>6.24</v>
      </c>
      <c r="J217" s="118">
        <v>41289</v>
      </c>
      <c r="K217">
        <v>4.18</v>
      </c>
      <c r="O217" s="118">
        <v>41289</v>
      </c>
      <c r="P217">
        <v>4.21</v>
      </c>
      <c r="Q217" s="118">
        <v>41289</v>
      </c>
      <c r="R217">
        <v>11.1</v>
      </c>
      <c r="AA217" s="118">
        <v>41289</v>
      </c>
      <c r="AB217">
        <v>5.05</v>
      </c>
    </row>
    <row r="218" spans="1:28" x14ac:dyDescent="0.2">
      <c r="A218" s="118">
        <v>41320</v>
      </c>
      <c r="B218">
        <v>1.54</v>
      </c>
      <c r="F218" s="118">
        <v>41320</v>
      </c>
      <c r="G218">
        <v>6.4</v>
      </c>
      <c r="J218" s="118">
        <v>41320</v>
      </c>
      <c r="K218">
        <v>3.7800000000000002</v>
      </c>
      <c r="O218" s="118">
        <v>41320</v>
      </c>
      <c r="P218">
        <v>4.49</v>
      </c>
      <c r="Q218" s="118">
        <v>41320</v>
      </c>
      <c r="R218">
        <v>10.950000000000001</v>
      </c>
      <c r="AA218" s="118">
        <v>41320</v>
      </c>
      <c r="AB218">
        <v>5.22</v>
      </c>
    </row>
    <row r="219" spans="1:28" x14ac:dyDescent="0.2">
      <c r="A219" s="118">
        <v>41348</v>
      </c>
      <c r="B219">
        <v>1.35</v>
      </c>
      <c r="F219" s="118">
        <v>41348</v>
      </c>
      <c r="G219">
        <v>6.1000000000000005</v>
      </c>
      <c r="J219" s="118">
        <v>41348</v>
      </c>
      <c r="K219">
        <v>3.83</v>
      </c>
      <c r="O219" s="118">
        <v>41348</v>
      </c>
      <c r="P219">
        <v>4.6399999999999997</v>
      </c>
      <c r="Q219" s="118">
        <v>41348</v>
      </c>
      <c r="R219">
        <v>11.38</v>
      </c>
      <c r="AA219" s="118">
        <v>41348</v>
      </c>
      <c r="AB219">
        <v>4.92</v>
      </c>
    </row>
    <row r="220" spans="1:28" x14ac:dyDescent="0.2">
      <c r="A220" s="118">
        <v>41379</v>
      </c>
      <c r="B220">
        <v>1.2</v>
      </c>
      <c r="F220" s="118">
        <v>41379</v>
      </c>
      <c r="G220">
        <v>6.15</v>
      </c>
      <c r="J220" s="118">
        <v>41379</v>
      </c>
      <c r="K220">
        <v>3.7800000000000002</v>
      </c>
      <c r="O220" s="118">
        <v>41379</v>
      </c>
      <c r="P220">
        <v>4.28</v>
      </c>
      <c r="Q220" s="118">
        <v>41379</v>
      </c>
      <c r="R220">
        <v>11.58</v>
      </c>
      <c r="AA220" s="118">
        <v>41379</v>
      </c>
      <c r="AB220">
        <v>4.59</v>
      </c>
    </row>
    <row r="221" spans="1:28" x14ac:dyDescent="0.2">
      <c r="A221" s="118">
        <v>41409</v>
      </c>
      <c r="B221">
        <v>1.29</v>
      </c>
      <c r="F221" s="118">
        <v>41409</v>
      </c>
      <c r="G221">
        <v>5.46</v>
      </c>
      <c r="J221" s="118">
        <v>41409</v>
      </c>
      <c r="K221">
        <v>3.48</v>
      </c>
      <c r="O221" s="118">
        <v>41409</v>
      </c>
      <c r="P221">
        <v>3.96</v>
      </c>
      <c r="Q221" s="118">
        <v>41409</v>
      </c>
      <c r="R221">
        <v>9.07</v>
      </c>
      <c r="AA221" s="118">
        <v>41409</v>
      </c>
      <c r="AB221">
        <v>4.25</v>
      </c>
    </row>
    <row r="222" spans="1:28" x14ac:dyDescent="0.2">
      <c r="A222" s="118">
        <v>41440</v>
      </c>
      <c r="B222">
        <v>1.53</v>
      </c>
      <c r="F222" s="118">
        <v>41440</v>
      </c>
      <c r="G222">
        <v>6.3</v>
      </c>
      <c r="J222" s="118">
        <v>41440</v>
      </c>
      <c r="K222">
        <v>4.0200000000000005</v>
      </c>
      <c r="O222" s="118">
        <v>41440</v>
      </c>
      <c r="P222">
        <v>4.38</v>
      </c>
      <c r="Q222" s="118">
        <v>41440</v>
      </c>
      <c r="R222">
        <v>10.07</v>
      </c>
      <c r="AA222" s="118">
        <v>41440</v>
      </c>
      <c r="AB222">
        <v>4.67</v>
      </c>
    </row>
    <row r="223" spans="1:28" x14ac:dyDescent="0.2">
      <c r="A223" s="118">
        <v>41470</v>
      </c>
      <c r="B223">
        <v>1.56</v>
      </c>
      <c r="F223" s="118">
        <v>41470</v>
      </c>
      <c r="G223">
        <v>6.87</v>
      </c>
      <c r="J223" s="118">
        <v>41470</v>
      </c>
      <c r="K223">
        <v>3.88</v>
      </c>
      <c r="O223" s="118">
        <v>41470</v>
      </c>
      <c r="P223">
        <v>4.42</v>
      </c>
      <c r="Q223" s="118">
        <v>41470</v>
      </c>
      <c r="R223">
        <v>10.53</v>
      </c>
      <c r="AA223" s="118">
        <v>41470</v>
      </c>
      <c r="AB223">
        <v>4.67</v>
      </c>
    </row>
    <row r="224" spans="1:28" x14ac:dyDescent="0.2">
      <c r="A224" s="118">
        <v>41501</v>
      </c>
      <c r="F224" s="118">
        <v>41501</v>
      </c>
      <c r="J224" s="118">
        <v>41501</v>
      </c>
      <c r="O224" s="118">
        <v>41501</v>
      </c>
      <c r="Q224" s="118">
        <v>41501</v>
      </c>
      <c r="AA224" s="118">
        <v>41501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11"/>
  <sheetViews>
    <sheetView workbookViewId="0">
      <selection activeCell="Q1" sqref="Q1"/>
    </sheetView>
  </sheetViews>
  <sheetFormatPr defaultRowHeight="12.75" x14ac:dyDescent="0.2"/>
  <cols>
    <col min="1" max="1" width="10.140625" bestFit="1" customWidth="1"/>
    <col min="6" max="6" width="10.140625" bestFit="1" customWidth="1"/>
    <col min="10" max="10" width="10.140625" bestFit="1" customWidth="1"/>
    <col min="15" max="15" width="10.140625" bestFit="1" customWidth="1"/>
    <col min="17" max="17" width="10.140625" bestFit="1" customWidth="1"/>
  </cols>
  <sheetData>
    <row r="1" spans="1:18" x14ac:dyDescent="0.2">
      <c r="A1" s="118">
        <v>37802</v>
      </c>
      <c r="B1">
        <v>48.785700000000006</v>
      </c>
      <c r="F1" s="118">
        <v>37802</v>
      </c>
      <c r="G1">
        <v>59.397100000000002</v>
      </c>
      <c r="J1" s="118">
        <v>37802</v>
      </c>
      <c r="K1">
        <v>103.8314</v>
      </c>
      <c r="O1" s="118">
        <v>37802</v>
      </c>
      <c r="P1">
        <v>30.744500000000002</v>
      </c>
      <c r="Q1" s="118">
        <v>37802</v>
      </c>
      <c r="R1">
        <v>97.466200000000001</v>
      </c>
    </row>
    <row r="2" spans="1:18" x14ac:dyDescent="0.2">
      <c r="A2" s="118">
        <v>38168</v>
      </c>
      <c r="B2">
        <v>46.255200000000002</v>
      </c>
      <c r="F2" s="118">
        <v>38168</v>
      </c>
      <c r="G2">
        <v>61.911799999999999</v>
      </c>
      <c r="J2" s="118">
        <v>38168</v>
      </c>
      <c r="K2">
        <v>103.55240000000001</v>
      </c>
      <c r="O2" s="118">
        <v>38168</v>
      </c>
      <c r="P2">
        <v>29.458600000000001</v>
      </c>
      <c r="Q2" s="118">
        <v>38168</v>
      </c>
      <c r="R2">
        <v>98.883600000000001</v>
      </c>
    </row>
    <row r="3" spans="1:18" x14ac:dyDescent="0.2">
      <c r="A3" s="118">
        <v>38533</v>
      </c>
      <c r="B3">
        <v>43.164900000000003</v>
      </c>
      <c r="F3" s="118">
        <v>38533</v>
      </c>
      <c r="G3">
        <v>67.678899999999999</v>
      </c>
      <c r="J3" s="118">
        <v>38533</v>
      </c>
      <c r="K3">
        <v>105.6692</v>
      </c>
      <c r="O3" s="118">
        <v>38533</v>
      </c>
      <c r="P3">
        <v>27.257100000000001</v>
      </c>
      <c r="Q3" s="118">
        <v>38533</v>
      </c>
      <c r="R3">
        <v>101.22880000000001</v>
      </c>
    </row>
    <row r="4" spans="1:18" x14ac:dyDescent="0.2">
      <c r="A4" s="118">
        <v>38898</v>
      </c>
      <c r="B4">
        <v>39.679000000000002</v>
      </c>
      <c r="F4" s="118">
        <v>38898</v>
      </c>
      <c r="G4">
        <v>69.434899999999999</v>
      </c>
      <c r="J4" s="118">
        <v>38898</v>
      </c>
      <c r="K4">
        <v>106.2227</v>
      </c>
      <c r="O4" s="118">
        <v>38898</v>
      </c>
      <c r="P4">
        <v>24.617599999999999</v>
      </c>
      <c r="Q4" s="118">
        <v>38898</v>
      </c>
      <c r="R4">
        <v>107.47070000000001</v>
      </c>
    </row>
    <row r="5" spans="1:18" x14ac:dyDescent="0.2">
      <c r="A5" s="118">
        <v>39263</v>
      </c>
      <c r="B5">
        <v>36.300899999999999</v>
      </c>
      <c r="F5" s="118">
        <v>39263</v>
      </c>
      <c r="G5">
        <v>68.383499999999998</v>
      </c>
      <c r="J5" s="118">
        <v>39263</v>
      </c>
      <c r="K5">
        <v>103.29610000000001</v>
      </c>
      <c r="O5" s="118">
        <v>39263</v>
      </c>
      <c r="P5">
        <v>25.081300000000002</v>
      </c>
      <c r="Q5" s="118">
        <v>39263</v>
      </c>
      <c r="R5">
        <v>107.2321</v>
      </c>
    </row>
    <row r="6" spans="1:18" x14ac:dyDescent="0.2">
      <c r="A6" s="118">
        <v>39629</v>
      </c>
      <c r="B6">
        <v>40.171800000000005</v>
      </c>
      <c r="F6" s="118">
        <v>39629</v>
      </c>
      <c r="G6">
        <v>71.694299999999998</v>
      </c>
      <c r="J6" s="118">
        <v>39629</v>
      </c>
      <c r="K6">
        <v>106.1097</v>
      </c>
      <c r="O6" s="118">
        <v>39629</v>
      </c>
      <c r="P6">
        <v>44.500599999999999</v>
      </c>
      <c r="Q6" s="118">
        <v>39629</v>
      </c>
      <c r="R6">
        <v>112.9011</v>
      </c>
    </row>
    <row r="7" spans="1:18" x14ac:dyDescent="0.2">
      <c r="A7" s="118">
        <v>39994</v>
      </c>
      <c r="B7">
        <v>53.917000000000002</v>
      </c>
      <c r="F7" s="118">
        <v>39994</v>
      </c>
      <c r="G7">
        <v>83.710400000000007</v>
      </c>
      <c r="J7" s="118">
        <v>39994</v>
      </c>
      <c r="K7">
        <v>116.46130000000001</v>
      </c>
      <c r="O7" s="118">
        <v>39994</v>
      </c>
      <c r="P7">
        <v>64.812100000000001</v>
      </c>
      <c r="Q7" s="118">
        <v>39994</v>
      </c>
      <c r="R7">
        <v>129.6892</v>
      </c>
    </row>
    <row r="8" spans="1:18" x14ac:dyDescent="0.2">
      <c r="A8" s="118">
        <v>40359</v>
      </c>
      <c r="B8">
        <v>61.464600000000004</v>
      </c>
      <c r="F8" s="118">
        <v>40359</v>
      </c>
      <c r="G8">
        <v>94.00500000000001</v>
      </c>
      <c r="J8" s="118">
        <v>40359</v>
      </c>
      <c r="K8">
        <v>119.3807</v>
      </c>
      <c r="O8" s="118">
        <v>40359</v>
      </c>
      <c r="P8">
        <v>92.09920000000001</v>
      </c>
      <c r="Q8" s="118">
        <v>40359</v>
      </c>
      <c r="R8">
        <v>148.3288</v>
      </c>
    </row>
    <row r="9" spans="1:18" x14ac:dyDescent="0.2">
      <c r="A9" s="118">
        <v>40724</v>
      </c>
      <c r="B9">
        <v>69.258899999999997</v>
      </c>
      <c r="F9" s="118">
        <v>40724</v>
      </c>
      <c r="G9">
        <v>108.3026</v>
      </c>
      <c r="J9" s="118">
        <v>40724</v>
      </c>
      <c r="K9">
        <v>120.7826</v>
      </c>
      <c r="O9" s="118">
        <v>40724</v>
      </c>
      <c r="P9">
        <v>106.40820000000001</v>
      </c>
      <c r="Q9" s="118">
        <v>40724</v>
      </c>
      <c r="R9">
        <v>170.32089999999999</v>
      </c>
    </row>
    <row r="10" spans="1:18" x14ac:dyDescent="0.2">
      <c r="A10" s="118">
        <v>41090</v>
      </c>
      <c r="B10">
        <v>84.082000000000008</v>
      </c>
      <c r="F10" s="118">
        <v>41090</v>
      </c>
      <c r="G10">
        <v>123.64060000000001</v>
      </c>
      <c r="J10" s="118">
        <v>41090</v>
      </c>
      <c r="K10">
        <v>126.96740000000001</v>
      </c>
      <c r="O10" s="118">
        <v>41090</v>
      </c>
      <c r="P10">
        <v>117.62360000000001</v>
      </c>
      <c r="Q10" s="118">
        <v>41090</v>
      </c>
      <c r="R10">
        <v>156.96559999999999</v>
      </c>
    </row>
    <row r="11" spans="1:18" x14ac:dyDescent="0.2">
      <c r="A11" s="118">
        <v>41455</v>
      </c>
      <c r="B11">
        <v>91.383800000000008</v>
      </c>
      <c r="F11" s="118">
        <v>41455</v>
      </c>
      <c r="G11">
        <v>127.667</v>
      </c>
      <c r="J11" s="118">
        <v>41455</v>
      </c>
      <c r="K11">
        <v>131.73600000000002</v>
      </c>
      <c r="O11" s="118">
        <v>41455</v>
      </c>
      <c r="P11">
        <v>123.63510000000001</v>
      </c>
      <c r="Q11" s="118">
        <v>41455</v>
      </c>
      <c r="R11">
        <v>175.12300000000002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123"/>
  <sheetViews>
    <sheetView workbookViewId="0">
      <selection activeCell="A10" sqref="A10"/>
    </sheetView>
  </sheetViews>
  <sheetFormatPr defaultRowHeight="12.75" x14ac:dyDescent="0.2"/>
  <cols>
    <col min="1" max="1" width="10.42578125" customWidth="1"/>
    <col min="2" max="10" width="9.140625" style="119"/>
  </cols>
  <sheetData>
    <row r="1" spans="1:30" x14ac:dyDescent="0.2">
      <c r="B1" s="119" t="s">
        <v>44</v>
      </c>
      <c r="C1" s="119" t="s">
        <v>42</v>
      </c>
      <c r="D1" s="119" t="s">
        <v>39</v>
      </c>
      <c r="E1" s="119" t="s">
        <v>118</v>
      </c>
      <c r="F1" s="119" t="s">
        <v>119</v>
      </c>
      <c r="G1" s="119" t="s">
        <v>37</v>
      </c>
      <c r="H1" s="119" t="s">
        <v>36</v>
      </c>
      <c r="I1" s="127" t="s">
        <v>145</v>
      </c>
      <c r="L1" s="127" t="s">
        <v>127</v>
      </c>
      <c r="M1" s="121" t="s">
        <v>126</v>
      </c>
      <c r="N1" s="127" t="s">
        <v>128</v>
      </c>
      <c r="O1" s="127" t="s">
        <v>139</v>
      </c>
      <c r="P1" s="121" t="s">
        <v>144</v>
      </c>
      <c r="Q1" s="127" t="s">
        <v>129</v>
      </c>
      <c r="R1" s="127" t="s">
        <v>131</v>
      </c>
      <c r="S1" s="121" t="s">
        <v>130</v>
      </c>
      <c r="T1" s="127" t="s">
        <v>132</v>
      </c>
      <c r="U1" s="127" t="s">
        <v>134</v>
      </c>
      <c r="V1" s="121" t="s">
        <v>133</v>
      </c>
      <c r="W1" s="127" t="s">
        <v>135</v>
      </c>
      <c r="X1" s="127" t="s">
        <v>137</v>
      </c>
      <c r="Y1" s="121" t="s">
        <v>136</v>
      </c>
      <c r="Z1" s="127" t="s">
        <v>138</v>
      </c>
      <c r="AB1" s="140" t="s">
        <v>141</v>
      </c>
      <c r="AC1" s="140" t="s">
        <v>143</v>
      </c>
      <c r="AD1" s="140" t="s">
        <v>142</v>
      </c>
    </row>
    <row r="2" spans="1:30" x14ac:dyDescent="0.2">
      <c r="A2" s="128">
        <v>37636</v>
      </c>
      <c r="B2" s="157">
        <v>-1.2350000000000001</v>
      </c>
      <c r="C2" s="119">
        <f>Dataserier!H1</f>
        <v>0.70199999999999996</v>
      </c>
      <c r="D2" s="119">
        <f>Dataserier!M1</f>
        <v>-5.5299999999999994</v>
      </c>
      <c r="E2" s="119">
        <f>Dataserier!Q1</f>
        <v>-3.2549999999999999</v>
      </c>
      <c r="F2" s="119">
        <f>Dataserier!U1</f>
        <v>12.350000000000005</v>
      </c>
      <c r="G2" s="119">
        <f>Dataserier!Y1</f>
        <v>-17.809999999999999</v>
      </c>
      <c r="H2" s="119">
        <f>Dataserier!AC1</f>
        <v>28.48</v>
      </c>
      <c r="I2" s="119">
        <f>D2+E2+F2+G2+H2</f>
        <v>14.235000000000007</v>
      </c>
      <c r="L2" s="126">
        <f>Dataserier!BD1</f>
        <v>5.5299999999999994</v>
      </c>
      <c r="M2" s="126">
        <f>Dataserier!BE1</f>
        <v>-66.075026000000022</v>
      </c>
      <c r="N2" s="126">
        <f>Dataserier!BF1</f>
        <v>-71.605026000000024</v>
      </c>
      <c r="O2" s="126">
        <f>Dataserier!BH1</f>
        <v>3.2549999999999999</v>
      </c>
      <c r="P2" s="126">
        <f>Dataserier!BI1</f>
        <v>-23.861033107398981</v>
      </c>
      <c r="Q2" s="126">
        <f>Dataserier!BJ1</f>
        <v>-27.11603310739898</v>
      </c>
      <c r="R2" s="126">
        <f>Dataserier!BL1</f>
        <v>-12.350000000000005</v>
      </c>
      <c r="S2" s="126">
        <f>Dataserier!BM1</f>
        <v>-84.597499999999997</v>
      </c>
      <c r="T2" s="126">
        <f>Dataserier!BN1</f>
        <v>-72.247499999999988</v>
      </c>
      <c r="U2" s="126">
        <f>Dataserier!BP1</f>
        <v>17.809999999999999</v>
      </c>
      <c r="V2" s="126">
        <f>Dataserier!BQ1</f>
        <v>-81.926300000000012</v>
      </c>
      <c r="W2" s="126">
        <f>Dataserier!BR1</f>
        <v>-99.736300000000014</v>
      </c>
      <c r="X2" s="126">
        <f>Dataserier!BT1</f>
        <v>-28.48</v>
      </c>
      <c r="Y2" s="126">
        <f>Dataserier!BU1</f>
        <v>-330.19905999999992</v>
      </c>
      <c r="Z2" s="126">
        <f>Dataserier!BV1</f>
        <v>-301.7190599999999</v>
      </c>
      <c r="AB2" s="126">
        <f>L2+O2+U2+X2</f>
        <v>-1.8850000000000016</v>
      </c>
      <c r="AC2" s="126">
        <f>M2+P2+V2+Y2</f>
        <v>-502.06141910739893</v>
      </c>
      <c r="AD2" s="126">
        <f>AC2-AB2</f>
        <v>-500.17641910739894</v>
      </c>
    </row>
    <row r="3" spans="1:30" x14ac:dyDescent="0.2">
      <c r="A3" s="128">
        <v>37667</v>
      </c>
      <c r="B3" s="157">
        <v>-2.4700000000000002</v>
      </c>
      <c r="C3" s="119">
        <f>Dataserier!H2</f>
        <v>0.70199999999999996</v>
      </c>
      <c r="D3" s="119">
        <f>Dataserier!M2</f>
        <v>-5.7</v>
      </c>
      <c r="E3" s="119">
        <f>Dataserier!Q2</f>
        <v>-2.3730000000000002</v>
      </c>
      <c r="F3" s="119">
        <f>Dataserier!U2</f>
        <v>15.930000000000003</v>
      </c>
      <c r="G3" s="119">
        <f>Dataserier!Y2</f>
        <v>-17.490000000000002</v>
      </c>
      <c r="H3" s="119">
        <f>Dataserier!AC2</f>
        <v>23.659999999999997</v>
      </c>
      <c r="I3" s="119">
        <f t="shared" ref="I3:I66" si="0">D3+E3+F3+G3+H3</f>
        <v>14.026999999999997</v>
      </c>
      <c r="L3" s="126">
        <f>Dataserier!BD2</f>
        <v>5.7</v>
      </c>
      <c r="M3" s="126">
        <f>Dataserier!BE2</f>
        <v>-65.19452800000002</v>
      </c>
      <c r="N3" s="126">
        <f>Dataserier!BF2</f>
        <v>-70.894528000000022</v>
      </c>
      <c r="O3" s="126">
        <f>Dataserier!BH2</f>
        <v>2.3730000000000002</v>
      </c>
      <c r="P3" s="126">
        <f>Dataserier!BI2</f>
        <v>-23.902790599758042</v>
      </c>
      <c r="Q3" s="126">
        <f>Dataserier!BJ2</f>
        <v>-26.275790599758043</v>
      </c>
      <c r="R3" s="126">
        <f>Dataserier!BL2</f>
        <v>-15.930000000000003</v>
      </c>
      <c r="S3" s="126">
        <f>Dataserier!BM2</f>
        <v>-83.492699999999985</v>
      </c>
      <c r="T3" s="126">
        <f>Dataserier!BN2</f>
        <v>-67.562699999999978</v>
      </c>
      <c r="U3" s="126">
        <f>Dataserier!BP2</f>
        <v>17.490000000000002</v>
      </c>
      <c r="V3" s="126">
        <f>Dataserier!BQ2</f>
        <v>-80.712800000000016</v>
      </c>
      <c r="W3" s="126">
        <f>Dataserier!BR2</f>
        <v>-98.202800000000025</v>
      </c>
      <c r="X3" s="126">
        <f>Dataserier!BT2</f>
        <v>-23.659999999999997</v>
      </c>
      <c r="Y3" s="126">
        <f>Dataserier!BU2</f>
        <v>-327.4571499999999</v>
      </c>
      <c r="Z3" s="126">
        <f>Dataserier!BV2</f>
        <v>-303.79714999999987</v>
      </c>
      <c r="AB3" s="126">
        <f t="shared" ref="AB3:AB66" si="1">L3+O3+U3+X3</f>
        <v>1.9030000000000058</v>
      </c>
      <c r="AC3" s="126">
        <f t="shared" ref="AC3:AC66" si="2">M3+P3+V3+Y3</f>
        <v>-497.26726859975798</v>
      </c>
      <c r="AD3" s="126">
        <f t="shared" ref="AD3:AD66" si="3">AC3-AB3</f>
        <v>-499.170268599758</v>
      </c>
    </row>
    <row r="4" spans="1:30" x14ac:dyDescent="0.2">
      <c r="A4" s="128">
        <v>37695</v>
      </c>
      <c r="B4" s="157">
        <v>1.4359999999999999</v>
      </c>
      <c r="C4" s="119">
        <f>Dataserier!H3</f>
        <v>0.70199999999999996</v>
      </c>
      <c r="D4" s="119">
        <f>Dataserier!M3</f>
        <v>-5.99</v>
      </c>
      <c r="E4" s="119">
        <f>Dataserier!Q3</f>
        <v>-4.6980000000000004</v>
      </c>
      <c r="F4" s="119">
        <f>Dataserier!U3</f>
        <v>15.839999999999998</v>
      </c>
      <c r="G4" s="119">
        <f>Dataserier!Y3</f>
        <v>-15.89</v>
      </c>
      <c r="H4" s="119">
        <f>Dataserier!AC3</f>
        <v>24.339999999999996</v>
      </c>
      <c r="I4" s="119">
        <f t="shared" si="0"/>
        <v>13.601999999999993</v>
      </c>
      <c r="L4" s="126">
        <f>Dataserier!BD3</f>
        <v>5.99</v>
      </c>
      <c r="M4" s="126">
        <f>Dataserier!BE3</f>
        <v>-64.511016000000026</v>
      </c>
      <c r="N4" s="126">
        <f>Dataserier!BF3</f>
        <v>-70.501016000000021</v>
      </c>
      <c r="O4" s="126">
        <f>Dataserier!BH3</f>
        <v>4.6980000000000004</v>
      </c>
      <c r="P4" s="126">
        <f>Dataserier!BI3</f>
        <v>-23.944548092117103</v>
      </c>
      <c r="Q4" s="126">
        <f>Dataserier!BJ3</f>
        <v>-28.642548092117103</v>
      </c>
      <c r="R4" s="126">
        <f>Dataserier!BL3</f>
        <v>-15.839999999999998</v>
      </c>
      <c r="S4" s="126">
        <f>Dataserier!BM3</f>
        <v>-81.693699999999993</v>
      </c>
      <c r="T4" s="126">
        <f>Dataserier!BN3</f>
        <v>-65.853699999999989</v>
      </c>
      <c r="U4" s="126">
        <f>Dataserier!BP3</f>
        <v>15.89</v>
      </c>
      <c r="V4" s="126">
        <f>Dataserier!BQ3</f>
        <v>-79.671700000000016</v>
      </c>
      <c r="W4" s="126">
        <f>Dataserier!BR3</f>
        <v>-95.561700000000016</v>
      </c>
      <c r="X4" s="126">
        <f>Dataserier!BT3</f>
        <v>-24.339999999999996</v>
      </c>
      <c r="Y4" s="126">
        <f>Dataserier!BU3</f>
        <v>-324.33924999999994</v>
      </c>
      <c r="Z4" s="126">
        <f>Dataserier!BV3</f>
        <v>-299.99924999999996</v>
      </c>
      <c r="AB4" s="126">
        <f t="shared" si="1"/>
        <v>2.2380000000000067</v>
      </c>
      <c r="AC4" s="126">
        <f t="shared" si="2"/>
        <v>-492.46651409211711</v>
      </c>
      <c r="AD4" s="126">
        <f t="shared" si="3"/>
        <v>-494.70451409211711</v>
      </c>
    </row>
    <row r="5" spans="1:30" x14ac:dyDescent="0.2">
      <c r="A5" s="128">
        <v>37726</v>
      </c>
      <c r="B5" s="157">
        <v>2.4E-2</v>
      </c>
      <c r="C5" s="119">
        <f>Dataserier!H4</f>
        <v>0.70199999999999996</v>
      </c>
      <c r="D5" s="119">
        <f>Dataserier!M4</f>
        <v>-6.66</v>
      </c>
      <c r="E5" s="119">
        <f>Dataserier!Q4</f>
        <v>-4.3680000000000003</v>
      </c>
      <c r="F5" s="119">
        <f>Dataserier!U4</f>
        <v>6.9899999999999984</v>
      </c>
      <c r="G5" s="119">
        <f>Dataserier!Y4</f>
        <v>-14.780000000000001</v>
      </c>
      <c r="H5" s="119">
        <f>Dataserier!AC4</f>
        <v>25.66</v>
      </c>
      <c r="I5" s="119">
        <f t="shared" si="0"/>
        <v>6.8419999999999952</v>
      </c>
      <c r="L5" s="126">
        <f>Dataserier!BD4</f>
        <v>6.66</v>
      </c>
      <c r="M5" s="126">
        <f>Dataserier!BE4</f>
        <v>-63.339874000000023</v>
      </c>
      <c r="N5" s="126">
        <f>Dataserier!BF4</f>
        <v>-69.99987400000002</v>
      </c>
      <c r="O5" s="126">
        <f>Dataserier!BH4</f>
        <v>4.3680000000000003</v>
      </c>
      <c r="P5" s="126">
        <f>Dataserier!BI4</f>
        <v>-23.976987465206868</v>
      </c>
      <c r="Q5" s="126">
        <f>Dataserier!BJ4</f>
        <v>-28.34498746520687</v>
      </c>
      <c r="R5" s="126">
        <f>Dataserier!BL4</f>
        <v>-6.9899999999999984</v>
      </c>
      <c r="S5" s="126">
        <f>Dataserier!BM4</f>
        <v>-79.741599999999991</v>
      </c>
      <c r="T5" s="126">
        <f>Dataserier!BN4</f>
        <v>-72.751599999999996</v>
      </c>
      <c r="U5" s="126">
        <f>Dataserier!BP4</f>
        <v>14.780000000000001</v>
      </c>
      <c r="V5" s="126">
        <f>Dataserier!BQ4</f>
        <v>-78.328700000000012</v>
      </c>
      <c r="W5" s="126">
        <f>Dataserier!BR4</f>
        <v>-93.108700000000013</v>
      </c>
      <c r="X5" s="126">
        <f>Dataserier!BT4</f>
        <v>-25.66</v>
      </c>
      <c r="Y5" s="126">
        <f>Dataserier!BU4</f>
        <v>-322.08323999999993</v>
      </c>
      <c r="Z5" s="126">
        <f>Dataserier!BV4</f>
        <v>-296.42323999999991</v>
      </c>
      <c r="AB5" s="126">
        <f t="shared" si="1"/>
        <v>0.14799999999999969</v>
      </c>
      <c r="AC5" s="126">
        <f t="shared" si="2"/>
        <v>-487.72880146520686</v>
      </c>
      <c r="AD5" s="126">
        <f t="shared" si="3"/>
        <v>-487.87680146520688</v>
      </c>
    </row>
    <row r="6" spans="1:30" x14ac:dyDescent="0.2">
      <c r="A6" s="128">
        <v>37756</v>
      </c>
      <c r="B6" s="157">
        <v>-22.687000000000001</v>
      </c>
      <c r="C6" s="119">
        <f>Dataserier!H5</f>
        <v>0.70199999999999996</v>
      </c>
      <c r="D6" s="119">
        <f>Dataserier!M5</f>
        <v>-7.13</v>
      </c>
      <c r="E6" s="119">
        <f>Dataserier!Q5</f>
        <v>-4.4749999999999996</v>
      </c>
      <c r="F6" s="119">
        <f>Dataserier!U5</f>
        <v>12.480000000000002</v>
      </c>
      <c r="G6" s="119">
        <f>Dataserier!Y5</f>
        <v>-14.540000000000001</v>
      </c>
      <c r="H6" s="119">
        <f>Dataserier!AC5</f>
        <v>28.369999999999997</v>
      </c>
      <c r="I6" s="119">
        <f t="shared" si="0"/>
        <v>14.704999999999998</v>
      </c>
      <c r="L6" s="126">
        <f>Dataserier!BD5</f>
        <v>7.13</v>
      </c>
      <c r="M6" s="126">
        <f>Dataserier!BE5</f>
        <v>-62.651372000000023</v>
      </c>
      <c r="N6" s="126">
        <f>Dataserier!BF5</f>
        <v>-69.781372000000019</v>
      </c>
      <c r="O6" s="126">
        <f>Dataserier!BH5</f>
        <v>4.4749999999999996</v>
      </c>
      <c r="P6" s="126">
        <f>Dataserier!BI5</f>
        <v>-23.990790599758043</v>
      </c>
      <c r="Q6" s="126">
        <f>Dataserier!BJ5</f>
        <v>-28.465790599758044</v>
      </c>
      <c r="R6" s="126">
        <f>Dataserier!BL5</f>
        <v>-12.480000000000002</v>
      </c>
      <c r="S6" s="126">
        <f>Dataserier!BM5</f>
        <v>-78.181899999999985</v>
      </c>
      <c r="T6" s="126">
        <f>Dataserier!BN5</f>
        <v>-65.701899999999981</v>
      </c>
      <c r="U6" s="126">
        <f>Dataserier!BP5</f>
        <v>14.540000000000001</v>
      </c>
      <c r="V6" s="126">
        <f>Dataserier!BQ5</f>
        <v>-77.482300000000009</v>
      </c>
      <c r="W6" s="126">
        <f>Dataserier!BR5</f>
        <v>-92.022300000000016</v>
      </c>
      <c r="X6" s="126">
        <f>Dataserier!BT5</f>
        <v>-28.369999999999997</v>
      </c>
      <c r="Y6" s="126">
        <f>Dataserier!BU5</f>
        <v>-320.08682999999991</v>
      </c>
      <c r="Z6" s="126">
        <f>Dataserier!BV5</f>
        <v>-291.7168299999999</v>
      </c>
      <c r="AB6" s="126">
        <f t="shared" si="1"/>
        <v>-2.2249999999999943</v>
      </c>
      <c r="AC6" s="126">
        <f t="shared" si="2"/>
        <v>-484.211292599758</v>
      </c>
      <c r="AD6" s="126">
        <f t="shared" si="3"/>
        <v>-481.98629259975803</v>
      </c>
    </row>
    <row r="7" spans="1:30" x14ac:dyDescent="0.2">
      <c r="A7" s="128">
        <v>37787</v>
      </c>
      <c r="B7" s="157">
        <v>-19.134</v>
      </c>
      <c r="C7" s="119">
        <f>Dataserier!H6</f>
        <v>0.7</v>
      </c>
      <c r="D7" s="119">
        <f>Dataserier!M6</f>
        <v>-6.1300000000000008</v>
      </c>
      <c r="E7" s="119">
        <f>Dataserier!Q6</f>
        <v>-5.0679999999999996</v>
      </c>
      <c r="F7" s="119">
        <f>Dataserier!U6</f>
        <v>22.470000000000006</v>
      </c>
      <c r="G7" s="119">
        <f>Dataserier!Y6</f>
        <v>-15.22</v>
      </c>
      <c r="H7" s="119">
        <f>Dataserier!AC6</f>
        <v>26.759999999999998</v>
      </c>
      <c r="I7" s="119">
        <f t="shared" si="0"/>
        <v>22.812000000000005</v>
      </c>
      <c r="L7" s="126">
        <f>Dataserier!BD6</f>
        <v>6.1300000000000008</v>
      </c>
      <c r="M7" s="126">
        <f>Dataserier!BE6</f>
        <v>-61.645657000000028</v>
      </c>
      <c r="N7" s="126">
        <f>Dataserier!BF6</f>
        <v>-67.775657000000024</v>
      </c>
      <c r="O7" s="126">
        <f>Dataserier!BH6</f>
        <v>5.0679999999999996</v>
      </c>
      <c r="P7" s="126">
        <f>Dataserier!BI6</f>
        <v>-23.986513051326178</v>
      </c>
      <c r="Q7" s="126">
        <f>Dataserier!BJ6</f>
        <v>-29.054513051326175</v>
      </c>
      <c r="R7" s="126">
        <f>Dataserier!BL6</f>
        <v>-22.470000000000006</v>
      </c>
      <c r="S7" s="126">
        <f>Dataserier!BM6</f>
        <v>-75.000699999999995</v>
      </c>
      <c r="T7" s="126">
        <f>Dataserier!BN6</f>
        <v>-52.530699999999989</v>
      </c>
      <c r="U7" s="126">
        <f>Dataserier!BP6</f>
        <v>15.22</v>
      </c>
      <c r="V7" s="126">
        <f>Dataserier!BQ6</f>
        <v>-76.663600000000017</v>
      </c>
      <c r="W7" s="126">
        <f>Dataserier!BR6</f>
        <v>-91.883600000000015</v>
      </c>
      <c r="X7" s="126">
        <f>Dataserier!BT6</f>
        <v>-26.759999999999998</v>
      </c>
      <c r="Y7" s="126">
        <f>Dataserier!BU6</f>
        <v>-317.85728999999992</v>
      </c>
      <c r="Z7" s="126">
        <f>Dataserier!BV6</f>
        <v>-291.09728999999993</v>
      </c>
      <c r="AB7" s="126">
        <f t="shared" si="1"/>
        <v>-0.34199999999999875</v>
      </c>
      <c r="AC7" s="126">
        <f t="shared" si="2"/>
        <v>-480.15306005132612</v>
      </c>
      <c r="AD7" s="126">
        <f t="shared" si="3"/>
        <v>-479.81106005132614</v>
      </c>
    </row>
    <row r="8" spans="1:30" x14ac:dyDescent="0.2">
      <c r="A8" s="128">
        <v>37817</v>
      </c>
      <c r="B8" s="157">
        <v>-2.7610000000000001</v>
      </c>
      <c r="C8" s="119">
        <f>Dataserier!H7</f>
        <v>0.70099999999999996</v>
      </c>
      <c r="D8" s="119">
        <f>Dataserier!M7</f>
        <v>-6.6</v>
      </c>
      <c r="E8" s="119">
        <f>Dataserier!Q7</f>
        <v>-9.0310000000000006</v>
      </c>
      <c r="F8" s="119">
        <f>Dataserier!U7</f>
        <v>18.510000000000005</v>
      </c>
      <c r="G8" s="119">
        <f>Dataserier!Y7</f>
        <v>-14.99</v>
      </c>
      <c r="H8" s="119">
        <f>Dataserier!AC7</f>
        <v>25.22</v>
      </c>
      <c r="I8" s="119">
        <f t="shared" si="0"/>
        <v>13.109000000000004</v>
      </c>
      <c r="L8" s="126">
        <f>Dataserier!BD7</f>
        <v>6.6</v>
      </c>
      <c r="M8" s="126">
        <f>Dataserier!BE7</f>
        <v>-61.830087000000027</v>
      </c>
      <c r="N8" s="126">
        <f>Dataserier!BF7</f>
        <v>-68.430087000000029</v>
      </c>
      <c r="O8" s="126">
        <f>Dataserier!BH7</f>
        <v>9.0310000000000006</v>
      </c>
      <c r="P8" s="126">
        <f>Dataserier!BI7</f>
        <v>-24.00420507476624</v>
      </c>
      <c r="Q8" s="126">
        <f>Dataserier!BJ7</f>
        <v>-33.035205074766239</v>
      </c>
      <c r="R8" s="126">
        <f>Dataserier!BL7</f>
        <v>-18.510000000000005</v>
      </c>
      <c r="S8" s="126">
        <f>Dataserier!BM7</f>
        <v>-78.464199999999991</v>
      </c>
      <c r="T8" s="126">
        <f>Dataserier!BN7</f>
        <v>-59.954199999999986</v>
      </c>
      <c r="U8" s="126">
        <f>Dataserier!BP7</f>
        <v>14.99</v>
      </c>
      <c r="V8" s="126">
        <f>Dataserier!BQ7</f>
        <v>-76.442400000000021</v>
      </c>
      <c r="W8" s="126">
        <f>Dataserier!BR7</f>
        <v>-91.432400000000015</v>
      </c>
      <c r="X8" s="126">
        <f>Dataserier!BT7</f>
        <v>-25.22</v>
      </c>
      <c r="Y8" s="126">
        <f>Dataserier!BU7</f>
        <v>-314.98263999999989</v>
      </c>
      <c r="Z8" s="126">
        <f>Dataserier!BV7</f>
        <v>-289.76263999999992</v>
      </c>
      <c r="AB8" s="126">
        <f t="shared" si="1"/>
        <v>5.4010000000000034</v>
      </c>
      <c r="AC8" s="126">
        <f t="shared" si="2"/>
        <v>-477.25933207476618</v>
      </c>
      <c r="AD8" s="126">
        <f t="shared" si="3"/>
        <v>-482.66033207476619</v>
      </c>
    </row>
    <row r="9" spans="1:30" x14ac:dyDescent="0.2">
      <c r="A9" s="128">
        <v>37848</v>
      </c>
      <c r="B9" s="157">
        <v>0.12</v>
      </c>
      <c r="C9" s="119">
        <f>Dataserier!H8</f>
        <v>0.70099999999999996</v>
      </c>
      <c r="D9" s="119">
        <f>Dataserier!M8</f>
        <v>-6.8999999999999995</v>
      </c>
      <c r="E9" s="119">
        <f>Dataserier!Q8</f>
        <v>-8.9540000000000006</v>
      </c>
      <c r="F9" s="119">
        <f>Dataserier!U8</f>
        <v>17.27000000000001</v>
      </c>
      <c r="G9" s="119">
        <f>Dataserier!Y8</f>
        <v>-13.06</v>
      </c>
      <c r="H9" s="119">
        <f>Dataserier!AC8</f>
        <v>12.61</v>
      </c>
      <c r="I9" s="119">
        <f t="shared" si="0"/>
        <v>0.96600000000000996</v>
      </c>
      <c r="L9" s="126">
        <f>Dataserier!BD8</f>
        <v>6.8999999999999995</v>
      </c>
      <c r="M9" s="126">
        <f>Dataserier!BE8</f>
        <v>-61.161396000000025</v>
      </c>
      <c r="N9" s="126">
        <f>Dataserier!BF8</f>
        <v>-68.06139600000003</v>
      </c>
      <c r="O9" s="126">
        <f>Dataserier!BH8</f>
        <v>8.9540000000000006</v>
      </c>
      <c r="P9" s="126">
        <f>Dataserier!BI8</f>
        <v>-24.093790599758041</v>
      </c>
      <c r="Q9" s="126">
        <f>Dataserier!BJ8</f>
        <v>-33.047790599758045</v>
      </c>
      <c r="R9" s="126">
        <f>Dataserier!BL8</f>
        <v>-17.27000000000001</v>
      </c>
      <c r="S9" s="126">
        <f>Dataserier!BM8</f>
        <v>-78.904599999999988</v>
      </c>
      <c r="T9" s="126">
        <f>Dataserier!BN8</f>
        <v>-61.634599999999978</v>
      </c>
      <c r="U9" s="126">
        <f>Dataserier!BP8</f>
        <v>13.06</v>
      </c>
      <c r="V9" s="126">
        <f>Dataserier!BQ8</f>
        <v>-77.13430000000001</v>
      </c>
      <c r="W9" s="126">
        <f>Dataserier!BR8</f>
        <v>-90.194300000000013</v>
      </c>
      <c r="X9" s="126">
        <f>Dataserier!BT8</f>
        <v>-12.61</v>
      </c>
      <c r="Y9" s="126">
        <f>Dataserier!BU8</f>
        <v>-314.36910999999992</v>
      </c>
      <c r="Z9" s="126">
        <f>Dataserier!BV8</f>
        <v>-301.75910999999991</v>
      </c>
      <c r="AB9" s="126">
        <f t="shared" si="1"/>
        <v>16.304000000000002</v>
      </c>
      <c r="AC9" s="126">
        <f t="shared" si="2"/>
        <v>-476.75859659975799</v>
      </c>
      <c r="AD9" s="126">
        <f t="shared" si="3"/>
        <v>-493.06259659975797</v>
      </c>
    </row>
    <row r="10" spans="1:30" x14ac:dyDescent="0.2">
      <c r="A10" s="128">
        <v>37879</v>
      </c>
      <c r="B10" s="157">
        <v>-3.569</v>
      </c>
      <c r="C10" s="119">
        <f>Dataserier!H9</f>
        <v>0.70099999999999996</v>
      </c>
      <c r="D10" s="119">
        <f>Dataserier!M9</f>
        <v>-4.8500000000000005</v>
      </c>
      <c r="E10" s="119">
        <f>Dataserier!Q9</f>
        <v>-10.19</v>
      </c>
      <c r="F10" s="119">
        <f>Dataserier!U9</f>
        <v>19.980000000000008</v>
      </c>
      <c r="G10" s="119">
        <f>Dataserier!Y9</f>
        <v>-15.18</v>
      </c>
      <c r="H10" s="119">
        <f>Dataserier!AC9</f>
        <v>22.22</v>
      </c>
      <c r="I10" s="119">
        <f t="shared" si="0"/>
        <v>11.980000000000008</v>
      </c>
      <c r="L10" s="126">
        <f>Dataserier!BD9</f>
        <v>4.8500000000000005</v>
      </c>
      <c r="M10" s="126">
        <f>Dataserier!BE9</f>
        <v>-60.224795000000029</v>
      </c>
      <c r="N10" s="126">
        <f>Dataserier!BF9</f>
        <v>-65.074795000000023</v>
      </c>
      <c r="O10" s="126">
        <f>Dataserier!BH9</f>
        <v>10.19</v>
      </c>
      <c r="P10" s="126">
        <f>Dataserier!BI9</f>
        <v>-24.281513671496803</v>
      </c>
      <c r="Q10" s="126">
        <f>Dataserier!BJ9</f>
        <v>-34.471513671496801</v>
      </c>
      <c r="R10" s="126">
        <f>Dataserier!BL9</f>
        <v>-19.980000000000008</v>
      </c>
      <c r="S10" s="126">
        <f>Dataserier!BM9</f>
        <v>-78.385499999999993</v>
      </c>
      <c r="T10" s="126">
        <f>Dataserier!BN9</f>
        <v>-58.405499999999989</v>
      </c>
      <c r="U10" s="126">
        <f>Dataserier!BP9</f>
        <v>15.18</v>
      </c>
      <c r="V10" s="126">
        <f>Dataserier!BQ9</f>
        <v>-76.666800000000009</v>
      </c>
      <c r="W10" s="126">
        <f>Dataserier!BR9</f>
        <v>-91.846800000000002</v>
      </c>
      <c r="X10" s="126">
        <f>Dataserier!BT9</f>
        <v>-22.22</v>
      </c>
      <c r="Y10" s="126">
        <f>Dataserier!BU9</f>
        <v>-311.6236199999999</v>
      </c>
      <c r="Z10" s="126">
        <f>Dataserier!BV9</f>
        <v>-289.40361999999993</v>
      </c>
      <c r="AB10" s="126">
        <f t="shared" si="1"/>
        <v>8</v>
      </c>
      <c r="AC10" s="126">
        <f t="shared" si="2"/>
        <v>-472.79672867149674</v>
      </c>
      <c r="AD10" s="126">
        <f t="shared" si="3"/>
        <v>-480.79672867149674</v>
      </c>
    </row>
    <row r="11" spans="1:30" x14ac:dyDescent="0.2">
      <c r="A11" s="128">
        <v>37909</v>
      </c>
      <c r="B11" s="157">
        <v>18.323</v>
      </c>
      <c r="C11" s="119">
        <f>Dataserier!H10</f>
        <v>0.70299999999999996</v>
      </c>
      <c r="D11" s="119">
        <f>Dataserier!M10</f>
        <v>-6.6999999999999993</v>
      </c>
      <c r="E11" s="119">
        <f>Dataserier!Q10</f>
        <v>-10.108000000000001</v>
      </c>
      <c r="F11" s="119">
        <f>Dataserier!U10</f>
        <v>3.3200000000000114</v>
      </c>
      <c r="G11" s="119">
        <f>Dataserier!Y10</f>
        <v>-17.729999999999997</v>
      </c>
      <c r="H11" s="119">
        <f>Dataserier!AC10</f>
        <v>26.090000000000003</v>
      </c>
      <c r="I11" s="119">
        <f t="shared" si="0"/>
        <v>-5.1279999999999824</v>
      </c>
      <c r="L11" s="126">
        <f>Dataserier!BD10</f>
        <v>6.6999999999999993</v>
      </c>
      <c r="M11" s="126">
        <f>Dataserier!BE10</f>
        <v>-59.333371000000028</v>
      </c>
      <c r="N11" s="126">
        <f>Dataserier!BF10</f>
        <v>-66.033371000000031</v>
      </c>
      <c r="O11" s="126">
        <f>Dataserier!BH10</f>
        <v>10.108000000000001</v>
      </c>
      <c r="P11" s="126">
        <f>Dataserier!BI10</f>
        <v>-24.498898797239384</v>
      </c>
      <c r="Q11" s="126">
        <f>Dataserier!BJ10</f>
        <v>-34.606898797239381</v>
      </c>
      <c r="R11" s="126">
        <f>Dataserier!BL10</f>
        <v>-3.3200000000000114</v>
      </c>
      <c r="S11" s="126">
        <f>Dataserier!BM10</f>
        <v>-80.467399999999984</v>
      </c>
      <c r="T11" s="126">
        <f>Dataserier!BN10</f>
        <v>-77.147399999999976</v>
      </c>
      <c r="U11" s="126">
        <f>Dataserier!BP10</f>
        <v>17.729999999999997</v>
      </c>
      <c r="V11" s="126">
        <f>Dataserier!BQ10</f>
        <v>-75.764700000000019</v>
      </c>
      <c r="W11" s="126">
        <f>Dataserier!BR10</f>
        <v>-93.494700000000023</v>
      </c>
      <c r="X11" s="126">
        <f>Dataserier!BT10</f>
        <v>-26.090000000000003</v>
      </c>
      <c r="Y11" s="126">
        <f>Dataserier!BU10</f>
        <v>-309.71494999999993</v>
      </c>
      <c r="Z11" s="126">
        <f>Dataserier!BV10</f>
        <v>-283.6249499999999</v>
      </c>
      <c r="AB11" s="126">
        <f t="shared" si="1"/>
        <v>8.4479999999999933</v>
      </c>
      <c r="AC11" s="126">
        <f t="shared" si="2"/>
        <v>-469.31191979723934</v>
      </c>
      <c r="AD11" s="126">
        <f t="shared" si="3"/>
        <v>-477.75991979723932</v>
      </c>
    </row>
    <row r="12" spans="1:30" x14ac:dyDescent="0.2">
      <c r="A12" s="128">
        <v>37940</v>
      </c>
      <c r="B12" s="157">
        <v>3.27</v>
      </c>
      <c r="C12" s="119">
        <f>Dataserier!H11</f>
        <v>0.70299999999999996</v>
      </c>
      <c r="D12" s="119">
        <f>Dataserier!M11</f>
        <v>-7.5</v>
      </c>
      <c r="E12" s="119">
        <f>Dataserier!Q11</f>
        <v>-5.5119999999999996</v>
      </c>
      <c r="F12" s="119">
        <f>Dataserier!U11</f>
        <v>12.749999999999996</v>
      </c>
      <c r="G12" s="119">
        <f>Dataserier!Y11</f>
        <v>-18.11</v>
      </c>
      <c r="H12" s="119">
        <f>Dataserier!AC11</f>
        <v>30.87</v>
      </c>
      <c r="I12" s="119">
        <f t="shared" si="0"/>
        <v>12.497999999999998</v>
      </c>
      <c r="L12" s="126">
        <f>Dataserier!BD11</f>
        <v>7.5</v>
      </c>
      <c r="M12" s="126">
        <f>Dataserier!BE11</f>
        <v>-58.396722000000025</v>
      </c>
      <c r="N12" s="126">
        <f>Dataserier!BF11</f>
        <v>-65.896722000000025</v>
      </c>
      <c r="O12" s="126">
        <f>Dataserier!BH11</f>
        <v>5.5119999999999996</v>
      </c>
      <c r="P12" s="126">
        <f>Dataserier!BI11</f>
        <v>-24.653790599758043</v>
      </c>
      <c r="Q12" s="126">
        <f>Dataserier!BJ11</f>
        <v>-30.165790599758044</v>
      </c>
      <c r="R12" s="126">
        <f>Dataserier!BL11</f>
        <v>-12.749999999999996</v>
      </c>
      <c r="S12" s="126">
        <f>Dataserier!BM11</f>
        <v>-79.654799999999994</v>
      </c>
      <c r="T12" s="126">
        <f>Dataserier!BN11</f>
        <v>-66.904799999999994</v>
      </c>
      <c r="U12" s="126">
        <f>Dataserier!BP11</f>
        <v>18.11</v>
      </c>
      <c r="V12" s="126">
        <f>Dataserier!BQ11</f>
        <v>-74.046000000000021</v>
      </c>
      <c r="W12" s="126">
        <f>Dataserier!BR11</f>
        <v>-92.15600000000002</v>
      </c>
      <c r="X12" s="126">
        <f>Dataserier!BT11</f>
        <v>-30.87</v>
      </c>
      <c r="Y12" s="126">
        <f>Dataserier!BU11</f>
        <v>-307.76474999999994</v>
      </c>
      <c r="Z12" s="126">
        <f>Dataserier!BV11</f>
        <v>-276.89474999999993</v>
      </c>
      <c r="AB12" s="126">
        <f t="shared" si="1"/>
        <v>0.25199999999999889</v>
      </c>
      <c r="AC12" s="126">
        <f t="shared" si="2"/>
        <v>-464.86126259975799</v>
      </c>
      <c r="AD12" s="126">
        <f t="shared" si="3"/>
        <v>-465.113262599758</v>
      </c>
    </row>
    <row r="13" spans="1:30" x14ac:dyDescent="0.2">
      <c r="A13" s="128">
        <v>37970</v>
      </c>
      <c r="B13" s="157">
        <v>4.4740000000000002</v>
      </c>
      <c r="C13" s="119">
        <f>Dataserier!H12</f>
        <v>0.70299999999999996</v>
      </c>
      <c r="D13" s="119">
        <f>Dataserier!M12</f>
        <v>0.51999999999999869</v>
      </c>
      <c r="E13" s="119">
        <f>Dataserier!Q12</f>
        <v>-9.9149999999999991</v>
      </c>
      <c r="F13" s="119">
        <f>Dataserier!U12</f>
        <v>-0.26000000000000245</v>
      </c>
      <c r="G13" s="119">
        <f>Dataserier!Y12</f>
        <v>-14.32</v>
      </c>
      <c r="H13" s="119">
        <f>Dataserier!AC12</f>
        <v>18.270000000000003</v>
      </c>
      <c r="I13" s="119">
        <f t="shared" si="0"/>
        <v>-5.7049999999999983</v>
      </c>
      <c r="L13" s="126">
        <f>Dataserier!BD12</f>
        <v>-0.51999999999999869</v>
      </c>
      <c r="M13" s="126">
        <f>Dataserier!BE12</f>
        <v>-57.428913000000023</v>
      </c>
      <c r="N13" s="126">
        <f>Dataserier!BF12</f>
        <v>-56.908913000000027</v>
      </c>
      <c r="O13" s="126">
        <f>Dataserier!BH12</f>
        <v>9.9149999999999991</v>
      </c>
      <c r="P13" s="126">
        <f>Dataserier!BI12</f>
        <v>-24.680879564938557</v>
      </c>
      <c r="Q13" s="126">
        <f>Dataserier!BJ12</f>
        <v>-34.595879564938556</v>
      </c>
      <c r="R13" s="126">
        <f>Dataserier!BL12</f>
        <v>0.26000000000000245</v>
      </c>
      <c r="S13" s="126">
        <f>Dataserier!BM12</f>
        <v>-80.109599999999986</v>
      </c>
      <c r="T13" s="126">
        <f>Dataserier!BN12</f>
        <v>-80.369599999999991</v>
      </c>
      <c r="U13" s="126">
        <f>Dataserier!BP12</f>
        <v>14.32</v>
      </c>
      <c r="V13" s="126">
        <f>Dataserier!BQ12</f>
        <v>-72.071500000000015</v>
      </c>
      <c r="W13" s="126">
        <f>Dataserier!BR12</f>
        <v>-86.391500000000008</v>
      </c>
      <c r="X13" s="126">
        <f>Dataserier!BT12</f>
        <v>-18.270000000000003</v>
      </c>
      <c r="Y13" s="126">
        <f>Dataserier!BU12</f>
        <v>-305.67207999999994</v>
      </c>
      <c r="Z13" s="126">
        <f>Dataserier!BV12</f>
        <v>-287.40207999999996</v>
      </c>
      <c r="AB13" s="126">
        <f t="shared" si="1"/>
        <v>5.4449999999999967</v>
      </c>
      <c r="AC13" s="126">
        <f t="shared" si="2"/>
        <v>-459.85337256493852</v>
      </c>
      <c r="AD13" s="126">
        <f t="shared" si="3"/>
        <v>-465.29837256493852</v>
      </c>
    </row>
    <row r="14" spans="1:30" x14ac:dyDescent="0.2">
      <c r="A14" s="128">
        <v>38001</v>
      </c>
      <c r="B14" s="157">
        <v>-0.73799999999999999</v>
      </c>
      <c r="C14" s="119">
        <f>Dataserier!H13</f>
        <v>0.71899999999999997</v>
      </c>
      <c r="D14" s="119">
        <f>Dataserier!M13</f>
        <v>-6.14</v>
      </c>
      <c r="E14" s="119">
        <f>Dataserier!Q13</f>
        <v>-7.5469999999999997</v>
      </c>
      <c r="F14" s="119">
        <f>Dataserier!U13</f>
        <v>22.26</v>
      </c>
      <c r="G14" s="119">
        <f>Dataserier!Y13</f>
        <v>-16.43</v>
      </c>
      <c r="H14" s="119">
        <f>Dataserier!AC13</f>
        <v>25.339999999999996</v>
      </c>
      <c r="I14" s="119">
        <f t="shared" si="0"/>
        <v>17.482999999999997</v>
      </c>
      <c r="L14" s="126">
        <f>Dataserier!BD13</f>
        <v>6.14</v>
      </c>
      <c r="M14" s="126">
        <f>Dataserier!BE13</f>
        <v>-56.49374600000003</v>
      </c>
      <c r="N14" s="126">
        <f>Dataserier!BF13</f>
        <v>-62.633746000000031</v>
      </c>
      <c r="O14" s="126">
        <f>Dataserier!BH13</f>
        <v>7.5469999999999997</v>
      </c>
      <c r="P14" s="126">
        <f>Dataserier!BI13</f>
        <v>-24.622239631120774</v>
      </c>
      <c r="Q14" s="126">
        <f>Dataserier!BJ13</f>
        <v>-32.169239631120774</v>
      </c>
      <c r="R14" s="126">
        <f>Dataserier!BL13</f>
        <v>-22.26</v>
      </c>
      <c r="S14" s="126">
        <f>Dataserier!BM13</f>
        <v>-77.766899999999993</v>
      </c>
      <c r="T14" s="126">
        <f>Dataserier!BN13</f>
        <v>-55.506899999999987</v>
      </c>
      <c r="U14" s="126">
        <f>Dataserier!BP13</f>
        <v>16.43</v>
      </c>
      <c r="V14" s="126">
        <f>Dataserier!BQ13</f>
        <v>-70.63600000000001</v>
      </c>
      <c r="W14" s="126">
        <f>Dataserier!BR13</f>
        <v>-87.066000000000003</v>
      </c>
      <c r="X14" s="126">
        <f>Dataserier!BT13</f>
        <v>-25.339999999999996</v>
      </c>
      <c r="Y14" s="126">
        <f>Dataserier!BU13</f>
        <v>-302.10199999999992</v>
      </c>
      <c r="Z14" s="126">
        <f>Dataserier!BV13</f>
        <v>-276.76199999999994</v>
      </c>
      <c r="AB14" s="126">
        <f t="shared" si="1"/>
        <v>4.777000000000001</v>
      </c>
      <c r="AC14" s="126">
        <f t="shared" si="2"/>
        <v>-453.85398563112074</v>
      </c>
      <c r="AD14" s="126">
        <f t="shared" si="3"/>
        <v>-458.63098563112072</v>
      </c>
    </row>
    <row r="15" spans="1:30" x14ac:dyDescent="0.2">
      <c r="A15" s="128">
        <v>38032</v>
      </c>
      <c r="B15" s="157">
        <v>-1.732</v>
      </c>
      <c r="C15" s="119">
        <f>Dataserier!H14</f>
        <v>0.71899999999999997</v>
      </c>
      <c r="D15" s="119">
        <f>Dataserier!M14</f>
        <v>-6.82</v>
      </c>
      <c r="E15" s="119">
        <f>Dataserier!Q14</f>
        <v>-7.7690000000000001</v>
      </c>
      <c r="F15" s="119">
        <f>Dataserier!U14</f>
        <v>26.200000000000003</v>
      </c>
      <c r="G15" s="119">
        <f>Dataserier!Y14</f>
        <v>-15.200000000000001</v>
      </c>
      <c r="H15" s="119">
        <f>Dataserier!AC14</f>
        <v>20.66</v>
      </c>
      <c r="I15" s="119">
        <f t="shared" si="0"/>
        <v>17.071000000000002</v>
      </c>
      <c r="L15" s="126">
        <f>Dataserier!BD14</f>
        <v>6.82</v>
      </c>
      <c r="M15" s="126">
        <f>Dataserier!BE14</f>
        <v>-55.590412000000029</v>
      </c>
      <c r="N15" s="126">
        <f>Dataserier!BF14</f>
        <v>-62.410412000000029</v>
      </c>
      <c r="O15" s="126">
        <f>Dataserier!BH14</f>
        <v>7.7690000000000001</v>
      </c>
      <c r="P15" s="126">
        <f>Dataserier!BI14</f>
        <v>-24.54679059975804</v>
      </c>
      <c r="Q15" s="126">
        <f>Dataserier!BJ14</f>
        <v>-32.315790599758039</v>
      </c>
      <c r="R15" s="126">
        <f>Dataserier!BL14</f>
        <v>-26.200000000000003</v>
      </c>
      <c r="S15" s="126">
        <f>Dataserier!BM14</f>
        <v>-77.385499999999993</v>
      </c>
      <c r="T15" s="126">
        <f>Dataserier!BN14</f>
        <v>-51.18549999999999</v>
      </c>
      <c r="U15" s="126">
        <f>Dataserier!BP14</f>
        <v>15.200000000000001</v>
      </c>
      <c r="V15" s="126">
        <f>Dataserier!BQ14</f>
        <v>-69.76570000000001</v>
      </c>
      <c r="W15" s="126">
        <f>Dataserier!BR14</f>
        <v>-84.965700000000012</v>
      </c>
      <c r="X15" s="126">
        <f>Dataserier!BT14</f>
        <v>-20.66</v>
      </c>
      <c r="Y15" s="126">
        <f>Dataserier!BU14</f>
        <v>-298.68329999999992</v>
      </c>
      <c r="Z15" s="126">
        <f>Dataserier!BV14</f>
        <v>-278.02329999999989</v>
      </c>
      <c r="AB15" s="126">
        <f t="shared" si="1"/>
        <v>9.1290000000000013</v>
      </c>
      <c r="AC15" s="126">
        <f t="shared" si="2"/>
        <v>-448.586202599758</v>
      </c>
      <c r="AD15" s="126">
        <f t="shared" si="3"/>
        <v>-457.71520259975802</v>
      </c>
    </row>
    <row r="16" spans="1:30" x14ac:dyDescent="0.2">
      <c r="A16" s="128">
        <v>38061</v>
      </c>
      <c r="B16" s="157">
        <v>11.108000000000001</v>
      </c>
      <c r="C16" s="119">
        <f>Dataserier!H15</f>
        <v>0.71899999999999997</v>
      </c>
      <c r="D16" s="119">
        <f>Dataserier!M15</f>
        <v>-7.34</v>
      </c>
      <c r="E16" s="119">
        <f>Dataserier!Q15</f>
        <v>-7.7690000000000001</v>
      </c>
      <c r="F16" s="119">
        <f>Dataserier!U15</f>
        <v>18.079999999999988</v>
      </c>
      <c r="G16" s="119">
        <f>Dataserier!Y15</f>
        <v>-13.03</v>
      </c>
      <c r="H16" s="119">
        <f>Dataserier!AC15</f>
        <v>23.069999999999993</v>
      </c>
      <c r="I16" s="119">
        <f t="shared" si="0"/>
        <v>13.010999999999981</v>
      </c>
      <c r="L16" s="126">
        <f>Dataserier!BD15</f>
        <v>7.34</v>
      </c>
      <c r="M16" s="126">
        <f>Dataserier!BE15</f>
        <v>-54.621832000000026</v>
      </c>
      <c r="N16" s="126">
        <f>Dataserier!BF15</f>
        <v>-61.96183200000003</v>
      </c>
      <c r="O16" s="126">
        <f>Dataserier!BH15</f>
        <v>7.7690000000000001</v>
      </c>
      <c r="P16" s="126">
        <f>Dataserier!BI15</f>
        <v>-24.504526482112027</v>
      </c>
      <c r="Q16" s="126">
        <f>Dataserier!BJ15</f>
        <v>-32.273526482112025</v>
      </c>
      <c r="R16" s="126">
        <f>Dataserier!BL15</f>
        <v>-18.079999999999988</v>
      </c>
      <c r="S16" s="126">
        <f>Dataserier!BM15</f>
        <v>-77.483899999999991</v>
      </c>
      <c r="T16" s="126">
        <f>Dataserier!BN15</f>
        <v>-59.403900000000007</v>
      </c>
      <c r="U16" s="126">
        <f>Dataserier!BP15</f>
        <v>13.03</v>
      </c>
      <c r="V16" s="126">
        <f>Dataserier!BQ15</f>
        <v>-68.69080000000001</v>
      </c>
      <c r="W16" s="126">
        <f>Dataserier!BR15</f>
        <v>-81.720800000000011</v>
      </c>
      <c r="X16" s="126">
        <f>Dataserier!BT15</f>
        <v>-23.069999999999993</v>
      </c>
      <c r="Y16" s="126">
        <f>Dataserier!BU15</f>
        <v>-294.39127999999994</v>
      </c>
      <c r="Z16" s="126">
        <f>Dataserier!BV15</f>
        <v>-271.32127999999994</v>
      </c>
      <c r="AB16" s="126">
        <f t="shared" si="1"/>
        <v>5.0690000000000062</v>
      </c>
      <c r="AC16" s="126">
        <f t="shared" si="2"/>
        <v>-442.208438482112</v>
      </c>
      <c r="AD16" s="126">
        <f t="shared" si="3"/>
        <v>-447.27743848211202</v>
      </c>
    </row>
    <row r="17" spans="1:30" x14ac:dyDescent="0.2">
      <c r="A17" s="128">
        <v>38092</v>
      </c>
      <c r="B17" s="157">
        <v>10.262</v>
      </c>
      <c r="C17" s="119">
        <f>Dataserier!H16</f>
        <v>0.72099999999999997</v>
      </c>
      <c r="D17" s="119">
        <f>Dataserier!M16</f>
        <v>-7.8900000000000006</v>
      </c>
      <c r="E17" s="119">
        <f>Dataserier!Q16</f>
        <v>-6.7969999999999997</v>
      </c>
      <c r="F17" s="119">
        <f>Dataserier!U16</f>
        <v>16.000000000000007</v>
      </c>
      <c r="G17" s="119">
        <f>Dataserier!Y16</f>
        <v>-12.65</v>
      </c>
      <c r="H17" s="119">
        <f>Dataserier!AC16</f>
        <v>22.5</v>
      </c>
      <c r="I17" s="119">
        <f t="shared" si="0"/>
        <v>11.163000000000006</v>
      </c>
      <c r="L17" s="126">
        <f>Dataserier!BD16</f>
        <v>7.8900000000000006</v>
      </c>
      <c r="M17" s="126">
        <f>Dataserier!BE16</f>
        <v>-53.422231000000025</v>
      </c>
      <c r="N17" s="126">
        <f>Dataserier!BF16</f>
        <v>-61.312231000000025</v>
      </c>
      <c r="O17" s="126">
        <f>Dataserier!BH16</f>
        <v>6.7969999999999997</v>
      </c>
      <c r="P17" s="126">
        <f>Dataserier!BI16</f>
        <v>-24.469738128677626</v>
      </c>
      <c r="Q17" s="126">
        <f>Dataserier!BJ16</f>
        <v>-31.266738128677627</v>
      </c>
      <c r="R17" s="126">
        <f>Dataserier!BL16</f>
        <v>-16.000000000000007</v>
      </c>
      <c r="S17" s="126">
        <f>Dataserier!BM16</f>
        <v>-76.305799999999991</v>
      </c>
      <c r="T17" s="126">
        <f>Dataserier!BN16</f>
        <v>-60.305799999999984</v>
      </c>
      <c r="U17" s="126">
        <f>Dataserier!BP16</f>
        <v>12.65</v>
      </c>
      <c r="V17" s="126">
        <f>Dataserier!BQ16</f>
        <v>-67.336500000000015</v>
      </c>
      <c r="W17" s="126">
        <f>Dataserier!BR16</f>
        <v>-79.986500000000021</v>
      </c>
      <c r="X17" s="126">
        <f>Dataserier!BT16</f>
        <v>-22.5</v>
      </c>
      <c r="Y17" s="126">
        <f>Dataserier!BU16</f>
        <v>-291.29651999999993</v>
      </c>
      <c r="Z17" s="126">
        <f>Dataserier!BV16</f>
        <v>-268.79651999999993</v>
      </c>
      <c r="AB17" s="126">
        <f t="shared" si="1"/>
        <v>4.8370000000000033</v>
      </c>
      <c r="AC17" s="126">
        <f t="shared" si="2"/>
        <v>-436.52498912867759</v>
      </c>
      <c r="AD17" s="126">
        <f t="shared" si="3"/>
        <v>-441.36198912867758</v>
      </c>
    </row>
    <row r="18" spans="1:30" x14ac:dyDescent="0.2">
      <c r="A18" s="128">
        <v>38122</v>
      </c>
      <c r="B18" s="157">
        <v>-0.30399999999999999</v>
      </c>
      <c r="C18" s="119">
        <f>Dataserier!H17</f>
        <v>0.72099999999999997</v>
      </c>
      <c r="D18" s="119">
        <f>Dataserier!M17</f>
        <v>-8.1000000000000014</v>
      </c>
      <c r="E18" s="119">
        <f>Dataserier!Q17</f>
        <v>-3.3620000000000001</v>
      </c>
      <c r="F18" s="119">
        <f>Dataserier!U17</f>
        <v>15.589999999999998</v>
      </c>
      <c r="G18" s="119">
        <f>Dataserier!Y17</f>
        <v>-13.3</v>
      </c>
      <c r="H18" s="119">
        <f>Dataserier!AC17</f>
        <v>28.92</v>
      </c>
      <c r="I18" s="119">
        <f t="shared" si="0"/>
        <v>19.747999999999998</v>
      </c>
      <c r="L18" s="126">
        <f>Dataserier!BD17</f>
        <v>8.1000000000000014</v>
      </c>
      <c r="M18" s="126">
        <f>Dataserier!BE17</f>
        <v>-52.318746000000026</v>
      </c>
      <c r="N18" s="126">
        <f>Dataserier!BF17</f>
        <v>-60.418746000000027</v>
      </c>
      <c r="O18" s="126">
        <f>Dataserier!BH17</f>
        <v>3.3620000000000001</v>
      </c>
      <c r="P18" s="126">
        <f>Dataserier!BI17</f>
        <v>-24.397790599758043</v>
      </c>
      <c r="Q18" s="126">
        <f>Dataserier!BJ17</f>
        <v>-27.759790599758041</v>
      </c>
      <c r="R18" s="126">
        <f>Dataserier!BL17</f>
        <v>-15.589999999999998</v>
      </c>
      <c r="S18" s="126">
        <f>Dataserier!BM17</f>
        <v>-75.584099999999992</v>
      </c>
      <c r="T18" s="126">
        <f>Dataserier!BN17</f>
        <v>-59.994099999999996</v>
      </c>
      <c r="U18" s="126">
        <f>Dataserier!BP17</f>
        <v>13.3</v>
      </c>
      <c r="V18" s="126">
        <f>Dataserier!BQ17</f>
        <v>-66.538400000000024</v>
      </c>
      <c r="W18" s="126">
        <f>Dataserier!BR17</f>
        <v>-79.838400000000021</v>
      </c>
      <c r="X18" s="126">
        <f>Dataserier!BT17</f>
        <v>-28.92</v>
      </c>
      <c r="Y18" s="126">
        <f>Dataserier!BU17</f>
        <v>-287.81556999999992</v>
      </c>
      <c r="Z18" s="126">
        <f>Dataserier!BV17</f>
        <v>-258.89556999999991</v>
      </c>
      <c r="AB18" s="126">
        <f t="shared" si="1"/>
        <v>-4.1580000000000013</v>
      </c>
      <c r="AC18" s="126">
        <f t="shared" si="2"/>
        <v>-431.070506599758</v>
      </c>
      <c r="AD18" s="126">
        <f t="shared" si="3"/>
        <v>-426.91250659975799</v>
      </c>
    </row>
    <row r="19" spans="1:30" x14ac:dyDescent="0.2">
      <c r="A19" s="128">
        <v>38153</v>
      </c>
      <c r="B19" s="157">
        <v>-20.896000000000001</v>
      </c>
      <c r="C19" s="119">
        <f>Dataserier!H18</f>
        <v>0.72099999999999997</v>
      </c>
      <c r="D19" s="119">
        <f>Dataserier!M18</f>
        <v>-8.5499999999999989</v>
      </c>
      <c r="E19" s="119">
        <f>Dataserier!Q18</f>
        <v>-2.3250000000000002</v>
      </c>
      <c r="F19" s="119">
        <f>Dataserier!U18</f>
        <v>34.950000000000003</v>
      </c>
      <c r="G19" s="119">
        <f>Dataserier!Y18</f>
        <v>-14.98</v>
      </c>
      <c r="H19" s="119">
        <f>Dataserier!AC18</f>
        <v>27.940000000000008</v>
      </c>
      <c r="I19" s="119">
        <f t="shared" si="0"/>
        <v>37.035000000000011</v>
      </c>
      <c r="L19" s="126">
        <f>Dataserier!BD18</f>
        <v>8.5499999999999989</v>
      </c>
      <c r="M19" s="126">
        <f>Dataserier!BE18</f>
        <v>-51.482631000000026</v>
      </c>
      <c r="N19" s="126">
        <f>Dataserier!BF18</f>
        <v>-60.032631000000023</v>
      </c>
      <c r="O19" s="126">
        <f>Dataserier!BH18</f>
        <v>2.3250000000000002</v>
      </c>
      <c r="P19" s="126">
        <f>Dataserier!BI18</f>
        <v>-24.263535882939362</v>
      </c>
      <c r="Q19" s="126">
        <f>Dataserier!BJ18</f>
        <v>-26.588535882939361</v>
      </c>
      <c r="R19" s="126">
        <f>Dataserier!BL18</f>
        <v>-34.950000000000003</v>
      </c>
      <c r="S19" s="126">
        <f>Dataserier!BM18</f>
        <v>-74.386399999999981</v>
      </c>
      <c r="T19" s="126">
        <f>Dataserier!BN18</f>
        <v>-39.436399999999978</v>
      </c>
      <c r="U19" s="126">
        <f>Dataserier!BP18</f>
        <v>14.98</v>
      </c>
      <c r="V19" s="126">
        <f>Dataserier!BQ18</f>
        <v>-65.63330000000002</v>
      </c>
      <c r="W19" s="126">
        <f>Dataserier!BR18</f>
        <v>-80.613300000000024</v>
      </c>
      <c r="X19" s="126">
        <f>Dataserier!BT18</f>
        <v>-27.940000000000008</v>
      </c>
      <c r="Y19" s="126">
        <f>Dataserier!BU18</f>
        <v>-283.25732999999991</v>
      </c>
      <c r="Z19" s="126">
        <f>Dataserier!BV18</f>
        <v>-255.31732999999991</v>
      </c>
      <c r="AB19" s="126">
        <f t="shared" si="1"/>
        <v>-2.085000000000008</v>
      </c>
      <c r="AC19" s="126">
        <f t="shared" si="2"/>
        <v>-424.63679688293934</v>
      </c>
      <c r="AD19" s="126">
        <f t="shared" si="3"/>
        <v>-422.55179688293936</v>
      </c>
    </row>
    <row r="20" spans="1:30" x14ac:dyDescent="0.2">
      <c r="A20" s="128">
        <v>38183</v>
      </c>
      <c r="B20" s="157">
        <v>-18.954000000000001</v>
      </c>
      <c r="C20" s="119">
        <f>Dataserier!H19</f>
        <v>0.72099999999999997</v>
      </c>
      <c r="D20" s="119">
        <f>Dataserier!M19</f>
        <v>-8.6</v>
      </c>
      <c r="E20" s="119">
        <f>Dataserier!Q19</f>
        <v>-2.4649999999999999</v>
      </c>
      <c r="F20" s="119">
        <f>Dataserier!U19</f>
        <v>27.61</v>
      </c>
      <c r="G20" s="119">
        <f>Dataserier!Y19</f>
        <v>-13.35</v>
      </c>
      <c r="H20" s="119">
        <f>Dataserier!AC19</f>
        <v>34.270000000000003</v>
      </c>
      <c r="I20" s="119">
        <f t="shared" si="0"/>
        <v>37.465000000000003</v>
      </c>
      <c r="L20" s="126">
        <f>Dataserier!BD19</f>
        <v>8.6</v>
      </c>
      <c r="M20" s="126">
        <f>Dataserier!BE19</f>
        <v>-51.065433000000027</v>
      </c>
      <c r="N20" s="126">
        <f>Dataserier!BF19</f>
        <v>-59.665433000000029</v>
      </c>
      <c r="O20" s="126">
        <f>Dataserier!BH19</f>
        <v>2.4649999999999999</v>
      </c>
      <c r="P20" s="126">
        <f>Dataserier!BI19</f>
        <v>-24.119773674939196</v>
      </c>
      <c r="Q20" s="126">
        <f>Dataserier!BJ19</f>
        <v>-26.584773674939196</v>
      </c>
      <c r="R20" s="126">
        <f>Dataserier!BL19</f>
        <v>-27.61</v>
      </c>
      <c r="S20" s="126">
        <f>Dataserier!BM19</f>
        <v>-78.399999999999991</v>
      </c>
      <c r="T20" s="126">
        <f>Dataserier!BN19</f>
        <v>-50.789999999999992</v>
      </c>
      <c r="U20" s="126">
        <f>Dataserier!BP19</f>
        <v>13.35</v>
      </c>
      <c r="V20" s="126">
        <f>Dataserier!BQ19</f>
        <v>-65.379000000000019</v>
      </c>
      <c r="W20" s="126">
        <f>Dataserier!BR19</f>
        <v>-78.729000000000013</v>
      </c>
      <c r="X20" s="126">
        <f>Dataserier!BT19</f>
        <v>-34.270000000000003</v>
      </c>
      <c r="Y20" s="126">
        <f>Dataserier!BU19</f>
        <v>-279.71517999999992</v>
      </c>
      <c r="Z20" s="126">
        <f>Dataserier!BV19</f>
        <v>-245.44517999999991</v>
      </c>
      <c r="AB20" s="126">
        <f t="shared" si="1"/>
        <v>-9.855000000000004</v>
      </c>
      <c r="AC20" s="126">
        <f t="shared" si="2"/>
        <v>-420.27938667493913</v>
      </c>
      <c r="AD20" s="126">
        <f t="shared" si="3"/>
        <v>-410.42438667493911</v>
      </c>
    </row>
    <row r="21" spans="1:30" x14ac:dyDescent="0.2">
      <c r="A21" s="128">
        <v>38214</v>
      </c>
      <c r="B21" s="157">
        <v>-3.49</v>
      </c>
      <c r="C21" s="119">
        <f>Dataserier!H20</f>
        <v>0.72099999999999997</v>
      </c>
      <c r="D21" s="119">
        <f>Dataserier!M20</f>
        <v>-8.19</v>
      </c>
      <c r="E21" s="119">
        <f>Dataserier!Q20</f>
        <v>-3.25</v>
      </c>
      <c r="F21" s="119">
        <f>Dataserier!U20</f>
        <v>28.890000000000011</v>
      </c>
      <c r="G21" s="119">
        <f>Dataserier!Y20</f>
        <v>-13.100000000000001</v>
      </c>
      <c r="H21" s="119">
        <f>Dataserier!AC20</f>
        <v>26.619999999999994</v>
      </c>
      <c r="I21" s="119">
        <f t="shared" si="0"/>
        <v>30.970000000000002</v>
      </c>
      <c r="L21" s="126">
        <f>Dataserier!BD20</f>
        <v>8.19</v>
      </c>
      <c r="M21" s="126">
        <f>Dataserier!BE20</f>
        <v>-50.161396000000025</v>
      </c>
      <c r="N21" s="126">
        <f>Dataserier!BF20</f>
        <v>-58.351396000000022</v>
      </c>
      <c r="O21" s="126">
        <f>Dataserier!BH20</f>
        <v>3.25</v>
      </c>
      <c r="P21" s="126">
        <f>Dataserier!BI20</f>
        <v>-24.038790599758041</v>
      </c>
      <c r="Q21" s="126">
        <f>Dataserier!BJ20</f>
        <v>-27.288790599758041</v>
      </c>
      <c r="R21" s="126">
        <f>Dataserier!BL20</f>
        <v>-28.890000000000011</v>
      </c>
      <c r="S21" s="126">
        <f>Dataserier!BM20</f>
        <v>-79.426699999999983</v>
      </c>
      <c r="T21" s="126">
        <f>Dataserier!BN20</f>
        <v>-50.536699999999968</v>
      </c>
      <c r="U21" s="126">
        <f>Dataserier!BP20</f>
        <v>13.100000000000001</v>
      </c>
      <c r="V21" s="126">
        <f>Dataserier!BQ20</f>
        <v>-66.390100000000018</v>
      </c>
      <c r="W21" s="126">
        <f>Dataserier!BR20</f>
        <v>-79.490100000000012</v>
      </c>
      <c r="X21" s="126">
        <f>Dataserier!BT20</f>
        <v>-26.619999999999994</v>
      </c>
      <c r="Y21" s="126">
        <f>Dataserier!BU20</f>
        <v>-277.0561899999999</v>
      </c>
      <c r="Z21" s="126">
        <f>Dataserier!BV20</f>
        <v>-250.4361899999999</v>
      </c>
      <c r="AB21" s="126">
        <f t="shared" si="1"/>
        <v>-2.0799999999999947</v>
      </c>
      <c r="AC21" s="126">
        <f t="shared" si="2"/>
        <v>-417.64647659975799</v>
      </c>
      <c r="AD21" s="126">
        <f t="shared" si="3"/>
        <v>-415.566476599758</v>
      </c>
    </row>
    <row r="22" spans="1:30" x14ac:dyDescent="0.2">
      <c r="A22" s="128">
        <v>38245</v>
      </c>
      <c r="B22" s="157">
        <v>10.535</v>
      </c>
      <c r="C22" s="119">
        <f>Dataserier!H21</f>
        <v>0.72099999999999997</v>
      </c>
      <c r="D22" s="119">
        <f>Dataserier!M21</f>
        <v>-9.6000000000000014</v>
      </c>
      <c r="E22" s="119">
        <f>Dataserier!Q21</f>
        <v>-3.4359999999999999</v>
      </c>
      <c r="F22" s="119">
        <f>Dataserier!U21</f>
        <v>25.66</v>
      </c>
      <c r="G22" s="119">
        <f>Dataserier!Y21</f>
        <v>-10.670000000000002</v>
      </c>
      <c r="H22" s="119">
        <f>Dataserier!AC21</f>
        <v>20.510000000000005</v>
      </c>
      <c r="I22" s="119">
        <f t="shared" si="0"/>
        <v>22.464000000000002</v>
      </c>
      <c r="L22" s="126">
        <f>Dataserier!BD21</f>
        <v>9.6000000000000014</v>
      </c>
      <c r="M22" s="126">
        <f>Dataserier!BE21</f>
        <v>-48.924514000000023</v>
      </c>
      <c r="N22" s="126">
        <f>Dataserier!BF21</f>
        <v>-58.524514000000025</v>
      </c>
      <c r="O22" s="126">
        <f>Dataserier!BH21</f>
        <v>3.4359999999999999</v>
      </c>
      <c r="P22" s="126">
        <f>Dataserier!BI21</f>
        <v>-24.051814325419517</v>
      </c>
      <c r="Q22" s="126">
        <f>Dataserier!BJ21</f>
        <v>-27.487814325419517</v>
      </c>
      <c r="R22" s="126">
        <f>Dataserier!BL21</f>
        <v>-25.66</v>
      </c>
      <c r="S22" s="126">
        <f>Dataserier!BM21</f>
        <v>-79.826599999999985</v>
      </c>
      <c r="T22" s="126">
        <f>Dataserier!BN21</f>
        <v>-54.166599999999988</v>
      </c>
      <c r="U22" s="126">
        <f>Dataserier!BP21</f>
        <v>10.670000000000002</v>
      </c>
      <c r="V22" s="126">
        <f>Dataserier!BQ21</f>
        <v>-66.057200000000023</v>
      </c>
      <c r="W22" s="126">
        <f>Dataserier!BR21</f>
        <v>-76.727200000000025</v>
      </c>
      <c r="X22" s="126">
        <f>Dataserier!BT21</f>
        <v>-20.510000000000005</v>
      </c>
      <c r="Y22" s="126">
        <f>Dataserier!BU21</f>
        <v>-272.2321199999999</v>
      </c>
      <c r="Z22" s="126">
        <f>Dataserier!BV21</f>
        <v>-251.7221199999999</v>
      </c>
      <c r="AB22" s="126">
        <f t="shared" si="1"/>
        <v>3.195999999999998</v>
      </c>
      <c r="AC22" s="126">
        <f t="shared" si="2"/>
        <v>-411.26564832541948</v>
      </c>
      <c r="AD22" s="126">
        <f t="shared" si="3"/>
        <v>-414.46164832541945</v>
      </c>
    </row>
    <row r="23" spans="1:30" x14ac:dyDescent="0.2">
      <c r="A23" s="128">
        <v>38275</v>
      </c>
      <c r="B23" s="157">
        <v>-12.204000000000001</v>
      </c>
      <c r="C23" s="119">
        <f>Dataserier!H22</f>
        <v>0.72</v>
      </c>
      <c r="D23" s="119">
        <f>Dataserier!M22</f>
        <v>-8.83</v>
      </c>
      <c r="E23" s="119">
        <f>Dataserier!Q22</f>
        <v>-5.03</v>
      </c>
      <c r="F23" s="119">
        <f>Dataserier!U22</f>
        <v>17.350000000000001</v>
      </c>
      <c r="G23" s="119">
        <f>Dataserier!Y22</f>
        <v>-11.91</v>
      </c>
      <c r="H23" s="119">
        <f>Dataserier!AC22</f>
        <v>48.09</v>
      </c>
      <c r="I23" s="119">
        <f t="shared" si="0"/>
        <v>39.67</v>
      </c>
      <c r="L23" s="126">
        <f>Dataserier!BD22</f>
        <v>8.83</v>
      </c>
      <c r="M23" s="126">
        <f>Dataserier!BE22</f>
        <v>-47.673236000000024</v>
      </c>
      <c r="N23" s="126">
        <f>Dataserier!BF22</f>
        <v>-56.503236000000022</v>
      </c>
      <c r="O23" s="126">
        <f>Dataserier!BH22</f>
        <v>5.03</v>
      </c>
      <c r="P23" s="126">
        <f>Dataserier!BI22</f>
        <v>-24.025836696039761</v>
      </c>
      <c r="Q23" s="126">
        <f>Dataserier!BJ22</f>
        <v>-29.055836696039762</v>
      </c>
      <c r="R23" s="126">
        <f>Dataserier!BL22</f>
        <v>-17.350000000000001</v>
      </c>
      <c r="S23" s="126">
        <f>Dataserier!BM22</f>
        <v>-80.397599999999983</v>
      </c>
      <c r="T23" s="126">
        <f>Dataserier!BN22</f>
        <v>-63.047599999999981</v>
      </c>
      <c r="U23" s="126">
        <f>Dataserier!BP22</f>
        <v>11.91</v>
      </c>
      <c r="V23" s="126">
        <f>Dataserier!BQ22</f>
        <v>-65.158000000000015</v>
      </c>
      <c r="W23" s="126">
        <f>Dataserier!BR22</f>
        <v>-77.068000000000012</v>
      </c>
      <c r="X23" s="126">
        <f>Dataserier!BT22</f>
        <v>-48.09</v>
      </c>
      <c r="Y23" s="126">
        <f>Dataserier!BU22</f>
        <v>-268.89853999999991</v>
      </c>
      <c r="Z23" s="126">
        <f>Dataserier!BV22</f>
        <v>-220.80853999999991</v>
      </c>
      <c r="AB23" s="126">
        <f t="shared" si="1"/>
        <v>-22.320000000000004</v>
      </c>
      <c r="AC23" s="126">
        <f t="shared" si="2"/>
        <v>-405.75561269603975</v>
      </c>
      <c r="AD23" s="126">
        <f t="shared" si="3"/>
        <v>-383.43561269603975</v>
      </c>
    </row>
    <row r="24" spans="1:30" x14ac:dyDescent="0.2">
      <c r="A24" s="128">
        <v>38306</v>
      </c>
      <c r="B24" s="157">
        <v>-1.712</v>
      </c>
      <c r="C24" s="119">
        <f>Dataserier!H23</f>
        <v>0.71599999999999997</v>
      </c>
      <c r="D24" s="119">
        <f>Dataserier!M23</f>
        <v>-9.92</v>
      </c>
      <c r="E24" s="119">
        <f>Dataserier!Q23</f>
        <v>-2.597</v>
      </c>
      <c r="F24" s="119">
        <f>Dataserier!U23</f>
        <v>19.019999999999996</v>
      </c>
      <c r="G24" s="119">
        <f>Dataserier!Y23</f>
        <v>-12.92</v>
      </c>
      <c r="H24" s="119">
        <f>Dataserier!AC23</f>
        <v>34.949999999999996</v>
      </c>
      <c r="I24" s="119">
        <f t="shared" si="0"/>
        <v>28.532999999999994</v>
      </c>
      <c r="L24" s="126">
        <f>Dataserier!BD23</f>
        <v>9.92</v>
      </c>
      <c r="M24" s="126">
        <f>Dataserier!BE23</f>
        <v>-46.464039000000028</v>
      </c>
      <c r="N24" s="126">
        <f>Dataserier!BF23</f>
        <v>-56.38403900000003</v>
      </c>
      <c r="O24" s="126">
        <f>Dataserier!BH23</f>
        <v>2.597</v>
      </c>
      <c r="P24" s="126">
        <f>Dataserier!BI23</f>
        <v>-23.786790599758042</v>
      </c>
      <c r="Q24" s="126">
        <f>Dataserier!BJ23</f>
        <v>-26.383790599758044</v>
      </c>
      <c r="R24" s="126">
        <f>Dataserier!BL23</f>
        <v>-19.019999999999996</v>
      </c>
      <c r="S24" s="126">
        <f>Dataserier!BM23</f>
        <v>-78.887899999999988</v>
      </c>
      <c r="T24" s="126">
        <f>Dataserier!BN23</f>
        <v>-59.867899999999992</v>
      </c>
      <c r="U24" s="126">
        <f>Dataserier!BP23</f>
        <v>12.92</v>
      </c>
      <c r="V24" s="126">
        <f>Dataserier!BQ23</f>
        <v>-63.19680000000001</v>
      </c>
      <c r="W24" s="126">
        <f>Dataserier!BR23</f>
        <v>-76.116800000000012</v>
      </c>
      <c r="X24" s="126">
        <f>Dataserier!BT23</f>
        <v>-34.949999999999996</v>
      </c>
      <c r="Y24" s="126">
        <f>Dataserier!BU23</f>
        <v>-266.23032999999992</v>
      </c>
      <c r="Z24" s="126">
        <f>Dataserier!BV23</f>
        <v>-231.28032999999994</v>
      </c>
      <c r="AB24" s="126">
        <f t="shared" si="1"/>
        <v>-9.5129999999999981</v>
      </c>
      <c r="AC24" s="126">
        <f t="shared" si="2"/>
        <v>-399.67795959975803</v>
      </c>
      <c r="AD24" s="126">
        <f t="shared" si="3"/>
        <v>-390.16495959975805</v>
      </c>
    </row>
    <row r="25" spans="1:30" x14ac:dyDescent="0.2">
      <c r="A25" s="128">
        <v>38336</v>
      </c>
      <c r="B25" s="157">
        <v>7.851</v>
      </c>
      <c r="C25" s="119">
        <f>Dataserier!H24</f>
        <v>0.71699999999999997</v>
      </c>
      <c r="D25" s="119">
        <f>Dataserier!M24</f>
        <v>-6.7200000000000006</v>
      </c>
      <c r="E25" s="119">
        <f>Dataserier!Q24</f>
        <v>-6.1680000000000001</v>
      </c>
      <c r="F25" s="119">
        <f>Dataserier!U24</f>
        <v>8.4499999999999993</v>
      </c>
      <c r="G25" s="119">
        <f>Dataserier!Y24</f>
        <v>-5.49</v>
      </c>
      <c r="H25" s="119">
        <f>Dataserier!AC24</f>
        <v>31.91</v>
      </c>
      <c r="I25" s="119">
        <f t="shared" si="0"/>
        <v>21.981999999999999</v>
      </c>
      <c r="L25" s="126">
        <f>Dataserier!BD24</f>
        <v>6.7200000000000006</v>
      </c>
      <c r="M25" s="126">
        <f>Dataserier!BE24</f>
        <v>-44.996378000000021</v>
      </c>
      <c r="N25" s="126">
        <f>Dataserier!BF24</f>
        <v>-51.71637800000002</v>
      </c>
      <c r="O25" s="126">
        <f>Dataserier!BH24</f>
        <v>6.1680000000000001</v>
      </c>
      <c r="P25" s="126">
        <f>Dataserier!BI24</f>
        <v>-23.224580043560451</v>
      </c>
      <c r="Q25" s="126">
        <f>Dataserier!BJ24</f>
        <v>-29.39258004356045</v>
      </c>
      <c r="R25" s="126">
        <f>Dataserier!BL24</f>
        <v>-8.4499999999999993</v>
      </c>
      <c r="S25" s="126">
        <f>Dataserier!BM24</f>
        <v>-77.20989999999999</v>
      </c>
      <c r="T25" s="126">
        <f>Dataserier!BN24</f>
        <v>-68.759899999999988</v>
      </c>
      <c r="U25" s="126">
        <f>Dataserier!BP24</f>
        <v>5.49</v>
      </c>
      <c r="V25" s="126">
        <f>Dataserier!BQ24</f>
        <v>-61.354400000000012</v>
      </c>
      <c r="W25" s="126">
        <f>Dataserier!BR24</f>
        <v>-66.844400000000007</v>
      </c>
      <c r="X25" s="126">
        <f>Dataserier!BT24</f>
        <v>-31.91</v>
      </c>
      <c r="Y25" s="126">
        <f>Dataserier!BU24</f>
        <v>-261.50840999999991</v>
      </c>
      <c r="Z25" s="126">
        <f>Dataserier!BV24</f>
        <v>-229.59840999999992</v>
      </c>
      <c r="AB25" s="126">
        <f t="shared" si="1"/>
        <v>-13.532</v>
      </c>
      <c r="AC25" s="126">
        <f t="shared" si="2"/>
        <v>-391.08376804356038</v>
      </c>
      <c r="AD25" s="126">
        <f t="shared" si="3"/>
        <v>-377.5517680435604</v>
      </c>
    </row>
    <row r="26" spans="1:30" x14ac:dyDescent="0.2">
      <c r="A26" s="128">
        <v>38367</v>
      </c>
      <c r="B26" s="157">
        <v>7.3819999999999997</v>
      </c>
      <c r="C26" s="119">
        <f>Dataserier!H25</f>
        <v>0.71699999999999997</v>
      </c>
      <c r="D26" s="119">
        <f>Dataserier!M25</f>
        <v>-10.75</v>
      </c>
      <c r="E26" s="119">
        <f>Dataserier!Q25</f>
        <v>-3.0680000000000001</v>
      </c>
      <c r="F26" s="119">
        <f>Dataserier!U25</f>
        <v>31.54999999999999</v>
      </c>
      <c r="G26" s="119">
        <f>Dataserier!Y25</f>
        <v>-13.160000000000002</v>
      </c>
      <c r="H26" s="119">
        <f>Dataserier!AC25</f>
        <v>29.560000000000009</v>
      </c>
      <c r="I26" s="119">
        <f t="shared" si="0"/>
        <v>34.131999999999998</v>
      </c>
      <c r="L26" s="126">
        <f>Dataserier!BD25</f>
        <v>10.75</v>
      </c>
      <c r="M26" s="126">
        <f>Dataserier!BE25</f>
        <v>-43.570129000000023</v>
      </c>
      <c r="N26" s="126">
        <f>Dataserier!BF25</f>
        <v>-54.320129000000023</v>
      </c>
      <c r="O26" s="126">
        <f>Dataserier!BH25</f>
        <v>3.0680000000000001</v>
      </c>
      <c r="P26" s="126">
        <f>Dataserier!BI25</f>
        <v>-22.484993509820377</v>
      </c>
      <c r="Q26" s="126">
        <f>Dataserier!BJ25</f>
        <v>-25.552993509820379</v>
      </c>
      <c r="R26" s="126">
        <f>Dataserier!BL25</f>
        <v>-31.54999999999999</v>
      </c>
      <c r="S26" s="126">
        <f>Dataserier!BM25</f>
        <v>-73.86869999999999</v>
      </c>
      <c r="T26" s="126">
        <f>Dataserier!BN25</f>
        <v>-42.3187</v>
      </c>
      <c r="U26" s="126">
        <f>Dataserier!BP25</f>
        <v>13.160000000000002</v>
      </c>
      <c r="V26" s="126">
        <f>Dataserier!BQ25</f>
        <v>-59.527400000000014</v>
      </c>
      <c r="W26" s="126">
        <f>Dataserier!BR25</f>
        <v>-72.687400000000011</v>
      </c>
      <c r="X26" s="126">
        <f>Dataserier!BT25</f>
        <v>-29.560000000000009</v>
      </c>
      <c r="Y26" s="126">
        <f>Dataserier!BU25</f>
        <v>-254.4405799999999</v>
      </c>
      <c r="Z26" s="126">
        <f>Dataserier!BV25</f>
        <v>-224.8805799999999</v>
      </c>
      <c r="AB26" s="126">
        <f t="shared" si="1"/>
        <v>-2.5820000000000078</v>
      </c>
      <c r="AC26" s="126">
        <f t="shared" si="2"/>
        <v>-380.02310250982032</v>
      </c>
      <c r="AD26" s="126">
        <f t="shared" si="3"/>
        <v>-377.44110250982033</v>
      </c>
    </row>
    <row r="27" spans="1:30" x14ac:dyDescent="0.2">
      <c r="A27" s="128">
        <v>38398</v>
      </c>
      <c r="B27" s="157">
        <v>-11.135999999999999</v>
      </c>
      <c r="C27" s="119">
        <f>Dataserier!H26</f>
        <v>0.71699999999999997</v>
      </c>
      <c r="D27" s="119">
        <f>Dataserier!M26</f>
        <v>-12.91</v>
      </c>
      <c r="E27" s="119">
        <f>Dataserier!Q26</f>
        <v>-2.12</v>
      </c>
      <c r="F27" s="119">
        <f>Dataserier!U26</f>
        <v>43.250000000000007</v>
      </c>
      <c r="G27" s="119">
        <f>Dataserier!Y26</f>
        <v>-14.14</v>
      </c>
      <c r="H27" s="119">
        <f>Dataserier!AC26</f>
        <v>34.759999999999991</v>
      </c>
      <c r="I27" s="119">
        <f t="shared" si="0"/>
        <v>48.839999999999996</v>
      </c>
      <c r="L27" s="126">
        <f>Dataserier!BD26</f>
        <v>12.91</v>
      </c>
      <c r="M27" s="126">
        <f>Dataserier!BE26</f>
        <v>-42.577368000000021</v>
      </c>
      <c r="N27" s="126">
        <f>Dataserier!BF26</f>
        <v>-55.487368000000018</v>
      </c>
      <c r="O27" s="126">
        <f>Dataserier!BH26</f>
        <v>2.12</v>
      </c>
      <c r="P27" s="126">
        <f>Dataserier!BI26</f>
        <v>-21.777790599758042</v>
      </c>
      <c r="Q27" s="126">
        <f>Dataserier!BJ26</f>
        <v>-23.897790599758043</v>
      </c>
      <c r="R27" s="126">
        <f>Dataserier!BL26</f>
        <v>-43.250000000000007</v>
      </c>
      <c r="S27" s="126">
        <f>Dataserier!BM26</f>
        <v>-72.32859999999998</v>
      </c>
      <c r="T27" s="126">
        <f>Dataserier!BN26</f>
        <v>-29.078599999999973</v>
      </c>
      <c r="U27" s="126">
        <f>Dataserier!BP26</f>
        <v>14.14</v>
      </c>
      <c r="V27" s="126">
        <f>Dataserier!BQ26</f>
        <v>-58.384200000000007</v>
      </c>
      <c r="W27" s="126">
        <f>Dataserier!BR26</f>
        <v>-72.524200000000008</v>
      </c>
      <c r="X27" s="126">
        <f>Dataserier!BT26</f>
        <v>-34.759999999999991</v>
      </c>
      <c r="Y27" s="126">
        <f>Dataserier!BU26</f>
        <v>-249.39759999999993</v>
      </c>
      <c r="Z27" s="126">
        <f>Dataserier!BV26</f>
        <v>-214.63759999999994</v>
      </c>
      <c r="AB27" s="126">
        <f t="shared" si="1"/>
        <v>-5.5899999999999892</v>
      </c>
      <c r="AC27" s="126">
        <f t="shared" si="2"/>
        <v>-372.13695859975797</v>
      </c>
      <c r="AD27" s="126">
        <f t="shared" si="3"/>
        <v>-366.546958599758</v>
      </c>
    </row>
    <row r="28" spans="1:30" x14ac:dyDescent="0.2">
      <c r="A28" s="128">
        <v>38426</v>
      </c>
      <c r="B28" s="157">
        <v>12.683</v>
      </c>
      <c r="C28" s="119">
        <f>Dataserier!H27</f>
        <v>0.71599999999999997</v>
      </c>
      <c r="D28" s="119">
        <f>Dataserier!M27</f>
        <v>-12.169999999999998</v>
      </c>
      <c r="E28" s="119">
        <f>Dataserier!Q27</f>
        <v>-4.5919999999999996</v>
      </c>
      <c r="F28" s="119">
        <f>Dataserier!U27</f>
        <v>32.020000000000003</v>
      </c>
      <c r="G28" s="119">
        <f>Dataserier!Y27</f>
        <v>-14.209999999999999</v>
      </c>
      <c r="H28" s="119">
        <f>Dataserier!AC27</f>
        <v>25.180000000000003</v>
      </c>
      <c r="I28" s="119">
        <f t="shared" si="0"/>
        <v>26.228000000000009</v>
      </c>
      <c r="L28" s="126">
        <f>Dataserier!BD27</f>
        <v>12.169999999999998</v>
      </c>
      <c r="M28" s="126">
        <f>Dataserier!BE27</f>
        <v>-41.105262000000025</v>
      </c>
      <c r="N28" s="126">
        <f>Dataserier!BF27</f>
        <v>-53.275262000000026</v>
      </c>
      <c r="O28" s="126">
        <f>Dataserier!BH27</f>
        <v>4.5919999999999996</v>
      </c>
      <c r="P28" s="126">
        <f>Dataserier!BI27</f>
        <v>-21.260127617405455</v>
      </c>
      <c r="Q28" s="126">
        <f>Dataserier!BJ27</f>
        <v>-25.852127617405454</v>
      </c>
      <c r="R28" s="126">
        <f>Dataserier!BL27</f>
        <v>-32.020000000000003</v>
      </c>
      <c r="S28" s="126">
        <f>Dataserier!BM27</f>
        <v>-70.619499999999988</v>
      </c>
      <c r="T28" s="126">
        <f>Dataserier!BN27</f>
        <v>-38.599499999999985</v>
      </c>
      <c r="U28" s="126">
        <f>Dataserier!BP27</f>
        <v>14.209999999999999</v>
      </c>
      <c r="V28" s="126">
        <f>Dataserier!BQ27</f>
        <v>-56.754300000000015</v>
      </c>
      <c r="W28" s="126">
        <f>Dataserier!BR27</f>
        <v>-70.964300000000009</v>
      </c>
      <c r="X28" s="126">
        <f>Dataserier!BT27</f>
        <v>-25.180000000000003</v>
      </c>
      <c r="Y28" s="126">
        <f>Dataserier!BU27</f>
        <v>-243.31295999999992</v>
      </c>
      <c r="Z28" s="126">
        <f>Dataserier!BV27</f>
        <v>-218.13295999999991</v>
      </c>
      <c r="AB28" s="126">
        <f t="shared" si="1"/>
        <v>5.7919999999999909</v>
      </c>
      <c r="AC28" s="126">
        <f t="shared" si="2"/>
        <v>-362.43264961740545</v>
      </c>
      <c r="AD28" s="126">
        <f t="shared" si="3"/>
        <v>-368.22464961740542</v>
      </c>
    </row>
    <row r="29" spans="1:30" x14ac:dyDescent="0.2">
      <c r="A29" s="128">
        <v>38457</v>
      </c>
      <c r="B29" s="157">
        <v>-0.16300000000000001</v>
      </c>
      <c r="C29" s="119">
        <f>Dataserier!H28</f>
        <v>0.71599999999999997</v>
      </c>
      <c r="D29" s="119">
        <f>Dataserier!M28</f>
        <v>-12.5</v>
      </c>
      <c r="E29" s="119">
        <f>Dataserier!Q28</f>
        <v>-3.698</v>
      </c>
      <c r="F29" s="119">
        <f>Dataserier!U28</f>
        <v>36.51</v>
      </c>
      <c r="G29" s="119">
        <f>Dataserier!Y28</f>
        <v>-10.96</v>
      </c>
      <c r="H29" s="119">
        <f>Dataserier!AC28</f>
        <v>24.159999999999997</v>
      </c>
      <c r="I29" s="119">
        <f t="shared" si="0"/>
        <v>33.511999999999993</v>
      </c>
      <c r="L29" s="126">
        <f>Dataserier!BD28</f>
        <v>12.5</v>
      </c>
      <c r="M29" s="126">
        <f>Dataserier!BE28</f>
        <v>-39.597953000000025</v>
      </c>
      <c r="N29" s="126">
        <f>Dataserier!BF28</f>
        <v>-52.097953000000025</v>
      </c>
      <c r="O29" s="126">
        <f>Dataserier!BH28</f>
        <v>3.698</v>
      </c>
      <c r="P29" s="126">
        <f>Dataserier!BI28</f>
        <v>-20.878747678041801</v>
      </c>
      <c r="Q29" s="126">
        <f>Dataserier!BJ28</f>
        <v>-24.576747678041801</v>
      </c>
      <c r="R29" s="126">
        <f>Dataserier!BL28</f>
        <v>-36.51</v>
      </c>
      <c r="S29" s="126">
        <f>Dataserier!BM28</f>
        <v>-68.098599999999976</v>
      </c>
      <c r="T29" s="126">
        <f>Dataserier!BN28</f>
        <v>-31.588599999999978</v>
      </c>
      <c r="U29" s="126">
        <f>Dataserier!BP28</f>
        <v>10.96</v>
      </c>
      <c r="V29" s="126">
        <f>Dataserier!BQ28</f>
        <v>-54.889500000000012</v>
      </c>
      <c r="W29" s="126">
        <f>Dataserier!BR28</f>
        <v>-65.849500000000006</v>
      </c>
      <c r="X29" s="126">
        <f>Dataserier!BT28</f>
        <v>-24.159999999999997</v>
      </c>
      <c r="Y29" s="126">
        <f>Dataserier!BU28</f>
        <v>-238.09210999999993</v>
      </c>
      <c r="Z29" s="126">
        <f>Dataserier!BV28</f>
        <v>-213.93210999999994</v>
      </c>
      <c r="AB29" s="126">
        <f t="shared" si="1"/>
        <v>2.9980000000000047</v>
      </c>
      <c r="AC29" s="126">
        <f t="shared" si="2"/>
        <v>-353.45831067804176</v>
      </c>
      <c r="AD29" s="126">
        <f t="shared" si="3"/>
        <v>-356.45631067804175</v>
      </c>
    </row>
    <row r="30" spans="1:30" x14ac:dyDescent="0.2">
      <c r="A30" s="128">
        <v>38487</v>
      </c>
      <c r="B30" s="157">
        <v>16.507000000000001</v>
      </c>
      <c r="C30" s="119">
        <f>Dataserier!H29</f>
        <v>0.71699999999999997</v>
      </c>
      <c r="D30" s="119">
        <f>Dataserier!M29</f>
        <v>-12.41</v>
      </c>
      <c r="E30" s="119">
        <f>Dataserier!Q29</f>
        <v>-3.8650000000000002</v>
      </c>
      <c r="F30" s="119">
        <f>Dataserier!U29</f>
        <v>20.870000000000005</v>
      </c>
      <c r="G30" s="119">
        <f>Dataserier!Y29</f>
        <v>-12.450000000000001</v>
      </c>
      <c r="H30" s="119">
        <f>Dataserier!AC29</f>
        <v>17.57</v>
      </c>
      <c r="I30" s="119">
        <f t="shared" si="0"/>
        <v>9.7150000000000052</v>
      </c>
      <c r="L30" s="126">
        <f>Dataserier!BD29</f>
        <v>12.41</v>
      </c>
      <c r="M30" s="126">
        <f>Dataserier!BE29</f>
        <v>-38.004529000000026</v>
      </c>
      <c r="N30" s="126">
        <f>Dataserier!BF29</f>
        <v>-50.41452900000003</v>
      </c>
      <c r="O30" s="126">
        <f>Dataserier!BH29</f>
        <v>3.8650000000000002</v>
      </c>
      <c r="P30" s="126">
        <f>Dataserier!BI29</f>
        <v>-20.527790599758042</v>
      </c>
      <c r="Q30" s="126">
        <f>Dataserier!BJ29</f>
        <v>-24.392790599758044</v>
      </c>
      <c r="R30" s="126">
        <f>Dataserier!BL29</f>
        <v>-20.870000000000005</v>
      </c>
      <c r="S30" s="126">
        <f>Dataserier!BM29</f>
        <v>-67.687399999999982</v>
      </c>
      <c r="T30" s="126">
        <f>Dataserier!BN29</f>
        <v>-46.817399999999978</v>
      </c>
      <c r="U30" s="126">
        <f>Dataserier!BP29</f>
        <v>12.450000000000001</v>
      </c>
      <c r="V30" s="126">
        <f>Dataserier!BQ29</f>
        <v>-54.080400000000012</v>
      </c>
      <c r="W30" s="126">
        <f>Dataserier!BR29</f>
        <v>-66.530400000000014</v>
      </c>
      <c r="X30" s="126">
        <f>Dataserier!BT29</f>
        <v>-17.57</v>
      </c>
      <c r="Y30" s="126">
        <f>Dataserier!BU29</f>
        <v>-233.01890999999992</v>
      </c>
      <c r="Z30" s="126">
        <f>Dataserier!BV29</f>
        <v>-215.44890999999993</v>
      </c>
      <c r="AB30" s="126">
        <f t="shared" si="1"/>
        <v>11.155000000000001</v>
      </c>
      <c r="AC30" s="126">
        <f t="shared" si="2"/>
        <v>-345.63162959975801</v>
      </c>
      <c r="AD30" s="126">
        <f t="shared" si="3"/>
        <v>-356.78662959975804</v>
      </c>
    </row>
    <row r="31" spans="1:30" x14ac:dyDescent="0.2">
      <c r="A31" s="128">
        <v>38518</v>
      </c>
      <c r="B31" s="157">
        <v>-2.8039999999999998</v>
      </c>
      <c r="C31" s="119">
        <f>Dataserier!H30</f>
        <v>0.71699999999999997</v>
      </c>
      <c r="D31" s="119">
        <f>Dataserier!M30</f>
        <v>-12.4</v>
      </c>
      <c r="E31" s="119">
        <f>Dataserier!Q30</f>
        <v>-5.6760000000000002</v>
      </c>
      <c r="F31" s="119">
        <f>Dataserier!U30</f>
        <v>49.840000000000011</v>
      </c>
      <c r="G31" s="119">
        <f>Dataserier!Y30</f>
        <v>-9.7900000000000009</v>
      </c>
      <c r="H31" s="119">
        <f>Dataserier!AC30</f>
        <v>21.989999999999995</v>
      </c>
      <c r="I31" s="119">
        <f t="shared" si="0"/>
        <v>43.964000000000006</v>
      </c>
      <c r="L31" s="126">
        <f>Dataserier!BD30</f>
        <v>12.4</v>
      </c>
      <c r="M31" s="126">
        <f>Dataserier!BE30</f>
        <v>-36.754316000000024</v>
      </c>
      <c r="N31" s="126">
        <f>Dataserier!BF30</f>
        <v>-49.154316000000023</v>
      </c>
      <c r="O31" s="126">
        <f>Dataserier!BH30</f>
        <v>5.6760000000000002</v>
      </c>
      <c r="P31" s="126">
        <f>Dataserier!BI30</f>
        <v>-20.127838270551159</v>
      </c>
      <c r="Q31" s="126">
        <f>Dataserier!BJ30</f>
        <v>-25.803838270551161</v>
      </c>
      <c r="R31" s="126">
        <f>Dataserier!BL30</f>
        <v>-49.840000000000011</v>
      </c>
      <c r="S31" s="126">
        <f>Dataserier!BM30</f>
        <v>-67.306899999999985</v>
      </c>
      <c r="T31" s="126">
        <f>Dataserier!BN30</f>
        <v>-17.466899999999974</v>
      </c>
      <c r="U31" s="126">
        <f>Dataserier!BP30</f>
        <v>9.7900000000000009</v>
      </c>
      <c r="V31" s="126">
        <f>Dataserier!BQ30</f>
        <v>-53.303700000000013</v>
      </c>
      <c r="W31" s="126">
        <f>Dataserier!BR30</f>
        <v>-63.093700000000013</v>
      </c>
      <c r="X31" s="126">
        <f>Dataserier!BT30</f>
        <v>-21.989999999999995</v>
      </c>
      <c r="Y31" s="126">
        <f>Dataserier!BU30</f>
        <v>-226.87081999999992</v>
      </c>
      <c r="Z31" s="126">
        <f>Dataserier!BV30</f>
        <v>-204.88081999999991</v>
      </c>
      <c r="AB31" s="126">
        <f t="shared" si="1"/>
        <v>5.8760000000000048</v>
      </c>
      <c r="AC31" s="126">
        <f t="shared" si="2"/>
        <v>-337.05667427055113</v>
      </c>
      <c r="AD31" s="126">
        <f t="shared" si="3"/>
        <v>-342.93267427055116</v>
      </c>
    </row>
    <row r="32" spans="1:30" x14ac:dyDescent="0.2">
      <c r="A32" s="128">
        <v>38548</v>
      </c>
      <c r="B32" s="157">
        <v>-0.65400000000000003</v>
      </c>
      <c r="C32" s="119">
        <f>Dataserier!H31</f>
        <v>0.71699999999999997</v>
      </c>
      <c r="D32" s="119">
        <f>Dataserier!M31</f>
        <v>-11.830000000000002</v>
      </c>
      <c r="E32" s="119">
        <f>Dataserier!Q31</f>
        <v>-7.0830000000000002</v>
      </c>
      <c r="F32" s="119">
        <f>Dataserier!U31</f>
        <v>44.25</v>
      </c>
      <c r="G32" s="119">
        <f>Dataserier!Y31</f>
        <v>-9.66</v>
      </c>
      <c r="H32" s="119">
        <f>Dataserier!AC31</f>
        <v>15.910000000000005</v>
      </c>
      <c r="I32" s="119">
        <f t="shared" si="0"/>
        <v>31.587000000000003</v>
      </c>
      <c r="L32" s="126">
        <f>Dataserier!BD31</f>
        <v>11.830000000000002</v>
      </c>
      <c r="M32" s="126">
        <f>Dataserier!BE31</f>
        <v>-36.158503000000024</v>
      </c>
      <c r="N32" s="126">
        <f>Dataserier!BF31</f>
        <v>-47.988503000000023</v>
      </c>
      <c r="O32" s="126">
        <f>Dataserier!BH31</f>
        <v>7.0830000000000002</v>
      </c>
      <c r="P32" s="126">
        <f>Dataserier!BI31</f>
        <v>-19.70524085804216</v>
      </c>
      <c r="Q32" s="126">
        <f>Dataserier!BJ31</f>
        <v>-26.788240858042158</v>
      </c>
      <c r="R32" s="126">
        <f>Dataserier!BL31</f>
        <v>-44.25</v>
      </c>
      <c r="S32" s="126">
        <f>Dataserier!BM31</f>
        <v>-70.833699999999979</v>
      </c>
      <c r="T32" s="126">
        <f>Dataserier!BN31</f>
        <v>-26.583699999999979</v>
      </c>
      <c r="U32" s="126">
        <f>Dataserier!BP31</f>
        <v>9.66</v>
      </c>
      <c r="V32" s="126">
        <f>Dataserier!BQ31</f>
        <v>-52.86780000000001</v>
      </c>
      <c r="W32" s="126">
        <f>Dataserier!BR31</f>
        <v>-62.527800000000013</v>
      </c>
      <c r="X32" s="126">
        <f>Dataserier!BT31</f>
        <v>-15.910000000000005</v>
      </c>
      <c r="Y32" s="126">
        <f>Dataserier!BU31</f>
        <v>-222.38002999999992</v>
      </c>
      <c r="Z32" s="126">
        <f>Dataserier!BV31</f>
        <v>-206.47002999999992</v>
      </c>
      <c r="AB32" s="126">
        <f t="shared" si="1"/>
        <v>12.662999999999998</v>
      </c>
      <c r="AC32" s="126">
        <f t="shared" si="2"/>
        <v>-331.11157385804211</v>
      </c>
      <c r="AD32" s="126">
        <f t="shared" si="3"/>
        <v>-343.77457385804212</v>
      </c>
    </row>
    <row r="33" spans="1:30" x14ac:dyDescent="0.2">
      <c r="A33" s="128">
        <v>38579</v>
      </c>
      <c r="B33" s="157">
        <v>19.452000000000002</v>
      </c>
      <c r="C33" s="119">
        <f>Dataserier!H32</f>
        <v>0.71599999999999997</v>
      </c>
      <c r="D33" s="119">
        <f>Dataserier!M32</f>
        <v>-11.24</v>
      </c>
      <c r="E33" s="119">
        <f>Dataserier!Q32</f>
        <v>-7.4720000000000004</v>
      </c>
      <c r="F33" s="119">
        <f>Dataserier!U32</f>
        <v>31.750000000000004</v>
      </c>
      <c r="G33" s="119">
        <f>Dataserier!Y32</f>
        <v>-11.09</v>
      </c>
      <c r="H33" s="119">
        <f>Dataserier!AC32</f>
        <v>10.98999999999999</v>
      </c>
      <c r="I33" s="119">
        <f t="shared" si="0"/>
        <v>12.937999999999994</v>
      </c>
      <c r="L33" s="126">
        <f>Dataserier!BD32</f>
        <v>11.24</v>
      </c>
      <c r="M33" s="126">
        <f>Dataserier!BE32</f>
        <v>-34.899012000000027</v>
      </c>
      <c r="N33" s="126">
        <f>Dataserier!BF32</f>
        <v>-46.139012000000029</v>
      </c>
      <c r="O33" s="126">
        <f>Dataserier!BH32</f>
        <v>7.4720000000000004</v>
      </c>
      <c r="P33" s="126">
        <f>Dataserier!BI32</f>
        <v>-19.312790599758042</v>
      </c>
      <c r="Q33" s="126">
        <f>Dataserier!BJ32</f>
        <v>-26.784790599758043</v>
      </c>
      <c r="R33" s="126">
        <f>Dataserier!BL32</f>
        <v>-31.750000000000004</v>
      </c>
      <c r="S33" s="126">
        <f>Dataserier!BM32</f>
        <v>-69.36539999999998</v>
      </c>
      <c r="T33" s="126">
        <f>Dataserier!BN32</f>
        <v>-37.61539999999998</v>
      </c>
      <c r="U33" s="126">
        <f>Dataserier!BP32</f>
        <v>11.09</v>
      </c>
      <c r="V33" s="126">
        <f>Dataserier!BQ32</f>
        <v>-53.25200000000001</v>
      </c>
      <c r="W33" s="126">
        <f>Dataserier!BR32</f>
        <v>-64.342000000000013</v>
      </c>
      <c r="X33" s="126">
        <f>Dataserier!BT32</f>
        <v>-10.98999999999999</v>
      </c>
      <c r="Y33" s="126">
        <f>Dataserier!BU32</f>
        <v>-217.73921999999993</v>
      </c>
      <c r="Z33" s="126">
        <f>Dataserier!BV32</f>
        <v>-206.74921999999995</v>
      </c>
      <c r="AB33" s="126">
        <f t="shared" si="1"/>
        <v>18.812000000000012</v>
      </c>
      <c r="AC33" s="126">
        <f t="shared" si="2"/>
        <v>-325.20302259975801</v>
      </c>
      <c r="AD33" s="126">
        <f t="shared" si="3"/>
        <v>-344.01502259975803</v>
      </c>
    </row>
    <row r="34" spans="1:30" x14ac:dyDescent="0.2">
      <c r="A34" s="128">
        <v>38610</v>
      </c>
      <c r="B34" s="157">
        <v>6.8029999999999999</v>
      </c>
      <c r="C34" s="119">
        <f>Dataserier!H33</f>
        <v>0.71599999999999997</v>
      </c>
      <c r="D34" s="119">
        <f>Dataserier!M33</f>
        <v>-11.77</v>
      </c>
      <c r="E34" s="119">
        <f>Dataserier!Q33</f>
        <v>-7.81</v>
      </c>
      <c r="F34" s="119">
        <f>Dataserier!U33</f>
        <v>23.82</v>
      </c>
      <c r="G34" s="119">
        <f>Dataserier!Y33</f>
        <v>-6.5500000000000007</v>
      </c>
      <c r="H34" s="119">
        <f>Dataserier!AC33</f>
        <v>21.179999999999996</v>
      </c>
      <c r="I34" s="119">
        <f t="shared" si="0"/>
        <v>18.869999999999997</v>
      </c>
      <c r="L34" s="126">
        <f>Dataserier!BD33</f>
        <v>11.77</v>
      </c>
      <c r="M34" s="126">
        <f>Dataserier!BE33</f>
        <v>-33.585347000000027</v>
      </c>
      <c r="N34" s="126">
        <f>Dataserier!BF33</f>
        <v>-45.355347000000023</v>
      </c>
      <c r="O34" s="126">
        <f>Dataserier!BH33</f>
        <v>7.81</v>
      </c>
      <c r="P34" s="126">
        <f>Dataserier!BI33</f>
        <v>-18.975596232271485</v>
      </c>
      <c r="Q34" s="126">
        <f>Dataserier!BJ33</f>
        <v>-26.785596232271484</v>
      </c>
      <c r="R34" s="126">
        <f>Dataserier!BL33</f>
        <v>-23.82</v>
      </c>
      <c r="S34" s="126">
        <f>Dataserier!BM33</f>
        <v>-68.863999999999976</v>
      </c>
      <c r="T34" s="126">
        <f>Dataserier!BN33</f>
        <v>-45.043999999999976</v>
      </c>
      <c r="U34" s="126">
        <f>Dataserier!BP33</f>
        <v>6.5500000000000007</v>
      </c>
      <c r="V34" s="126">
        <f>Dataserier!BQ33</f>
        <v>-52.634700000000009</v>
      </c>
      <c r="W34" s="126">
        <f>Dataserier!BR33</f>
        <v>-59.184700000000007</v>
      </c>
      <c r="X34" s="126">
        <f>Dataserier!BT33</f>
        <v>-21.179999999999996</v>
      </c>
      <c r="Y34" s="126">
        <f>Dataserier!BU33</f>
        <v>-211.60065999999995</v>
      </c>
      <c r="Z34" s="126">
        <f>Dataserier!BV33</f>
        <v>-190.42065999999994</v>
      </c>
      <c r="AB34" s="126">
        <f t="shared" si="1"/>
        <v>4.9500000000000028</v>
      </c>
      <c r="AC34" s="126">
        <f t="shared" si="2"/>
        <v>-316.7963032322715</v>
      </c>
      <c r="AD34" s="126">
        <f t="shared" si="3"/>
        <v>-321.74630323227149</v>
      </c>
    </row>
    <row r="35" spans="1:30" x14ac:dyDescent="0.2">
      <c r="A35" s="128">
        <v>38640</v>
      </c>
      <c r="B35" s="157">
        <v>14.832000000000001</v>
      </c>
      <c r="C35" s="119">
        <f>Dataserier!H34</f>
        <v>0.71599999999999997</v>
      </c>
      <c r="D35" s="119">
        <f>Dataserier!M34</f>
        <v>-12.850000000000001</v>
      </c>
      <c r="E35" s="119">
        <f>Dataserier!Q34</f>
        <v>-7.27</v>
      </c>
      <c r="F35" s="119">
        <f>Dataserier!U34</f>
        <v>26.150000000000002</v>
      </c>
      <c r="G35" s="119">
        <f>Dataserier!Y34</f>
        <v>-11.42</v>
      </c>
      <c r="H35" s="119">
        <f>Dataserier!AC34</f>
        <v>22.16</v>
      </c>
      <c r="I35" s="119">
        <f t="shared" si="0"/>
        <v>16.770000000000003</v>
      </c>
      <c r="L35" s="126">
        <f>Dataserier!BD34</f>
        <v>12.850000000000001</v>
      </c>
      <c r="M35" s="126">
        <f>Dataserier!BE34</f>
        <v>-32.20831100000003</v>
      </c>
      <c r="N35" s="126">
        <f>Dataserier!BF34</f>
        <v>-45.058311000000032</v>
      </c>
      <c r="O35" s="126">
        <f>Dataserier!BH34</f>
        <v>7.27</v>
      </c>
      <c r="P35" s="126">
        <f>Dataserier!BI34</f>
        <v>-18.608032488337816</v>
      </c>
      <c r="Q35" s="126">
        <f>Dataserier!BJ34</f>
        <v>-25.878032488337816</v>
      </c>
      <c r="R35" s="126">
        <f>Dataserier!BL34</f>
        <v>-26.150000000000002</v>
      </c>
      <c r="S35" s="126">
        <f>Dataserier!BM34</f>
        <v>-68.889399999999981</v>
      </c>
      <c r="T35" s="126">
        <f>Dataserier!BN34</f>
        <v>-42.739399999999975</v>
      </c>
      <c r="U35" s="126">
        <f>Dataserier!BP34</f>
        <v>11.42</v>
      </c>
      <c r="V35" s="126">
        <f>Dataserier!BQ34</f>
        <v>-51.293400000000013</v>
      </c>
      <c r="W35" s="126">
        <f>Dataserier!BR34</f>
        <v>-62.713400000000014</v>
      </c>
      <c r="X35" s="126">
        <f>Dataserier!BT34</f>
        <v>-22.16</v>
      </c>
      <c r="Y35" s="126">
        <f>Dataserier!BU34</f>
        <v>-206.65498999999994</v>
      </c>
      <c r="Z35" s="126">
        <f>Dataserier!BV34</f>
        <v>-184.49498999999994</v>
      </c>
      <c r="AB35" s="126">
        <f t="shared" si="1"/>
        <v>9.379999999999999</v>
      </c>
      <c r="AC35" s="126">
        <f t="shared" si="2"/>
        <v>-308.76473348833781</v>
      </c>
      <c r="AD35" s="126">
        <f t="shared" si="3"/>
        <v>-318.14473348833781</v>
      </c>
    </row>
    <row r="36" spans="1:30" x14ac:dyDescent="0.2">
      <c r="A36" s="128">
        <v>38671</v>
      </c>
      <c r="B36" s="157">
        <v>28.475999999999999</v>
      </c>
      <c r="C36" s="119">
        <f>Dataserier!H35</f>
        <v>0.71699999999999997</v>
      </c>
      <c r="D36" s="119">
        <f>Dataserier!M35</f>
        <v>-11.17</v>
      </c>
      <c r="E36" s="119">
        <f>Dataserier!Q35</f>
        <v>-4.1580000000000004</v>
      </c>
      <c r="F36" s="119">
        <f>Dataserier!U35</f>
        <v>21.289999999999992</v>
      </c>
      <c r="G36" s="119">
        <f>Dataserier!Y35</f>
        <v>-12.370000000000001</v>
      </c>
      <c r="H36" s="119">
        <f>Dataserier!AC35</f>
        <v>17.879999999999992</v>
      </c>
      <c r="I36" s="119">
        <f t="shared" si="0"/>
        <v>11.471999999999984</v>
      </c>
      <c r="L36" s="126">
        <f>Dataserier!BD35</f>
        <v>11.17</v>
      </c>
      <c r="M36" s="126">
        <f>Dataserier!BE35</f>
        <v>-30.649165000000025</v>
      </c>
      <c r="N36" s="126">
        <f>Dataserier!BF35</f>
        <v>-41.819165000000027</v>
      </c>
      <c r="O36" s="126">
        <f>Dataserier!BH35</f>
        <v>4.1580000000000004</v>
      </c>
      <c r="P36" s="126">
        <f>Dataserier!BI35</f>
        <v>-18.096790599758041</v>
      </c>
      <c r="Q36" s="126">
        <f>Dataserier!BJ35</f>
        <v>-22.254790599758042</v>
      </c>
      <c r="R36" s="126">
        <f>Dataserier!BL35</f>
        <v>-21.289999999999992</v>
      </c>
      <c r="S36" s="126">
        <f>Dataserier!BM35</f>
        <v>-67.404299999999978</v>
      </c>
      <c r="T36" s="126">
        <f>Dataserier!BN35</f>
        <v>-46.114299999999986</v>
      </c>
      <c r="U36" s="126">
        <f>Dataserier!BP35</f>
        <v>12.370000000000001</v>
      </c>
      <c r="V36" s="126">
        <f>Dataserier!BQ35</f>
        <v>-49.131800000000013</v>
      </c>
      <c r="W36" s="126">
        <f>Dataserier!BR35</f>
        <v>-61.501800000000017</v>
      </c>
      <c r="X36" s="126">
        <f>Dataserier!BT35</f>
        <v>-17.879999999999992</v>
      </c>
      <c r="Y36" s="126">
        <f>Dataserier!BU35</f>
        <v>-201.77578999999994</v>
      </c>
      <c r="Z36" s="126">
        <f>Dataserier!BV35</f>
        <v>-183.89578999999995</v>
      </c>
      <c r="AB36" s="126">
        <f t="shared" si="1"/>
        <v>9.8180000000000085</v>
      </c>
      <c r="AC36" s="126">
        <f t="shared" si="2"/>
        <v>-299.65354559975799</v>
      </c>
      <c r="AD36" s="126">
        <f t="shared" si="3"/>
        <v>-309.47154559975797</v>
      </c>
    </row>
    <row r="37" spans="1:30" x14ac:dyDescent="0.2">
      <c r="A37" s="128">
        <v>38701</v>
      </c>
      <c r="B37" s="157">
        <v>29.885999999999999</v>
      </c>
      <c r="C37" s="119">
        <f>Dataserier!H36</f>
        <v>0.71599999999999997</v>
      </c>
      <c r="D37" s="119">
        <f>Dataserier!M36</f>
        <v>-10.95</v>
      </c>
      <c r="E37" s="119">
        <f>Dataserier!Q36</f>
        <v>-3.996</v>
      </c>
      <c r="F37" s="119">
        <f>Dataserier!U36</f>
        <v>6.710000000000008</v>
      </c>
      <c r="G37" s="119">
        <f>Dataserier!Y36</f>
        <v>-6.1599999999999984</v>
      </c>
      <c r="H37" s="119">
        <f>Dataserier!AC36</f>
        <v>17.039999999999996</v>
      </c>
      <c r="I37" s="119">
        <f t="shared" si="0"/>
        <v>2.6440000000000055</v>
      </c>
      <c r="L37" s="126">
        <f>Dataserier!BD36</f>
        <v>10.95</v>
      </c>
      <c r="M37" s="126">
        <f>Dataserier!BE36</f>
        <v>-29.071982000000034</v>
      </c>
      <c r="N37" s="126">
        <f>Dataserier!BF36</f>
        <v>-40.021982000000037</v>
      </c>
      <c r="O37" s="126">
        <f>Dataserier!BH36</f>
        <v>3.996</v>
      </c>
      <c r="P37" s="126">
        <f>Dataserier!BI36</f>
        <v>-17.37400188039264</v>
      </c>
      <c r="Q37" s="126">
        <f>Dataserier!BJ36</f>
        <v>-21.370001880392639</v>
      </c>
      <c r="R37" s="126">
        <f>Dataserier!BL36</f>
        <v>-6.710000000000008</v>
      </c>
      <c r="S37" s="126">
        <f>Dataserier!BM36</f>
        <v>-65.682899999999989</v>
      </c>
      <c r="T37" s="126">
        <f>Dataserier!BN36</f>
        <v>-58.972899999999981</v>
      </c>
      <c r="U37" s="126">
        <f>Dataserier!BP36</f>
        <v>6.1599999999999984</v>
      </c>
      <c r="V37" s="126">
        <f>Dataserier!BQ36</f>
        <v>-46.610800000000012</v>
      </c>
      <c r="W37" s="126">
        <f>Dataserier!BR36</f>
        <v>-52.770800000000008</v>
      </c>
      <c r="X37" s="126">
        <f>Dataserier!BT36</f>
        <v>-17.039999999999996</v>
      </c>
      <c r="Y37" s="126">
        <f>Dataserier!BU36</f>
        <v>-194.64872999999994</v>
      </c>
      <c r="Z37" s="126">
        <f>Dataserier!BV36</f>
        <v>-177.60872999999995</v>
      </c>
      <c r="AB37" s="126">
        <f t="shared" si="1"/>
        <v>4.0660000000000025</v>
      </c>
      <c r="AC37" s="126">
        <f t="shared" si="2"/>
        <v>-287.70551388039263</v>
      </c>
      <c r="AD37" s="126">
        <f t="shared" si="3"/>
        <v>-291.7715138803926</v>
      </c>
    </row>
    <row r="38" spans="1:30" x14ac:dyDescent="0.2">
      <c r="A38" s="128">
        <v>38732</v>
      </c>
      <c r="B38" s="157">
        <v>1.5549999999999999</v>
      </c>
      <c r="C38" s="119">
        <f>Dataserier!H37</f>
        <v>0.72099999999999997</v>
      </c>
      <c r="D38" s="119">
        <f>Dataserier!M37</f>
        <v>-13.629999999999999</v>
      </c>
      <c r="E38" s="119">
        <f>Dataserier!Q37</f>
        <v>-2.169</v>
      </c>
      <c r="F38" s="119">
        <f>Dataserier!U37</f>
        <v>35.610000000000014</v>
      </c>
      <c r="G38" s="119">
        <f>Dataserier!Y37</f>
        <v>-10.18</v>
      </c>
      <c r="H38" s="119">
        <f>Dataserier!AC37</f>
        <v>26.810000000000002</v>
      </c>
      <c r="I38" s="119">
        <f t="shared" si="0"/>
        <v>36.441000000000017</v>
      </c>
      <c r="L38" s="126">
        <f>Dataserier!BD37</f>
        <v>13.629999999999999</v>
      </c>
      <c r="M38" s="126">
        <f>Dataserier!BE37</f>
        <v>-27.642321000000031</v>
      </c>
      <c r="N38" s="126">
        <f>Dataserier!BF37</f>
        <v>-41.272321000000034</v>
      </c>
      <c r="O38" s="126">
        <f>Dataserier!BH37</f>
        <v>2.169</v>
      </c>
      <c r="P38" s="126">
        <f>Dataserier!BI37</f>
        <v>-16.553557972340009</v>
      </c>
      <c r="Q38" s="126">
        <f>Dataserier!BJ37</f>
        <v>-18.72255797234001</v>
      </c>
      <c r="R38" s="126">
        <f>Dataserier!BL37</f>
        <v>-35.610000000000014</v>
      </c>
      <c r="S38" s="126">
        <f>Dataserier!BM37</f>
        <v>-61.047499999999985</v>
      </c>
      <c r="T38" s="126">
        <f>Dataserier!BN37</f>
        <v>-25.437499999999972</v>
      </c>
      <c r="U38" s="126">
        <f>Dataserier!BP37</f>
        <v>10.18</v>
      </c>
      <c r="V38" s="126">
        <f>Dataserier!BQ37</f>
        <v>-44.381400000000006</v>
      </c>
      <c r="W38" s="126">
        <f>Dataserier!BR37</f>
        <v>-54.561400000000006</v>
      </c>
      <c r="X38" s="126">
        <f>Dataserier!BT37</f>
        <v>-26.810000000000002</v>
      </c>
      <c r="Y38" s="126">
        <f>Dataserier!BU37</f>
        <v>-188.04351999999994</v>
      </c>
      <c r="Z38" s="126">
        <f>Dataserier!BV37</f>
        <v>-161.23351999999994</v>
      </c>
      <c r="AB38" s="126">
        <f t="shared" si="1"/>
        <v>-0.83100000000000307</v>
      </c>
      <c r="AC38" s="126">
        <f t="shared" si="2"/>
        <v>-276.62079897234003</v>
      </c>
      <c r="AD38" s="126">
        <f t="shared" si="3"/>
        <v>-275.78979897234001</v>
      </c>
    </row>
    <row r="39" spans="1:30" x14ac:dyDescent="0.2">
      <c r="A39" s="128">
        <v>38763</v>
      </c>
      <c r="B39" s="157">
        <v>7.5060000000000002</v>
      </c>
      <c r="C39" s="119">
        <f>Dataserier!H38</f>
        <v>0.71599999999999997</v>
      </c>
      <c r="D39" s="119">
        <f>Dataserier!M38</f>
        <v>-14.46</v>
      </c>
      <c r="E39" s="119">
        <f>Dataserier!Q38</f>
        <v>-1.3180000000000001</v>
      </c>
      <c r="F39" s="119">
        <f>Dataserier!U38</f>
        <v>32.860000000000007</v>
      </c>
      <c r="G39" s="119">
        <f>Dataserier!Y38</f>
        <v>-12.27</v>
      </c>
      <c r="H39" s="119">
        <f>Dataserier!AC38</f>
        <v>25.849999999999998</v>
      </c>
      <c r="I39" s="119">
        <f t="shared" si="0"/>
        <v>30.662000000000006</v>
      </c>
      <c r="L39" s="126">
        <f>Dataserier!BD38</f>
        <v>14.46</v>
      </c>
      <c r="M39" s="126">
        <f>Dataserier!BE38</f>
        <v>-25.888063000000031</v>
      </c>
      <c r="N39" s="126">
        <f>Dataserier!BF38</f>
        <v>-40.348063000000032</v>
      </c>
      <c r="O39" s="126">
        <f>Dataserier!BH38</f>
        <v>1.3180000000000001</v>
      </c>
      <c r="P39" s="126">
        <f>Dataserier!BI38</f>
        <v>-15.794790599758041</v>
      </c>
      <c r="Q39" s="126">
        <f>Dataserier!BJ38</f>
        <v>-17.112790599758043</v>
      </c>
      <c r="R39" s="126">
        <f>Dataserier!BL38</f>
        <v>-32.860000000000007</v>
      </c>
      <c r="S39" s="126">
        <f>Dataserier!BM38</f>
        <v>-57.084199999999981</v>
      </c>
      <c r="T39" s="126">
        <f>Dataserier!BN38</f>
        <v>-24.224199999999975</v>
      </c>
      <c r="U39" s="126">
        <f>Dataserier!BP38</f>
        <v>12.27</v>
      </c>
      <c r="V39" s="126">
        <f>Dataserier!BQ38</f>
        <v>-41.81900000000001</v>
      </c>
      <c r="W39" s="126">
        <f>Dataserier!BR38</f>
        <v>-54.089000000000013</v>
      </c>
      <c r="X39" s="126">
        <f>Dataserier!BT38</f>
        <v>-25.849999999999998</v>
      </c>
      <c r="Y39" s="126">
        <f>Dataserier!BU38</f>
        <v>-179.69887999999997</v>
      </c>
      <c r="Z39" s="126">
        <f>Dataserier!BV38</f>
        <v>-153.84887999999998</v>
      </c>
      <c r="AB39" s="126">
        <f t="shared" si="1"/>
        <v>2.198000000000004</v>
      </c>
      <c r="AC39" s="126">
        <f t="shared" si="2"/>
        <v>-263.20073359975805</v>
      </c>
      <c r="AD39" s="126">
        <f t="shared" si="3"/>
        <v>-265.39873359975803</v>
      </c>
    </row>
    <row r="40" spans="1:30" x14ac:dyDescent="0.2">
      <c r="A40" s="128">
        <v>38791</v>
      </c>
      <c r="B40" s="157">
        <v>2.5990000000000002</v>
      </c>
      <c r="C40" s="119">
        <f>Dataserier!H39</f>
        <v>0.71599999999999997</v>
      </c>
      <c r="D40" s="119">
        <f>Dataserier!M39</f>
        <v>-14.42</v>
      </c>
      <c r="E40" s="119">
        <f>Dataserier!Q39</f>
        <v>-3.444</v>
      </c>
      <c r="F40" s="119">
        <f>Dataserier!U39</f>
        <v>23.46</v>
      </c>
      <c r="G40" s="119">
        <f>Dataserier!Y39</f>
        <v>-9.7499999999999982</v>
      </c>
      <c r="H40" s="119">
        <f>Dataserier!AC39</f>
        <v>26.810000000000002</v>
      </c>
      <c r="I40" s="119">
        <f t="shared" si="0"/>
        <v>22.656000000000006</v>
      </c>
      <c r="L40" s="126">
        <f>Dataserier!BD39</f>
        <v>14.42</v>
      </c>
      <c r="M40" s="126">
        <f>Dataserier!BE39</f>
        <v>-24.30018100000003</v>
      </c>
      <c r="N40" s="126">
        <f>Dataserier!BF39</f>
        <v>-38.720181000000032</v>
      </c>
      <c r="O40" s="126">
        <f>Dataserier!BH39</f>
        <v>3.444</v>
      </c>
      <c r="P40" s="126">
        <f>Dataserier!BI39</f>
        <v>-15.215399103965469</v>
      </c>
      <c r="Q40" s="126">
        <f>Dataserier!BJ39</f>
        <v>-18.65939910396547</v>
      </c>
      <c r="R40" s="126">
        <f>Dataserier!BL39</f>
        <v>-23.46</v>
      </c>
      <c r="S40" s="126">
        <f>Dataserier!BM39</f>
        <v>-53.851299999999981</v>
      </c>
      <c r="T40" s="126">
        <f>Dataserier!BN39</f>
        <v>-30.39129999999998</v>
      </c>
      <c r="U40" s="126">
        <f>Dataserier!BP39</f>
        <v>9.7499999999999982</v>
      </c>
      <c r="V40" s="126">
        <f>Dataserier!BQ39</f>
        <v>-38.500800000000012</v>
      </c>
      <c r="W40" s="126">
        <f>Dataserier!BR39</f>
        <v>-48.250800000000012</v>
      </c>
      <c r="X40" s="126">
        <f>Dataserier!BT39</f>
        <v>-26.810000000000002</v>
      </c>
      <c r="Y40" s="126">
        <f>Dataserier!BU39</f>
        <v>-171.78856999999996</v>
      </c>
      <c r="Z40" s="126">
        <f>Dataserier!BV39</f>
        <v>-144.97856999999996</v>
      </c>
      <c r="AB40" s="126">
        <f t="shared" si="1"/>
        <v>0.80399999999999494</v>
      </c>
      <c r="AC40" s="126">
        <f t="shared" si="2"/>
        <v>-249.80495010396547</v>
      </c>
      <c r="AD40" s="126">
        <f t="shared" si="3"/>
        <v>-250.60895010396547</v>
      </c>
    </row>
    <row r="41" spans="1:30" x14ac:dyDescent="0.2">
      <c r="A41" s="128">
        <v>38822</v>
      </c>
      <c r="B41" s="157">
        <v>-3.339</v>
      </c>
      <c r="C41" s="119">
        <f>Dataserier!H40</f>
        <v>0.71699999999999997</v>
      </c>
      <c r="D41" s="119">
        <f>Dataserier!M40</f>
        <v>-14.21</v>
      </c>
      <c r="E41" s="119">
        <f>Dataserier!Q40</f>
        <v>-4.6550000000000002</v>
      </c>
      <c r="F41" s="119">
        <f>Dataserier!U40</f>
        <v>18.839999999999996</v>
      </c>
      <c r="G41" s="119">
        <f>Dataserier!Y40</f>
        <v>-11.96</v>
      </c>
      <c r="H41" s="119">
        <f>Dataserier!AC40</f>
        <v>30.300000000000008</v>
      </c>
      <c r="I41" s="119">
        <f t="shared" si="0"/>
        <v>18.315000000000001</v>
      </c>
      <c r="L41" s="126">
        <f>Dataserier!BD40</f>
        <v>14.21</v>
      </c>
      <c r="M41" s="126">
        <f>Dataserier!BE40</f>
        <v>-22.702597000000026</v>
      </c>
      <c r="N41" s="126">
        <f>Dataserier!BF40</f>
        <v>-36.912597000000027</v>
      </c>
      <c r="O41" s="126">
        <f>Dataserier!BH40</f>
        <v>4.6550000000000002</v>
      </c>
      <c r="P41" s="126">
        <f>Dataserier!BI40</f>
        <v>-14.766553294924462</v>
      </c>
      <c r="Q41" s="126">
        <f>Dataserier!BJ40</f>
        <v>-19.421553294924461</v>
      </c>
      <c r="R41" s="126">
        <f>Dataserier!BL40</f>
        <v>-18.839999999999996</v>
      </c>
      <c r="S41" s="126">
        <f>Dataserier!BM40</f>
        <v>-51.099599999999981</v>
      </c>
      <c r="T41" s="126">
        <f>Dataserier!BN40</f>
        <v>-32.259599999999985</v>
      </c>
      <c r="U41" s="126">
        <f>Dataserier!BP40</f>
        <v>11.96</v>
      </c>
      <c r="V41" s="126">
        <f>Dataserier!BQ40</f>
        <v>-36.272600000000011</v>
      </c>
      <c r="W41" s="126">
        <f>Dataserier!BR40</f>
        <v>-48.232600000000012</v>
      </c>
      <c r="X41" s="126">
        <f>Dataserier!BT40</f>
        <v>-30.300000000000008</v>
      </c>
      <c r="Y41" s="126">
        <f>Dataserier!BU40</f>
        <v>-164.21983999999995</v>
      </c>
      <c r="Z41" s="126">
        <f>Dataserier!BV40</f>
        <v>-133.91983999999994</v>
      </c>
      <c r="AB41" s="126">
        <f t="shared" si="1"/>
        <v>0.52499999999999503</v>
      </c>
      <c r="AC41" s="126">
        <f t="shared" si="2"/>
        <v>-237.96159029492446</v>
      </c>
      <c r="AD41" s="126">
        <f t="shared" si="3"/>
        <v>-238.48659029492447</v>
      </c>
    </row>
    <row r="42" spans="1:30" x14ac:dyDescent="0.2">
      <c r="A42" s="128">
        <v>38852</v>
      </c>
      <c r="B42" s="157">
        <v>17.004999999999999</v>
      </c>
      <c r="C42" s="119">
        <f>Dataserier!H41</f>
        <v>0.71699999999999997</v>
      </c>
      <c r="D42" s="119">
        <f>Dataserier!M41</f>
        <v>-12.920000000000002</v>
      </c>
      <c r="E42" s="119">
        <f>Dataserier!Q41</f>
        <v>0.50800000000000001</v>
      </c>
      <c r="F42" s="119">
        <f>Dataserier!U41</f>
        <v>13.279999999999994</v>
      </c>
      <c r="G42" s="119">
        <f>Dataserier!Y41</f>
        <v>-11.56</v>
      </c>
      <c r="H42" s="119">
        <f>Dataserier!AC41</f>
        <v>28.070000000000007</v>
      </c>
      <c r="I42" s="119">
        <f t="shared" si="0"/>
        <v>17.378</v>
      </c>
      <c r="L42" s="126">
        <f>Dataserier!BD41</f>
        <v>12.920000000000002</v>
      </c>
      <c r="M42" s="126">
        <f>Dataserier!BE41</f>
        <v>-20.888488000000031</v>
      </c>
      <c r="N42" s="126">
        <f>Dataserier!BF41</f>
        <v>-33.808488000000033</v>
      </c>
      <c r="O42" s="126">
        <f>Dataserier!BH41</f>
        <v>-0.50800000000000001</v>
      </c>
      <c r="P42" s="126">
        <f>Dataserier!BI41</f>
        <v>-14.357790599758042</v>
      </c>
      <c r="Q42" s="126">
        <f>Dataserier!BJ41</f>
        <v>-13.849790599758041</v>
      </c>
      <c r="R42" s="126">
        <f>Dataserier!BL41</f>
        <v>-13.279999999999994</v>
      </c>
      <c r="S42" s="126">
        <f>Dataserier!BM41</f>
        <v>-49.46729999999998</v>
      </c>
      <c r="T42" s="126">
        <f>Dataserier!BN41</f>
        <v>-36.187299999999986</v>
      </c>
      <c r="U42" s="126">
        <f>Dataserier!BP41</f>
        <v>11.56</v>
      </c>
      <c r="V42" s="126">
        <f>Dataserier!BQ41</f>
        <v>-34.317600000000013</v>
      </c>
      <c r="W42" s="126">
        <f>Dataserier!BR41</f>
        <v>-45.877600000000015</v>
      </c>
      <c r="X42" s="126">
        <f>Dataserier!BT41</f>
        <v>-28.070000000000007</v>
      </c>
      <c r="Y42" s="126">
        <f>Dataserier!BU41</f>
        <v>-158.02515999999997</v>
      </c>
      <c r="Z42" s="126">
        <f>Dataserier!BV41</f>
        <v>-129.95515999999998</v>
      </c>
      <c r="AB42" s="126">
        <f t="shared" si="1"/>
        <v>-4.0980000000000061</v>
      </c>
      <c r="AC42" s="126">
        <f t="shared" si="2"/>
        <v>-227.58903859975806</v>
      </c>
      <c r="AD42" s="126">
        <f t="shared" si="3"/>
        <v>-223.49103859975804</v>
      </c>
    </row>
    <row r="43" spans="1:30" x14ac:dyDescent="0.2">
      <c r="A43" s="128">
        <v>38883</v>
      </c>
      <c r="B43" s="157">
        <v>-11.824</v>
      </c>
      <c r="C43" s="119">
        <f>Dataserier!H42</f>
        <v>0.71699999999999997</v>
      </c>
      <c r="D43" s="119">
        <f>Dataserier!M42</f>
        <v>-14.530000000000001</v>
      </c>
      <c r="E43" s="119">
        <f>Dataserier!Q42</f>
        <v>-3.8319999999999999</v>
      </c>
      <c r="F43" s="119">
        <f>Dataserier!U42</f>
        <v>47.519999999999996</v>
      </c>
      <c r="G43" s="119">
        <f>Dataserier!Y42</f>
        <v>-7.0600000000000005</v>
      </c>
      <c r="H43" s="119">
        <f>Dataserier!AC42</f>
        <v>32.22</v>
      </c>
      <c r="I43" s="119">
        <f t="shared" si="0"/>
        <v>54.317999999999991</v>
      </c>
      <c r="L43" s="126">
        <f>Dataserier!BD42</f>
        <v>14.530000000000001</v>
      </c>
      <c r="M43" s="126">
        <f>Dataserier!BE42</f>
        <v>-19.61979300000003</v>
      </c>
      <c r="N43" s="126">
        <f>Dataserier!BF42</f>
        <v>-34.149793000000031</v>
      </c>
      <c r="O43" s="126">
        <f>Dataserier!BH42</f>
        <v>3.8319999999999999</v>
      </c>
      <c r="P43" s="126">
        <f>Dataserier!BI42</f>
        <v>-13.923219376367811</v>
      </c>
      <c r="Q43" s="126">
        <f>Dataserier!BJ42</f>
        <v>-17.755219376367812</v>
      </c>
      <c r="R43" s="126">
        <f>Dataserier!BL42</f>
        <v>-47.519999999999996</v>
      </c>
      <c r="S43" s="126">
        <f>Dataserier!BM42</f>
        <v>-48.260599999999982</v>
      </c>
      <c r="T43" s="126">
        <f>Dataserier!BN42</f>
        <v>-0.74059999999998638</v>
      </c>
      <c r="U43" s="126">
        <f>Dataserier!BP42</f>
        <v>7.0600000000000005</v>
      </c>
      <c r="V43" s="126">
        <f>Dataserier!BQ42</f>
        <v>-32.214100000000016</v>
      </c>
      <c r="W43" s="126">
        <f>Dataserier!BR42</f>
        <v>-39.274100000000018</v>
      </c>
      <c r="X43" s="126">
        <f>Dataserier!BT42</f>
        <v>-32.22</v>
      </c>
      <c r="Y43" s="126">
        <f>Dataserier!BU42</f>
        <v>-151.79896999999997</v>
      </c>
      <c r="Z43" s="126">
        <f>Dataserier!BV42</f>
        <v>-119.57896999999997</v>
      </c>
      <c r="AB43" s="126">
        <f t="shared" si="1"/>
        <v>-6.7979999999999947</v>
      </c>
      <c r="AC43" s="126">
        <f t="shared" si="2"/>
        <v>-217.55608237636784</v>
      </c>
      <c r="AD43" s="126">
        <f t="shared" si="3"/>
        <v>-210.75808237636784</v>
      </c>
    </row>
    <row r="44" spans="1:30" x14ac:dyDescent="0.2">
      <c r="A44" s="128">
        <v>38913</v>
      </c>
      <c r="B44" s="157">
        <v>-1.0920000000000001</v>
      </c>
      <c r="C44" s="119">
        <f>Dataserier!H43</f>
        <v>0.71699999999999997</v>
      </c>
      <c r="D44" s="119">
        <f>Dataserier!M43</f>
        <v>-12.61</v>
      </c>
      <c r="E44" s="119">
        <f>Dataserier!Q43</f>
        <v>-7.7290000000000001</v>
      </c>
      <c r="F44" s="119">
        <f>Dataserier!U43</f>
        <v>46.150000000000006</v>
      </c>
      <c r="G44" s="119">
        <f>Dataserier!Y43</f>
        <v>-10.63</v>
      </c>
      <c r="H44" s="119">
        <f>Dataserier!AC43</f>
        <v>34.109999999999992</v>
      </c>
      <c r="I44" s="119">
        <f t="shared" si="0"/>
        <v>49.290999999999997</v>
      </c>
      <c r="L44" s="126">
        <f>Dataserier!BD43</f>
        <v>12.61</v>
      </c>
      <c r="M44" s="126">
        <f>Dataserier!BE43</f>
        <v>-18.743747000000027</v>
      </c>
      <c r="N44" s="126">
        <f>Dataserier!BF43</f>
        <v>-31.353747000000027</v>
      </c>
      <c r="O44" s="126">
        <f>Dataserier!BH43</f>
        <v>7.7290000000000001</v>
      </c>
      <c r="P44" s="126">
        <f>Dataserier!BI43</f>
        <v>-13.49523170576966</v>
      </c>
      <c r="Q44" s="126">
        <f>Dataserier!BJ43</f>
        <v>-21.224231705769661</v>
      </c>
      <c r="R44" s="126">
        <f>Dataserier!BL43</f>
        <v>-46.150000000000006</v>
      </c>
      <c r="S44" s="126">
        <f>Dataserier!BM43</f>
        <v>-50.545599999999986</v>
      </c>
      <c r="T44" s="126">
        <f>Dataserier!BN43</f>
        <v>-4.3955999999999804</v>
      </c>
      <c r="U44" s="126">
        <f>Dataserier!BP43</f>
        <v>10.63</v>
      </c>
      <c r="V44" s="126">
        <f>Dataserier!BQ43</f>
        <v>-31.725200000000015</v>
      </c>
      <c r="W44" s="126">
        <f>Dataserier!BR43</f>
        <v>-42.355200000000018</v>
      </c>
      <c r="X44" s="126">
        <f>Dataserier!BT43</f>
        <v>-34.109999999999992</v>
      </c>
      <c r="Y44" s="126">
        <f>Dataserier!BU43</f>
        <v>-143.38055999999995</v>
      </c>
      <c r="Z44" s="126">
        <f>Dataserier!BV43</f>
        <v>-109.27055999999996</v>
      </c>
      <c r="AB44" s="126">
        <f t="shared" si="1"/>
        <v>-3.1409999999999911</v>
      </c>
      <c r="AC44" s="126">
        <f t="shared" si="2"/>
        <v>-207.34473870576966</v>
      </c>
      <c r="AD44" s="126">
        <f t="shared" si="3"/>
        <v>-204.20373870576967</v>
      </c>
    </row>
    <row r="45" spans="1:30" x14ac:dyDescent="0.2">
      <c r="A45" s="128">
        <v>38944</v>
      </c>
      <c r="B45" s="157">
        <v>23.995000000000001</v>
      </c>
      <c r="C45" s="119">
        <f>Dataserier!H44</f>
        <v>0.71699999999999997</v>
      </c>
      <c r="D45" s="119">
        <f>Dataserier!M44</f>
        <v>-11.52</v>
      </c>
      <c r="E45" s="119">
        <f>Dataserier!Q44</f>
        <v>-7.024</v>
      </c>
      <c r="F45" s="119">
        <f>Dataserier!U44</f>
        <v>35.480000000000004</v>
      </c>
      <c r="G45" s="119">
        <f>Dataserier!Y44</f>
        <v>-12.040000000000001</v>
      </c>
      <c r="H45" s="119">
        <f>Dataserier!AC44</f>
        <v>23.430000000000003</v>
      </c>
      <c r="I45" s="119">
        <f t="shared" si="0"/>
        <v>28.326000000000008</v>
      </c>
      <c r="L45" s="126">
        <f>Dataserier!BD44</f>
        <v>11.52</v>
      </c>
      <c r="M45" s="126">
        <f>Dataserier!BE44</f>
        <v>-17.576532000000036</v>
      </c>
      <c r="N45" s="126">
        <f>Dataserier!BF44</f>
        <v>-29.096532000000035</v>
      </c>
      <c r="O45" s="126">
        <f>Dataserier!BH44</f>
        <v>7.024</v>
      </c>
      <c r="P45" s="126">
        <f>Dataserier!BI44</f>
        <v>-13.130790599758042</v>
      </c>
      <c r="Q45" s="126">
        <f>Dataserier!BJ44</f>
        <v>-20.154790599758041</v>
      </c>
      <c r="R45" s="126">
        <f>Dataserier!BL44</f>
        <v>-35.480000000000004</v>
      </c>
      <c r="S45" s="126">
        <f>Dataserier!BM44</f>
        <v>-49.910999999999987</v>
      </c>
      <c r="T45" s="126">
        <f>Dataserier!BN44</f>
        <v>-14.430999999999983</v>
      </c>
      <c r="U45" s="126">
        <f>Dataserier!BP44</f>
        <v>12.040000000000001</v>
      </c>
      <c r="V45" s="126">
        <f>Dataserier!BQ44</f>
        <v>-31.634000000000015</v>
      </c>
      <c r="W45" s="126">
        <f>Dataserier!BR44</f>
        <v>-43.674000000000014</v>
      </c>
      <c r="X45" s="126">
        <f>Dataserier!BT44</f>
        <v>-23.430000000000003</v>
      </c>
      <c r="Y45" s="126">
        <f>Dataserier!BU44</f>
        <v>-137.34342999999996</v>
      </c>
      <c r="Z45" s="126">
        <f>Dataserier!BV44</f>
        <v>-113.91342999999995</v>
      </c>
      <c r="AB45" s="126">
        <f t="shared" si="1"/>
        <v>7.1539999999999999</v>
      </c>
      <c r="AC45" s="126">
        <f t="shared" si="2"/>
        <v>-199.68475259975804</v>
      </c>
      <c r="AD45" s="126">
        <f t="shared" si="3"/>
        <v>-206.83875259975804</v>
      </c>
    </row>
    <row r="46" spans="1:30" x14ac:dyDescent="0.2">
      <c r="A46" s="128">
        <v>38975</v>
      </c>
      <c r="B46" s="157">
        <v>15.31</v>
      </c>
      <c r="C46" s="119">
        <f>Dataserier!H45</f>
        <v>0.71699999999999997</v>
      </c>
      <c r="D46" s="119">
        <f>Dataserier!M45</f>
        <v>-7.16</v>
      </c>
      <c r="E46" s="119">
        <f>Dataserier!Q45</f>
        <v>-8.7490000000000006</v>
      </c>
      <c r="F46" s="119">
        <f>Dataserier!U45</f>
        <v>28.65</v>
      </c>
      <c r="G46" s="119">
        <f>Dataserier!Y45</f>
        <v>-7.81</v>
      </c>
      <c r="H46" s="119">
        <f>Dataserier!AC45</f>
        <v>25.4</v>
      </c>
      <c r="I46" s="119">
        <f t="shared" si="0"/>
        <v>30.330999999999996</v>
      </c>
      <c r="L46" s="126">
        <f>Dataserier!BD45</f>
        <v>7.16</v>
      </c>
      <c r="M46" s="126">
        <f>Dataserier!BE45</f>
        <v>-16.155336000000027</v>
      </c>
      <c r="N46" s="126">
        <f>Dataserier!BF45</f>
        <v>-23.315336000000027</v>
      </c>
      <c r="O46" s="126">
        <f>Dataserier!BH45</f>
        <v>8.7490000000000006</v>
      </c>
      <c r="P46" s="126">
        <f>Dataserier!BI45</f>
        <v>-12.842578100222644</v>
      </c>
      <c r="Q46" s="126">
        <f>Dataserier!BJ45</f>
        <v>-21.591578100222645</v>
      </c>
      <c r="R46" s="126">
        <f>Dataserier!BL45</f>
        <v>-28.65</v>
      </c>
      <c r="S46" s="126">
        <f>Dataserier!BM45</f>
        <v>-47.946499999999986</v>
      </c>
      <c r="T46" s="126">
        <f>Dataserier!BN45</f>
        <v>-19.296499999999988</v>
      </c>
      <c r="U46" s="126">
        <f>Dataserier!BP45</f>
        <v>7.81</v>
      </c>
      <c r="V46" s="126">
        <f>Dataserier!BQ45</f>
        <v>-30.401700000000012</v>
      </c>
      <c r="W46" s="126">
        <f>Dataserier!BR45</f>
        <v>-38.211700000000015</v>
      </c>
      <c r="X46" s="126">
        <f>Dataserier!BT45</f>
        <v>-25.4</v>
      </c>
      <c r="Y46" s="126">
        <f>Dataserier!BU45</f>
        <v>-130.16521999999995</v>
      </c>
      <c r="Z46" s="126">
        <f>Dataserier!BV45</f>
        <v>-104.76521999999994</v>
      </c>
      <c r="AB46" s="126">
        <f t="shared" si="1"/>
        <v>-1.6809999999999974</v>
      </c>
      <c r="AC46" s="126">
        <f t="shared" si="2"/>
        <v>-189.56483410022264</v>
      </c>
      <c r="AD46" s="126">
        <f t="shared" si="3"/>
        <v>-187.88383410022266</v>
      </c>
    </row>
    <row r="47" spans="1:30" x14ac:dyDescent="0.2">
      <c r="A47" s="128">
        <v>39005</v>
      </c>
      <c r="B47" s="157">
        <v>10.468999999999999</v>
      </c>
      <c r="C47" s="119">
        <f>Dataserier!H46</f>
        <v>0.71699999999999997</v>
      </c>
      <c r="D47" s="119">
        <f>Dataserier!M46</f>
        <v>-7.8500000000000005</v>
      </c>
      <c r="E47" s="119">
        <f>Dataserier!Q46</f>
        <v>-9.3290000000000006</v>
      </c>
      <c r="F47" s="119">
        <f>Dataserier!U46</f>
        <v>31.69</v>
      </c>
      <c r="G47" s="119">
        <f>Dataserier!Y46</f>
        <v>-10.38</v>
      </c>
      <c r="H47" s="119">
        <f>Dataserier!AC46</f>
        <v>31.229999999999997</v>
      </c>
      <c r="I47" s="119">
        <f t="shared" si="0"/>
        <v>35.360999999999997</v>
      </c>
      <c r="L47" s="126">
        <f>Dataserier!BD46</f>
        <v>7.8500000000000005</v>
      </c>
      <c r="M47" s="126">
        <f>Dataserier!BE46</f>
        <v>-14.609144000000029</v>
      </c>
      <c r="N47" s="126">
        <f>Dataserier!BF46</f>
        <v>-22.45914400000003</v>
      </c>
      <c r="O47" s="126">
        <f>Dataserier!BH46</f>
        <v>9.3290000000000006</v>
      </c>
      <c r="P47" s="126">
        <f>Dataserier!BI46</f>
        <v>-12.466152369434045</v>
      </c>
      <c r="Q47" s="126">
        <f>Dataserier!BJ46</f>
        <v>-21.795152369434046</v>
      </c>
      <c r="R47" s="126">
        <f>Dataserier!BL46</f>
        <v>-31.69</v>
      </c>
      <c r="S47" s="126">
        <f>Dataserier!BM46</f>
        <v>-47.550399999999989</v>
      </c>
      <c r="T47" s="126">
        <f>Dataserier!BN46</f>
        <v>-15.860399999999988</v>
      </c>
      <c r="U47" s="126">
        <f>Dataserier!BP46</f>
        <v>10.38</v>
      </c>
      <c r="V47" s="126">
        <f>Dataserier!BQ46</f>
        <v>-28.338200000000015</v>
      </c>
      <c r="W47" s="126">
        <f>Dataserier!BR46</f>
        <v>-38.718200000000017</v>
      </c>
      <c r="X47" s="126">
        <f>Dataserier!BT46</f>
        <v>-31.229999999999997</v>
      </c>
      <c r="Y47" s="126">
        <f>Dataserier!BU46</f>
        <v>-122.64571999999995</v>
      </c>
      <c r="Z47" s="126">
        <f>Dataserier!BV46</f>
        <v>-91.415719999999965</v>
      </c>
      <c r="AB47" s="126">
        <f t="shared" si="1"/>
        <v>-3.6709999999999923</v>
      </c>
      <c r="AC47" s="126">
        <f t="shared" si="2"/>
        <v>-178.05921636943404</v>
      </c>
      <c r="AD47" s="126">
        <f t="shared" si="3"/>
        <v>-174.38821636943405</v>
      </c>
    </row>
    <row r="48" spans="1:30" x14ac:dyDescent="0.2">
      <c r="A48" s="128">
        <v>39036</v>
      </c>
      <c r="B48" s="157">
        <v>14.601000000000001</v>
      </c>
      <c r="C48" s="119">
        <f>Dataserier!H47</f>
        <v>0.71699999999999997</v>
      </c>
      <c r="D48" s="119">
        <f>Dataserier!M47</f>
        <v>-8.09</v>
      </c>
      <c r="E48" s="119">
        <f>Dataserier!Q47</f>
        <v>-4.9119999999999999</v>
      </c>
      <c r="F48" s="119">
        <f>Dataserier!U47</f>
        <v>24.140000000000008</v>
      </c>
      <c r="G48" s="119">
        <f>Dataserier!Y47</f>
        <v>-11.42</v>
      </c>
      <c r="H48" s="119">
        <f>Dataserier!AC47</f>
        <v>27.480000000000004</v>
      </c>
      <c r="I48" s="119">
        <f t="shared" si="0"/>
        <v>27.198000000000015</v>
      </c>
      <c r="L48" s="126">
        <f>Dataserier!BD47</f>
        <v>8.09</v>
      </c>
      <c r="M48" s="126">
        <f>Dataserier!BE47</f>
        <v>-13.133327000000023</v>
      </c>
      <c r="N48" s="126">
        <f>Dataserier!BF47</f>
        <v>-21.223327000000022</v>
      </c>
      <c r="O48" s="126">
        <f>Dataserier!BH47</f>
        <v>4.9119999999999999</v>
      </c>
      <c r="P48" s="126">
        <f>Dataserier!BI47</f>
        <v>-11.792790599758042</v>
      </c>
      <c r="Q48" s="126">
        <f>Dataserier!BJ47</f>
        <v>-16.704790599758041</v>
      </c>
      <c r="R48" s="126">
        <f>Dataserier!BL47</f>
        <v>-24.140000000000008</v>
      </c>
      <c r="S48" s="126">
        <f>Dataserier!BM47</f>
        <v>-46.292799999999986</v>
      </c>
      <c r="T48" s="126">
        <f>Dataserier!BN47</f>
        <v>-22.152799999999978</v>
      </c>
      <c r="U48" s="126">
        <f>Dataserier!BP47</f>
        <v>11.42</v>
      </c>
      <c r="V48" s="126">
        <f>Dataserier!BQ47</f>
        <v>-25.672600000000017</v>
      </c>
      <c r="W48" s="126">
        <f>Dataserier!BR47</f>
        <v>-37.092600000000019</v>
      </c>
      <c r="X48" s="126">
        <f>Dataserier!BT47</f>
        <v>-27.480000000000004</v>
      </c>
      <c r="Y48" s="126">
        <f>Dataserier!BU47</f>
        <v>-112.76762999999997</v>
      </c>
      <c r="Z48" s="126">
        <f>Dataserier!BV47</f>
        <v>-85.287629999999965</v>
      </c>
      <c r="AB48" s="126">
        <f t="shared" si="1"/>
        <v>-3.0580000000000069</v>
      </c>
      <c r="AC48" s="126">
        <f t="shared" si="2"/>
        <v>-163.36634759975806</v>
      </c>
      <c r="AD48" s="126">
        <f t="shared" si="3"/>
        <v>-160.30834759975806</v>
      </c>
    </row>
    <row r="49" spans="1:30" x14ac:dyDescent="0.2">
      <c r="A49" s="128">
        <v>39066</v>
      </c>
      <c r="B49" s="157">
        <v>5.399</v>
      </c>
      <c r="C49" s="119">
        <f>Dataserier!H48</f>
        <v>0.71699999999999997</v>
      </c>
      <c r="D49" s="119">
        <f>Dataserier!M48</f>
        <v>-5.61</v>
      </c>
      <c r="E49" s="119">
        <f>Dataserier!Q48</f>
        <v>-2.032</v>
      </c>
      <c r="F49" s="119">
        <f>Dataserier!U48</f>
        <v>15.909999999999993</v>
      </c>
      <c r="G49" s="119">
        <f>Dataserier!Y48</f>
        <v>-7.1300000000000026</v>
      </c>
      <c r="H49" s="119">
        <f>Dataserier!AC48</f>
        <v>29.38</v>
      </c>
      <c r="I49" s="119">
        <f t="shared" si="0"/>
        <v>30.51799999999999</v>
      </c>
      <c r="L49" s="126">
        <f>Dataserier!BD48</f>
        <v>5.61</v>
      </c>
      <c r="M49" s="126">
        <f>Dataserier!BE48</f>
        <v>-11.885065000000019</v>
      </c>
      <c r="N49" s="126">
        <f>Dataserier!BF48</f>
        <v>-17.495065000000018</v>
      </c>
      <c r="O49" s="126">
        <f>Dataserier!BH48</f>
        <v>2.032</v>
      </c>
      <c r="P49" s="126">
        <f>Dataserier!BI48</f>
        <v>-10.697656265734308</v>
      </c>
      <c r="Q49" s="126">
        <f>Dataserier!BJ48</f>
        <v>-12.729656265734308</v>
      </c>
      <c r="R49" s="126">
        <f>Dataserier!BL48</f>
        <v>-15.909999999999993</v>
      </c>
      <c r="S49" s="126">
        <f>Dataserier!BM48</f>
        <v>-44.880499999999984</v>
      </c>
      <c r="T49" s="126">
        <f>Dataserier!BN48</f>
        <v>-28.970499999999991</v>
      </c>
      <c r="U49" s="126">
        <f>Dataserier!BP48</f>
        <v>7.1300000000000026</v>
      </c>
      <c r="V49" s="126">
        <f>Dataserier!BQ48</f>
        <v>-22.852200000000011</v>
      </c>
      <c r="W49" s="126">
        <f>Dataserier!BR48</f>
        <v>-29.982200000000013</v>
      </c>
      <c r="X49" s="126">
        <f>Dataserier!BT48</f>
        <v>-29.38</v>
      </c>
      <c r="Y49" s="126">
        <f>Dataserier!BU48</f>
        <v>-106.33588999999998</v>
      </c>
      <c r="Z49" s="126">
        <f>Dataserier!BV48</f>
        <v>-76.955889999999982</v>
      </c>
      <c r="AB49" s="126">
        <f t="shared" si="1"/>
        <v>-14.607999999999997</v>
      </c>
      <c r="AC49" s="126">
        <f t="shared" si="2"/>
        <v>-151.77081126573432</v>
      </c>
      <c r="AD49" s="126">
        <f t="shared" si="3"/>
        <v>-137.16281126573432</v>
      </c>
    </row>
    <row r="50" spans="1:30" x14ac:dyDescent="0.2">
      <c r="A50" s="128">
        <v>39097</v>
      </c>
      <c r="B50" s="157">
        <v>13</v>
      </c>
      <c r="C50" s="119">
        <f>Dataserier!H49</f>
        <v>0.71699999999999997</v>
      </c>
      <c r="D50" s="119">
        <f>Dataserier!M49</f>
        <v>-7.6099999999999994</v>
      </c>
      <c r="E50" s="119">
        <f>Dataserier!Q49</f>
        <v>1.103</v>
      </c>
      <c r="F50" s="119">
        <f>Dataserier!U49</f>
        <v>20.49</v>
      </c>
      <c r="G50" s="119">
        <f>Dataserier!Y49</f>
        <v>-11.01</v>
      </c>
      <c r="H50" s="119">
        <f>Dataserier!AC49</f>
        <v>28.440000000000005</v>
      </c>
      <c r="I50" s="119">
        <f t="shared" si="0"/>
        <v>31.413000000000004</v>
      </c>
      <c r="L50" s="126">
        <f>Dataserier!BD49</f>
        <v>7.6099999999999994</v>
      </c>
      <c r="M50" s="126">
        <f>Dataserier!BE49</f>
        <v>-10.840959000000019</v>
      </c>
      <c r="N50" s="126">
        <f>Dataserier!BF49</f>
        <v>-18.450959000000019</v>
      </c>
      <c r="O50" s="126">
        <f>Dataserier!BH49</f>
        <v>-1.103</v>
      </c>
      <c r="P50" s="126">
        <f>Dataserier!BI49</f>
        <v>-9.3914579705979726</v>
      </c>
      <c r="Q50" s="126">
        <f>Dataserier!BJ49</f>
        <v>-8.2884579705979728</v>
      </c>
      <c r="R50" s="126">
        <f>Dataserier!BL49</f>
        <v>-20.49</v>
      </c>
      <c r="S50" s="126">
        <f>Dataserier!BM49</f>
        <v>-39.558399999999985</v>
      </c>
      <c r="T50" s="126">
        <f>Dataserier!BN49</f>
        <v>-19.068399999999986</v>
      </c>
      <c r="U50" s="126">
        <f>Dataserier!BP49</f>
        <v>11.01</v>
      </c>
      <c r="V50" s="126">
        <f>Dataserier!BQ49</f>
        <v>-20.065600000000011</v>
      </c>
      <c r="W50" s="126">
        <f>Dataserier!BR49</f>
        <v>-31.075600000000009</v>
      </c>
      <c r="X50" s="126">
        <f>Dataserier!BT49</f>
        <v>-28.440000000000005</v>
      </c>
      <c r="Y50" s="126">
        <f>Dataserier!BU49</f>
        <v>-97.067379999999957</v>
      </c>
      <c r="Z50" s="126">
        <f>Dataserier!BV49</f>
        <v>-68.62737999999996</v>
      </c>
      <c r="AB50" s="126">
        <f t="shared" si="1"/>
        <v>-10.923000000000005</v>
      </c>
      <c r="AC50" s="126">
        <f t="shared" si="2"/>
        <v>-137.36539697059794</v>
      </c>
      <c r="AD50" s="126">
        <f t="shared" si="3"/>
        <v>-126.44239697059794</v>
      </c>
    </row>
    <row r="51" spans="1:30" x14ac:dyDescent="0.2">
      <c r="A51" s="128">
        <v>39128</v>
      </c>
      <c r="B51" s="157">
        <v>18.704000000000001</v>
      </c>
      <c r="C51" s="119">
        <f>Dataserier!H50</f>
        <v>0.71699999999999997</v>
      </c>
      <c r="D51" s="119">
        <f>Dataserier!M50</f>
        <v>-7.93</v>
      </c>
      <c r="E51" s="119">
        <f>Dataserier!Q50</f>
        <v>0.78900000000000003</v>
      </c>
      <c r="F51" s="119">
        <f>Dataserier!U50</f>
        <v>20.840000000000003</v>
      </c>
      <c r="G51" s="119">
        <f>Dataserier!Y50</f>
        <v>-10.6</v>
      </c>
      <c r="H51" s="119">
        <f>Dataserier!AC50</f>
        <v>34.510000000000005</v>
      </c>
      <c r="I51" s="119">
        <f t="shared" si="0"/>
        <v>37.609000000000009</v>
      </c>
      <c r="L51" s="126">
        <f>Dataserier!BD50</f>
        <v>7.93</v>
      </c>
      <c r="M51" s="126">
        <f>Dataserier!BE50</f>
        <v>-9.371001000000021</v>
      </c>
      <c r="N51" s="126">
        <f>Dataserier!BF50</f>
        <v>-17.301001000000021</v>
      </c>
      <c r="O51" s="126">
        <f>Dataserier!BH50</f>
        <v>-0.78900000000000003</v>
      </c>
      <c r="P51" s="126">
        <f>Dataserier!BI50</f>
        <v>-8.1687905997580437</v>
      </c>
      <c r="Q51" s="126">
        <f>Dataserier!BJ50</f>
        <v>-7.379790599758044</v>
      </c>
      <c r="R51" s="126">
        <f>Dataserier!BL50</f>
        <v>-20.840000000000003</v>
      </c>
      <c r="S51" s="126">
        <f>Dataserier!BM50</f>
        <v>-36.741399999999985</v>
      </c>
      <c r="T51" s="126">
        <f>Dataserier!BN50</f>
        <v>-15.901399999999981</v>
      </c>
      <c r="U51" s="126">
        <f>Dataserier!BP50</f>
        <v>10.6</v>
      </c>
      <c r="V51" s="126">
        <f>Dataserier!BQ50</f>
        <v>-16.887900000000016</v>
      </c>
      <c r="W51" s="126">
        <f>Dataserier!BR50</f>
        <v>-27.487900000000018</v>
      </c>
      <c r="X51" s="126">
        <f>Dataserier!BT50</f>
        <v>-34.510000000000005</v>
      </c>
      <c r="Y51" s="126">
        <f>Dataserier!BU50</f>
        <v>-87.528009999999966</v>
      </c>
      <c r="Z51" s="126">
        <f>Dataserier!BV50</f>
        <v>-53.018009999999961</v>
      </c>
      <c r="AB51" s="126">
        <f t="shared" si="1"/>
        <v>-16.769000000000005</v>
      </c>
      <c r="AC51" s="126">
        <f t="shared" si="2"/>
        <v>-121.95570159975804</v>
      </c>
      <c r="AD51" s="126">
        <f t="shared" si="3"/>
        <v>-105.18670159975804</v>
      </c>
    </row>
    <row r="52" spans="1:30" x14ac:dyDescent="0.2">
      <c r="A52" s="128">
        <v>39156</v>
      </c>
      <c r="B52" s="157">
        <v>20.94</v>
      </c>
      <c r="C52" s="119">
        <f>Dataserier!H51</f>
        <v>0.71699999999999997</v>
      </c>
      <c r="D52" s="119">
        <f>Dataserier!M51</f>
        <v>-7.18</v>
      </c>
      <c r="E52" s="119">
        <f>Dataserier!Q51</f>
        <v>6.8390000000000004</v>
      </c>
      <c r="F52" s="119">
        <f>Dataserier!U51</f>
        <v>11.889999999999995</v>
      </c>
      <c r="G52" s="119">
        <f>Dataserier!Y51</f>
        <v>-6.3300000000000018</v>
      </c>
      <c r="H52" s="119">
        <f>Dataserier!AC51</f>
        <v>31.870000000000005</v>
      </c>
      <c r="I52" s="119">
        <f t="shared" si="0"/>
        <v>37.088999999999999</v>
      </c>
      <c r="L52" s="126">
        <f>Dataserier!BD51</f>
        <v>7.18</v>
      </c>
      <c r="M52" s="126">
        <f>Dataserier!BE51</f>
        <v>-8.0043230000000207</v>
      </c>
      <c r="N52" s="126">
        <f>Dataserier!BF51</f>
        <v>-15.18432300000002</v>
      </c>
      <c r="O52" s="126">
        <f>Dataserier!BH51</f>
        <v>-6.8390000000000004</v>
      </c>
      <c r="P52" s="126">
        <f>Dataserier!BI51</f>
        <v>-7.2547996946476481</v>
      </c>
      <c r="Q52" s="126">
        <f>Dataserier!BJ51</f>
        <v>-0.41579969464764766</v>
      </c>
      <c r="R52" s="126">
        <f>Dataserier!BL51</f>
        <v>-11.889999999999995</v>
      </c>
      <c r="S52" s="126">
        <f>Dataserier!BM51</f>
        <v>-35.103799999999985</v>
      </c>
      <c r="T52" s="126">
        <f>Dataserier!BN51</f>
        <v>-23.213799999999992</v>
      </c>
      <c r="U52" s="126">
        <f>Dataserier!BP51</f>
        <v>6.3300000000000018</v>
      </c>
      <c r="V52" s="126">
        <f>Dataserier!BQ51</f>
        <v>-13.778500000000022</v>
      </c>
      <c r="W52" s="126">
        <f>Dataserier!BR51</f>
        <v>-20.108500000000024</v>
      </c>
      <c r="X52" s="126">
        <f>Dataserier!BT51</f>
        <v>-31.870000000000005</v>
      </c>
      <c r="Y52" s="126">
        <f>Dataserier!BU51</f>
        <v>-80.848629999999957</v>
      </c>
      <c r="Z52" s="126">
        <f>Dataserier!BV51</f>
        <v>-48.978629999999953</v>
      </c>
      <c r="AB52" s="126">
        <f t="shared" si="1"/>
        <v>-25.199000000000005</v>
      </c>
      <c r="AC52" s="126">
        <f t="shared" si="2"/>
        <v>-109.88625269464765</v>
      </c>
      <c r="AD52" s="126">
        <f t="shared" si="3"/>
        <v>-84.68725269464764</v>
      </c>
    </row>
    <row r="53" spans="1:30" x14ac:dyDescent="0.2">
      <c r="A53" s="128">
        <v>39187</v>
      </c>
      <c r="B53" s="157">
        <v>9.0839999999999996</v>
      </c>
      <c r="C53" s="119">
        <f>Dataserier!H52</f>
        <v>0.71699999999999997</v>
      </c>
      <c r="D53" s="119">
        <f>Dataserier!M52</f>
        <v>-8.379999999999999</v>
      </c>
      <c r="E53" s="119">
        <f>Dataserier!Q52</f>
        <v>3.5539999999999998</v>
      </c>
      <c r="F53" s="119">
        <f>Dataserier!U52</f>
        <v>6.7299999999999933</v>
      </c>
      <c r="G53" s="119">
        <f>Dataserier!Y52</f>
        <v>-7.8100000000000005</v>
      </c>
      <c r="H53" s="119">
        <f>Dataserier!AC52</f>
        <v>44.69</v>
      </c>
      <c r="I53" s="119">
        <f t="shared" si="0"/>
        <v>38.783999999999992</v>
      </c>
      <c r="L53" s="126">
        <f>Dataserier!BD52</f>
        <v>8.379999999999999</v>
      </c>
      <c r="M53" s="126">
        <f>Dataserier!BE52</f>
        <v>-6.9208280000000215</v>
      </c>
      <c r="N53" s="126">
        <f>Dataserier!BF52</f>
        <v>-15.300828000000021</v>
      </c>
      <c r="O53" s="126">
        <f>Dataserier!BH52</f>
        <v>-3.5539999999999998</v>
      </c>
      <c r="P53" s="126">
        <f>Dataserier!BI52</f>
        <v>-6.5968334207964006</v>
      </c>
      <c r="Q53" s="126">
        <f>Dataserier!BJ52</f>
        <v>-3.0428334207964007</v>
      </c>
      <c r="R53" s="126">
        <f>Dataserier!BL52</f>
        <v>-6.7299999999999933</v>
      </c>
      <c r="S53" s="126">
        <f>Dataserier!BM52</f>
        <v>-32.876099999999994</v>
      </c>
      <c r="T53" s="126">
        <f>Dataserier!BN52</f>
        <v>-26.146100000000001</v>
      </c>
      <c r="U53" s="126">
        <f>Dataserier!BP52</f>
        <v>7.8100000000000005</v>
      </c>
      <c r="V53" s="126">
        <f>Dataserier!BQ52</f>
        <v>-10.621800000000022</v>
      </c>
      <c r="W53" s="126">
        <f>Dataserier!BR52</f>
        <v>-18.431800000000024</v>
      </c>
      <c r="X53" s="126">
        <f>Dataserier!BT52</f>
        <v>-44.69</v>
      </c>
      <c r="Y53" s="126">
        <f>Dataserier!BU52</f>
        <v>-72.395299999999963</v>
      </c>
      <c r="Z53" s="126">
        <f>Dataserier!BV52</f>
        <v>-27.705299999999966</v>
      </c>
      <c r="AB53" s="126">
        <f t="shared" si="1"/>
        <v>-32.054000000000002</v>
      </c>
      <c r="AC53" s="126">
        <f t="shared" si="2"/>
        <v>-96.5347614207964</v>
      </c>
      <c r="AD53" s="126">
        <f t="shared" si="3"/>
        <v>-64.480761420796398</v>
      </c>
    </row>
    <row r="54" spans="1:30" x14ac:dyDescent="0.2">
      <c r="A54" s="128">
        <v>39217</v>
      </c>
      <c r="B54" s="157">
        <v>25.224</v>
      </c>
      <c r="C54" s="119">
        <f>Dataserier!H53</f>
        <v>0.71699999999999997</v>
      </c>
      <c r="D54" s="119">
        <f>Dataserier!M53</f>
        <v>-8.42</v>
      </c>
      <c r="E54" s="119">
        <f>Dataserier!Q53</f>
        <v>4.1639999999999997</v>
      </c>
      <c r="F54" s="119">
        <f>Dataserier!U53</f>
        <v>7.6599999999999939</v>
      </c>
      <c r="G54" s="119">
        <f>Dataserier!Y53</f>
        <v>-8.1000000000000014</v>
      </c>
      <c r="H54" s="119">
        <f>Dataserier!AC53</f>
        <v>41.06</v>
      </c>
      <c r="I54" s="119">
        <f t="shared" si="0"/>
        <v>36.363999999999997</v>
      </c>
      <c r="L54" s="126">
        <f>Dataserier!BD53</f>
        <v>8.42</v>
      </c>
      <c r="M54" s="126">
        <f>Dataserier!BE53</f>
        <v>-5.1239390000000213</v>
      </c>
      <c r="N54" s="126">
        <f>Dataserier!BF53</f>
        <v>-13.543939000000021</v>
      </c>
      <c r="O54" s="126">
        <f>Dataserier!BH53</f>
        <v>-4.1639999999999997</v>
      </c>
      <c r="P54" s="126">
        <f>Dataserier!BI53</f>
        <v>-6.0727905997580436</v>
      </c>
      <c r="Q54" s="126">
        <f>Dataserier!BJ53</f>
        <v>-1.9087905997580439</v>
      </c>
      <c r="R54" s="126">
        <f>Dataserier!BL53</f>
        <v>-7.6599999999999939</v>
      </c>
      <c r="S54" s="126">
        <f>Dataserier!BM53</f>
        <v>-31.86849999999999</v>
      </c>
      <c r="T54" s="126">
        <f>Dataserier!BN53</f>
        <v>-24.208499999999997</v>
      </c>
      <c r="U54" s="126">
        <f>Dataserier!BP53</f>
        <v>8.1000000000000014</v>
      </c>
      <c r="V54" s="126">
        <f>Dataserier!BQ53</f>
        <v>-8.494700000000023</v>
      </c>
      <c r="W54" s="126">
        <f>Dataserier!BR53</f>
        <v>-16.594700000000024</v>
      </c>
      <c r="X54" s="126">
        <f>Dataserier!BT53</f>
        <v>-41.06</v>
      </c>
      <c r="Y54" s="126">
        <f>Dataserier!BU53</f>
        <v>-64.178980000000024</v>
      </c>
      <c r="Z54" s="126">
        <f>Dataserier!BV53</f>
        <v>-23.118980000000022</v>
      </c>
      <c r="AB54" s="126">
        <f t="shared" si="1"/>
        <v>-28.704000000000001</v>
      </c>
      <c r="AC54" s="126">
        <f t="shared" si="2"/>
        <v>-83.870409599758119</v>
      </c>
      <c r="AD54" s="126">
        <f t="shared" si="3"/>
        <v>-55.166409599758119</v>
      </c>
    </row>
    <row r="55" spans="1:30" x14ac:dyDescent="0.2">
      <c r="A55" s="128">
        <v>39248</v>
      </c>
      <c r="B55" s="157">
        <v>17.597999999999999</v>
      </c>
      <c r="C55" s="119">
        <f>Dataserier!H54</f>
        <v>0.71699999999999997</v>
      </c>
      <c r="D55" s="119">
        <f>Dataserier!M54</f>
        <v>-8.2100000000000009</v>
      </c>
      <c r="E55" s="119">
        <f>Dataserier!Q54</f>
        <v>0.877</v>
      </c>
      <c r="F55" s="119">
        <f>Dataserier!U54</f>
        <v>26.990000000000009</v>
      </c>
      <c r="G55" s="119">
        <f>Dataserier!Y54</f>
        <v>-6.6300000000000008</v>
      </c>
      <c r="H55" s="119">
        <f>Dataserier!AC54</f>
        <v>40.75</v>
      </c>
      <c r="I55" s="119">
        <f t="shared" si="0"/>
        <v>53.777000000000008</v>
      </c>
      <c r="L55" s="126">
        <f>Dataserier!BD54</f>
        <v>8.2100000000000009</v>
      </c>
      <c r="M55" s="126">
        <f>Dataserier!BE54</f>
        <v>-3.7810180000000173</v>
      </c>
      <c r="N55" s="126">
        <f>Dataserier!BF54</f>
        <v>-11.991018000000018</v>
      </c>
      <c r="O55" s="126">
        <f>Dataserier!BH54</f>
        <v>-0.877</v>
      </c>
      <c r="P55" s="126">
        <f>Dataserier!BI54</f>
        <v>-5.5734811468159577</v>
      </c>
      <c r="Q55" s="126">
        <f>Dataserier!BJ54</f>
        <v>-4.696481146815958</v>
      </c>
      <c r="R55" s="126">
        <f>Dataserier!BL54</f>
        <v>-26.990000000000009</v>
      </c>
      <c r="S55" s="126">
        <f>Dataserier!BM54</f>
        <v>-32.413499999999992</v>
      </c>
      <c r="T55" s="126">
        <f>Dataserier!BN54</f>
        <v>-5.4234999999999829</v>
      </c>
      <c r="U55" s="126">
        <f>Dataserier!BP54</f>
        <v>6.6300000000000008</v>
      </c>
      <c r="V55" s="126">
        <f>Dataserier!BQ54</f>
        <v>-5.98990000000002</v>
      </c>
      <c r="W55" s="126">
        <f>Dataserier!BR54</f>
        <v>-12.619900000000021</v>
      </c>
      <c r="X55" s="126">
        <f>Dataserier!BT54</f>
        <v>-40.75</v>
      </c>
      <c r="Y55" s="126">
        <f>Dataserier!BU54</f>
        <v>-56.323350000000005</v>
      </c>
      <c r="Z55" s="126">
        <f>Dataserier!BV54</f>
        <v>-15.573350000000005</v>
      </c>
      <c r="AB55" s="126">
        <f t="shared" si="1"/>
        <v>-26.786999999999999</v>
      </c>
      <c r="AC55" s="126">
        <f t="shared" si="2"/>
        <v>-71.667749146815993</v>
      </c>
      <c r="AD55" s="126">
        <f t="shared" si="3"/>
        <v>-44.880749146815994</v>
      </c>
    </row>
    <row r="56" spans="1:30" x14ac:dyDescent="0.2">
      <c r="A56" s="128">
        <v>39278</v>
      </c>
      <c r="B56" s="157">
        <v>20.588000000000001</v>
      </c>
      <c r="C56" s="119">
        <f>Dataserier!H55</f>
        <v>0.71699999999999997</v>
      </c>
      <c r="D56" s="119">
        <f>Dataserier!M55</f>
        <v>-6.339999999999999</v>
      </c>
      <c r="E56" s="119">
        <f>Dataserier!Q55</f>
        <v>2.4039999999999999</v>
      </c>
      <c r="F56" s="119">
        <f>Dataserier!U55</f>
        <v>29.879999999999995</v>
      </c>
      <c r="G56" s="119">
        <f>Dataserier!Y55</f>
        <v>-7.8400000000000016</v>
      </c>
      <c r="H56" s="119">
        <f>Dataserier!AC55</f>
        <v>39.79999999999999</v>
      </c>
      <c r="I56" s="119">
        <f t="shared" si="0"/>
        <v>57.903999999999982</v>
      </c>
      <c r="L56" s="126">
        <f>Dataserier!BD55</f>
        <v>6.339999999999999</v>
      </c>
      <c r="M56" s="126">
        <f>Dataserier!BE55</f>
        <v>-3.0990740000000159</v>
      </c>
      <c r="N56" s="126">
        <f>Dataserier!BF55</f>
        <v>-9.4390740000000157</v>
      </c>
      <c r="O56" s="126">
        <f>Dataserier!BH55</f>
        <v>-2.4039999999999999</v>
      </c>
      <c r="P56" s="126">
        <f>Dataserier!BI55</f>
        <v>-5.0413593521720941</v>
      </c>
      <c r="Q56" s="126">
        <f>Dataserier!BJ55</f>
        <v>-2.6373593521720942</v>
      </c>
      <c r="R56" s="126">
        <f>Dataserier!BL55</f>
        <v>-29.879999999999995</v>
      </c>
      <c r="S56" s="126">
        <f>Dataserier!BM55</f>
        <v>-35.474899999999998</v>
      </c>
      <c r="T56" s="126">
        <f>Dataserier!BN55</f>
        <v>-5.5949000000000026</v>
      </c>
      <c r="U56" s="126">
        <f>Dataserier!BP55</f>
        <v>7.8400000000000016</v>
      </c>
      <c r="V56" s="126">
        <f>Dataserier!BQ55</f>
        <v>-3.6671000000000191</v>
      </c>
      <c r="W56" s="126">
        <f>Dataserier!BR55</f>
        <v>-11.507100000000021</v>
      </c>
      <c r="X56" s="126">
        <f>Dataserier!BT55</f>
        <v>-39.79999999999999</v>
      </c>
      <c r="Y56" s="126">
        <f>Dataserier!BU55</f>
        <v>-46.502709999999979</v>
      </c>
      <c r="Z56" s="126">
        <f>Dataserier!BV55</f>
        <v>-6.7027099999999891</v>
      </c>
      <c r="AB56" s="126">
        <f t="shared" si="1"/>
        <v>-28.02399999999999</v>
      </c>
      <c r="AC56" s="126">
        <f t="shared" si="2"/>
        <v>-58.310243352172108</v>
      </c>
      <c r="AD56" s="126">
        <f t="shared" si="3"/>
        <v>-30.286243352172118</v>
      </c>
    </row>
    <row r="57" spans="1:30" x14ac:dyDescent="0.2">
      <c r="A57" s="128">
        <v>39309</v>
      </c>
      <c r="B57" s="157">
        <v>44.13</v>
      </c>
      <c r="C57" s="119">
        <f>Dataserier!H56</f>
        <v>0.71699999999999997</v>
      </c>
      <c r="D57" s="119">
        <f>Dataserier!M56</f>
        <v>-8.42</v>
      </c>
      <c r="E57" s="119">
        <f>Dataserier!Q56</f>
        <v>8.2070000000000007</v>
      </c>
      <c r="F57" s="119">
        <f>Dataserier!U56</f>
        <v>24.519999999999989</v>
      </c>
      <c r="G57" s="119">
        <f>Dataserier!Y56</f>
        <v>-9.5399999999999991</v>
      </c>
      <c r="H57" s="119">
        <f>Dataserier!AC56</f>
        <v>24.129999999999995</v>
      </c>
      <c r="I57" s="119">
        <f t="shared" si="0"/>
        <v>38.896999999999984</v>
      </c>
      <c r="L57" s="126">
        <f>Dataserier!BD56</f>
        <v>8.42</v>
      </c>
      <c r="M57" s="126">
        <f>Dataserier!BE56</f>
        <v>-1.7605410000000035</v>
      </c>
      <c r="N57" s="126">
        <f>Dataserier!BF56</f>
        <v>-10.180541000000003</v>
      </c>
      <c r="O57" s="126">
        <f>Dataserier!BH56</f>
        <v>-8.2070000000000007</v>
      </c>
      <c r="P57" s="126">
        <f>Dataserier!BI56</f>
        <v>-4.4317905997580418</v>
      </c>
      <c r="Q57" s="126">
        <f>Dataserier!BJ56</f>
        <v>3.7752094002419589</v>
      </c>
      <c r="R57" s="126">
        <f>Dataserier!BL56</f>
        <v>-24.519999999999989</v>
      </c>
      <c r="S57" s="126">
        <f>Dataserier!BM56</f>
        <v>-33.80749999999999</v>
      </c>
      <c r="T57" s="126">
        <f>Dataserier!BN56</f>
        <v>-9.2875000000000014</v>
      </c>
      <c r="U57" s="126">
        <f>Dataserier!BP56</f>
        <v>9.5399999999999991</v>
      </c>
      <c r="V57" s="126">
        <f>Dataserier!BQ56</f>
        <v>-3.3223000000000127</v>
      </c>
      <c r="W57" s="126">
        <f>Dataserier!BR56</f>
        <v>-12.862300000000012</v>
      </c>
      <c r="X57" s="126">
        <f>Dataserier!BT56</f>
        <v>-24.129999999999995</v>
      </c>
      <c r="Y57" s="126">
        <f>Dataserier!BU56</f>
        <v>-38.84953999999999</v>
      </c>
      <c r="Z57" s="126">
        <f>Dataserier!BV56</f>
        <v>-14.719539999999995</v>
      </c>
      <c r="AB57" s="126">
        <f t="shared" si="1"/>
        <v>-14.376999999999997</v>
      </c>
      <c r="AC57" s="126">
        <f t="shared" si="2"/>
        <v>-48.364171599758052</v>
      </c>
      <c r="AD57" s="126">
        <f t="shared" si="3"/>
        <v>-33.987171599758057</v>
      </c>
    </row>
    <row r="58" spans="1:30" x14ac:dyDescent="0.2">
      <c r="A58" s="128">
        <v>39340</v>
      </c>
      <c r="B58" s="157">
        <v>47.462000000000003</v>
      </c>
      <c r="C58" s="119">
        <f>Dataserier!H57</f>
        <v>0.71699999999999997</v>
      </c>
      <c r="D58" s="119">
        <f>Dataserier!M57</f>
        <v>-9.129999999999999</v>
      </c>
      <c r="E58" s="119">
        <f>Dataserier!Q57</f>
        <v>8.8699999999999992</v>
      </c>
      <c r="F58" s="119">
        <f>Dataserier!U57</f>
        <v>20.259999999999998</v>
      </c>
      <c r="G58" s="119">
        <f>Dataserier!Y57</f>
        <v>-8.7200000000000006</v>
      </c>
      <c r="H58" s="119">
        <f>Dataserier!AC57</f>
        <v>14.790000000000006</v>
      </c>
      <c r="I58" s="119">
        <f t="shared" si="0"/>
        <v>26.070000000000007</v>
      </c>
      <c r="L58" s="126">
        <f>Dataserier!BD57</f>
        <v>9.129999999999999</v>
      </c>
      <c r="M58" s="126">
        <f>Dataserier!BE57</f>
        <v>-0.24135200000000623</v>
      </c>
      <c r="N58" s="126">
        <f>Dataserier!BF57</f>
        <v>-9.3713520000000052</v>
      </c>
      <c r="O58" s="126">
        <f>Dataserier!BH57</f>
        <v>-8.8699999999999992</v>
      </c>
      <c r="P58" s="126">
        <f>Dataserier!BI57</f>
        <v>-3.699278575896038</v>
      </c>
      <c r="Q58" s="126">
        <f>Dataserier!BJ57</f>
        <v>5.1707214241039612</v>
      </c>
      <c r="R58" s="126">
        <f>Dataserier!BL57</f>
        <v>-20.259999999999998</v>
      </c>
      <c r="S58" s="126">
        <f>Dataserier!BM57</f>
        <v>-32.721199999999989</v>
      </c>
      <c r="T58" s="126">
        <f>Dataserier!BN57</f>
        <v>-12.461199999999991</v>
      </c>
      <c r="U58" s="126">
        <f>Dataserier!BP57</f>
        <v>8.7200000000000006</v>
      </c>
      <c r="V58" s="126">
        <f>Dataserier!BQ57</f>
        <v>-1.6152000000000015</v>
      </c>
      <c r="W58" s="126">
        <f>Dataserier!BR57</f>
        <v>-10.335200000000002</v>
      </c>
      <c r="X58" s="126">
        <f>Dataserier!BT57</f>
        <v>-14.790000000000006</v>
      </c>
      <c r="Y58" s="126">
        <f>Dataserier!BU57</f>
        <v>-29.661209999999983</v>
      </c>
      <c r="Z58" s="126">
        <f>Dataserier!BV57</f>
        <v>-14.871209999999977</v>
      </c>
      <c r="AB58" s="126">
        <f t="shared" si="1"/>
        <v>-5.8100000000000058</v>
      </c>
      <c r="AC58" s="126">
        <f t="shared" si="2"/>
        <v>-35.217040575896029</v>
      </c>
      <c r="AD58" s="126">
        <f t="shared" si="3"/>
        <v>-29.407040575896023</v>
      </c>
    </row>
    <row r="59" spans="1:30" x14ac:dyDescent="0.2">
      <c r="A59" s="128">
        <v>39370</v>
      </c>
      <c r="B59" s="157">
        <v>65.454999999999998</v>
      </c>
      <c r="C59" s="119">
        <f>Dataserier!H58</f>
        <v>0.71699999999999997</v>
      </c>
      <c r="D59" s="119">
        <f>Dataserier!M58</f>
        <v>-10.150000000000002</v>
      </c>
      <c r="E59" s="119">
        <f>Dataserier!Q58</f>
        <v>9.0109999999999992</v>
      </c>
      <c r="F59" s="119">
        <f>Dataserier!U58</f>
        <v>32.39</v>
      </c>
      <c r="G59" s="119">
        <f>Dataserier!Y58</f>
        <v>-9.0700000000000021</v>
      </c>
      <c r="H59" s="119">
        <f>Dataserier!AC58</f>
        <v>11.090000000000007</v>
      </c>
      <c r="I59" s="119">
        <f t="shared" si="0"/>
        <v>33.271000000000001</v>
      </c>
      <c r="L59" s="126">
        <f>Dataserier!BD58</f>
        <v>10.150000000000002</v>
      </c>
      <c r="M59" s="126">
        <f>Dataserier!BE58</f>
        <v>1.1477210000000042</v>
      </c>
      <c r="N59" s="126">
        <f>Dataserier!BF58</f>
        <v>-9.0022789999999979</v>
      </c>
      <c r="O59" s="126">
        <f>Dataserier!BH58</f>
        <v>-9.0109999999999992</v>
      </c>
      <c r="P59" s="126">
        <f>Dataserier!BI58</f>
        <v>-2.7948801764708904</v>
      </c>
      <c r="Q59" s="126">
        <f>Dataserier!BJ58</f>
        <v>6.2161198235291089</v>
      </c>
      <c r="R59" s="126">
        <f>Dataserier!BL58</f>
        <v>-32.39</v>
      </c>
      <c r="S59" s="126">
        <f>Dataserier!BM58</f>
        <v>-32.738299999999988</v>
      </c>
      <c r="T59" s="126">
        <f>Dataserier!BN58</f>
        <v>-0.34829999999998762</v>
      </c>
      <c r="U59" s="126">
        <f>Dataserier!BP58</f>
        <v>9.0700000000000021</v>
      </c>
      <c r="V59" s="126">
        <f>Dataserier!BQ58</f>
        <v>1.3144000000000062</v>
      </c>
      <c r="W59" s="126">
        <f>Dataserier!BR58</f>
        <v>-7.7555999999999958</v>
      </c>
      <c r="X59" s="126">
        <f>Dataserier!BT58</f>
        <v>-11.090000000000007</v>
      </c>
      <c r="Y59" s="126">
        <f>Dataserier!BU58</f>
        <v>-20.515659999999968</v>
      </c>
      <c r="Z59" s="126">
        <f>Dataserier!BV58</f>
        <v>-9.4256599999999615</v>
      </c>
      <c r="AB59" s="126">
        <f t="shared" si="1"/>
        <v>-0.881000000000002</v>
      </c>
      <c r="AC59" s="126">
        <f t="shared" si="2"/>
        <v>-20.848419176470848</v>
      </c>
      <c r="AD59" s="126">
        <f t="shared" si="3"/>
        <v>-19.967419176470848</v>
      </c>
    </row>
    <row r="60" spans="1:30" x14ac:dyDescent="0.2">
      <c r="A60" s="128">
        <v>39401</v>
      </c>
      <c r="B60" s="157">
        <v>72.606999999999999</v>
      </c>
      <c r="C60" s="119">
        <f>Dataserier!H59</f>
        <v>0.71699999999999997</v>
      </c>
      <c r="D60" s="119">
        <f>Dataserier!M59</f>
        <v>-10.72</v>
      </c>
      <c r="E60" s="119">
        <f>Dataserier!Q59</f>
        <v>3.2850000000000001</v>
      </c>
      <c r="F60" s="119">
        <f>Dataserier!U59</f>
        <v>21.470000000000006</v>
      </c>
      <c r="G60" s="119">
        <f>Dataserier!Y59</f>
        <v>-9.4999999999999982</v>
      </c>
      <c r="H60" s="119">
        <f>Dataserier!AC59</f>
        <v>3.34</v>
      </c>
      <c r="I60" s="119">
        <f t="shared" si="0"/>
        <v>7.8750000000000071</v>
      </c>
      <c r="L60" s="126">
        <f>Dataserier!BD59</f>
        <v>10.72</v>
      </c>
      <c r="M60" s="126">
        <f>Dataserier!BE59</f>
        <v>3.2527309999999972</v>
      </c>
      <c r="N60" s="126">
        <f>Dataserier!BF59</f>
        <v>-7.4672690000000035</v>
      </c>
      <c r="O60" s="126">
        <f>Dataserier!BH59</f>
        <v>-3.2850000000000001</v>
      </c>
      <c r="P60" s="126">
        <f>Dataserier!BI59</f>
        <v>-1.6687905997580437</v>
      </c>
      <c r="Q60" s="126">
        <f>Dataserier!BJ59</f>
        <v>1.6162094002419565</v>
      </c>
      <c r="R60" s="126">
        <f>Dataserier!BL59</f>
        <v>-21.470000000000006</v>
      </c>
      <c r="S60" s="126">
        <f>Dataserier!BM59</f>
        <v>-30.379099999999994</v>
      </c>
      <c r="T60" s="126">
        <f>Dataserier!BN59</f>
        <v>-8.909099999999988</v>
      </c>
      <c r="U60" s="126">
        <f>Dataserier!BP59</f>
        <v>9.4999999999999982</v>
      </c>
      <c r="V60" s="126">
        <f>Dataserier!BQ59</f>
        <v>4.7927000000000106</v>
      </c>
      <c r="W60" s="126">
        <f>Dataserier!BR59</f>
        <v>-4.7072999999999876</v>
      </c>
      <c r="X60" s="126">
        <f>Dataserier!BT59</f>
        <v>-3.34</v>
      </c>
      <c r="Y60" s="126">
        <f>Dataserier!BU59</f>
        <v>-10.107180000000028</v>
      </c>
      <c r="Z60" s="126">
        <f>Dataserier!BV59</f>
        <v>-6.7671800000000282</v>
      </c>
      <c r="AB60" s="126">
        <f t="shared" si="1"/>
        <v>13.594999999999999</v>
      </c>
      <c r="AC60" s="126">
        <f t="shared" si="2"/>
        <v>-3.7305395997580639</v>
      </c>
      <c r="AD60" s="126">
        <f t="shared" si="3"/>
        <v>-17.325539599758063</v>
      </c>
    </row>
    <row r="61" spans="1:30" s="126" customFormat="1" x14ac:dyDescent="0.2">
      <c r="A61" s="164">
        <v>39431</v>
      </c>
      <c r="B61" s="170">
        <v>71.046000000000006</v>
      </c>
      <c r="C61" s="162">
        <f>Dataserier!H60</f>
        <v>0.71699999999999997</v>
      </c>
      <c r="D61" s="162">
        <f>Dataserier!M60</f>
        <v>-5.2200000000000006</v>
      </c>
      <c r="E61" s="162">
        <f>Dataserier!Q60</f>
        <v>0.316</v>
      </c>
      <c r="F61" s="162">
        <f>Dataserier!U60</f>
        <v>26.78</v>
      </c>
      <c r="G61" s="162">
        <f>Dataserier!Y60</f>
        <v>-9.7500000000000018</v>
      </c>
      <c r="H61" s="162">
        <f>Dataserier!AC60</f>
        <v>1.0700000000000038</v>
      </c>
      <c r="I61" s="162">
        <f t="shared" si="0"/>
        <v>13.196000000000003</v>
      </c>
      <c r="J61" s="162"/>
      <c r="K61" s="162"/>
      <c r="L61" s="162">
        <f>Dataserier!BD60</f>
        <v>5.2200000000000006</v>
      </c>
      <c r="M61" s="162">
        <f>Dataserier!BE60</f>
        <v>5.2199999999999989</v>
      </c>
      <c r="N61" s="162">
        <f>Dataserier!BF60</f>
        <v>0</v>
      </c>
      <c r="O61" s="162">
        <f>Dataserier!BH60</f>
        <v>-0.316</v>
      </c>
      <c r="P61" s="162">
        <f>Dataserier!BI60</f>
        <v>-0.31599999999999895</v>
      </c>
      <c r="Q61" s="162">
        <f>Dataserier!BJ60</f>
        <v>1.0547118733938987E-15</v>
      </c>
      <c r="R61" s="162">
        <f>Dataserier!BL60</f>
        <v>-26.78</v>
      </c>
      <c r="S61" s="162">
        <f>Dataserier!BM60</f>
        <v>-26.779999999999994</v>
      </c>
      <c r="T61" s="162">
        <f>Dataserier!BN60</f>
        <v>0</v>
      </c>
      <c r="U61" s="162">
        <f>Dataserier!BP60</f>
        <v>9.7500000000000018</v>
      </c>
      <c r="V61" s="162">
        <f>Dataserier!BQ60</f>
        <v>9.75</v>
      </c>
      <c r="W61" s="162">
        <f>Dataserier!BR60</f>
        <v>0</v>
      </c>
      <c r="X61" s="162">
        <f>Dataserier!BT60</f>
        <v>-1.0700000000000038</v>
      </c>
      <c r="Y61" s="162">
        <f>Dataserier!BU60</f>
        <v>-1.0699999999999932</v>
      </c>
      <c r="Z61" s="162">
        <f>Dataserier!BV60</f>
        <v>1.0658141036401503E-14</v>
      </c>
      <c r="AA61" s="162"/>
      <c r="AB61" s="162">
        <f t="shared" si="1"/>
        <v>13.584</v>
      </c>
      <c r="AC61" s="162">
        <f t="shared" si="2"/>
        <v>13.584000000000007</v>
      </c>
      <c r="AD61" s="162">
        <f t="shared" si="3"/>
        <v>0</v>
      </c>
    </row>
    <row r="62" spans="1:30" x14ac:dyDescent="0.2">
      <c r="A62" s="128">
        <v>39462</v>
      </c>
      <c r="B62" s="157">
        <v>93.688000000000002</v>
      </c>
      <c r="C62" s="119">
        <f>Dataserier!H61</f>
        <v>0.71699999999999997</v>
      </c>
      <c r="D62" s="119">
        <f>Dataserier!M61</f>
        <v>-10.860000000000001</v>
      </c>
      <c r="E62" s="119">
        <f>Dataserier!Q61</f>
        <v>-0.98099999999999998</v>
      </c>
      <c r="F62" s="119">
        <f>Dataserier!U61</f>
        <v>32.509999999999991</v>
      </c>
      <c r="G62" s="119">
        <f>Dataserier!Y61</f>
        <v>-3.2199999999999989</v>
      </c>
      <c r="H62" s="119">
        <f>Dataserier!AC61</f>
        <v>-4.4100000000000072</v>
      </c>
      <c r="I62" s="119">
        <f t="shared" si="0"/>
        <v>13.038999999999984</v>
      </c>
      <c r="L62" s="126">
        <f>Dataserier!BD61</f>
        <v>10.860000000000001</v>
      </c>
      <c r="M62" s="126">
        <f>Dataserier!BE61</f>
        <v>6.8073169999999834</v>
      </c>
      <c r="N62" s="126">
        <f>Dataserier!BF61</f>
        <v>-4.0526830000000178</v>
      </c>
      <c r="O62" s="126">
        <f>Dataserier!BH61</f>
        <v>0.98099999999999998</v>
      </c>
      <c r="P62" s="126">
        <f>Dataserier!BI61</f>
        <v>1.0893216446925784</v>
      </c>
      <c r="Q62" s="126">
        <f>Dataserier!BJ61</f>
        <v>0.10832164469257843</v>
      </c>
      <c r="R62" s="126">
        <f>Dataserier!BL61</f>
        <v>-32.509999999999991</v>
      </c>
      <c r="S62" s="126">
        <f>Dataserier!BM61</f>
        <v>-19.777599999999993</v>
      </c>
      <c r="T62" s="126">
        <f>Dataserier!BN61</f>
        <v>12.732399999999998</v>
      </c>
      <c r="U62" s="126">
        <f>Dataserier!BP61</f>
        <v>3.2199999999999989</v>
      </c>
      <c r="V62" s="126">
        <f>Dataserier!BQ61</f>
        <v>13.664200000000008</v>
      </c>
      <c r="W62" s="126">
        <f>Dataserier!BR61</f>
        <v>10.444200000000009</v>
      </c>
      <c r="X62" s="126">
        <f>Dataserier!BT61</f>
        <v>4.4100000000000072</v>
      </c>
      <c r="Y62" s="126">
        <f>Dataserier!BU61</f>
        <v>11.149919999999952</v>
      </c>
      <c r="Z62" s="126">
        <f>Dataserier!BV61</f>
        <v>6.7399199999999446</v>
      </c>
      <c r="AB62" s="126">
        <f t="shared" si="1"/>
        <v>19.471000000000007</v>
      </c>
      <c r="AC62" s="126">
        <f t="shared" si="2"/>
        <v>32.710758644692518</v>
      </c>
      <c r="AD62" s="126">
        <f t="shared" si="3"/>
        <v>13.239758644692511</v>
      </c>
    </row>
    <row r="63" spans="1:30" x14ac:dyDescent="0.2">
      <c r="A63" s="128">
        <v>39493</v>
      </c>
      <c r="B63" s="157">
        <v>109.907</v>
      </c>
      <c r="C63" s="119">
        <f>Dataserier!H62</f>
        <v>0.71699999999999997</v>
      </c>
      <c r="D63" s="119">
        <f>Dataserier!M62</f>
        <v>-10.450000000000001</v>
      </c>
      <c r="E63" s="119">
        <f>Dataserier!Q62</f>
        <v>-0.66300000000000003</v>
      </c>
      <c r="F63" s="119">
        <f>Dataserier!U62</f>
        <v>30.680000000000007</v>
      </c>
      <c r="G63" s="119">
        <f>Dataserier!Y62</f>
        <v>-1.0899999999999994</v>
      </c>
      <c r="H63" s="119">
        <f>Dataserier!AC62</f>
        <v>-4.4699999999999918</v>
      </c>
      <c r="I63" s="119">
        <f t="shared" si="0"/>
        <v>14.007000000000016</v>
      </c>
      <c r="L63" s="126">
        <f>Dataserier!BD62</f>
        <v>10.450000000000001</v>
      </c>
      <c r="M63" s="126">
        <f>Dataserier!BE62</f>
        <v>8.5967279999999846</v>
      </c>
      <c r="N63" s="126">
        <f>Dataserier!BF62</f>
        <v>-1.8532720000000165</v>
      </c>
      <c r="O63" s="126">
        <f>Dataserier!BH62</f>
        <v>0.66300000000000003</v>
      </c>
      <c r="P63" s="126">
        <f>Dataserier!BI62</f>
        <v>2.3282094002419598</v>
      </c>
      <c r="Q63" s="126">
        <f>Dataserier!BJ62</f>
        <v>1.6652094002419597</v>
      </c>
      <c r="R63" s="126">
        <f>Dataserier!BL62</f>
        <v>-30.680000000000007</v>
      </c>
      <c r="S63" s="126">
        <f>Dataserier!BM62</f>
        <v>-15.901599999999988</v>
      </c>
      <c r="T63" s="126">
        <f>Dataserier!BN62</f>
        <v>14.778400000000019</v>
      </c>
      <c r="U63" s="126">
        <f>Dataserier!BP62</f>
        <v>1.0899999999999994</v>
      </c>
      <c r="V63" s="126">
        <f>Dataserier!BQ62</f>
        <v>15.573899999999995</v>
      </c>
      <c r="W63" s="126">
        <f>Dataserier!BR62</f>
        <v>14.483899999999995</v>
      </c>
      <c r="X63" s="126">
        <f>Dataserier!BT62</f>
        <v>4.4699999999999918</v>
      </c>
      <c r="Y63" s="126">
        <f>Dataserier!BU62</f>
        <v>20.300579999999968</v>
      </c>
      <c r="Z63" s="126">
        <f>Dataserier!BV62</f>
        <v>15.830579999999976</v>
      </c>
      <c r="AB63" s="126">
        <f t="shared" si="1"/>
        <v>16.672999999999995</v>
      </c>
      <c r="AC63" s="126">
        <f t="shared" si="2"/>
        <v>46.799417400241907</v>
      </c>
      <c r="AD63" s="126">
        <f t="shared" si="3"/>
        <v>30.126417400241913</v>
      </c>
    </row>
    <row r="64" spans="1:30" x14ac:dyDescent="0.2">
      <c r="A64" s="128">
        <v>39522</v>
      </c>
      <c r="B64" s="157">
        <v>87.010999999999996</v>
      </c>
      <c r="C64" s="119">
        <f>Dataserier!H63</f>
        <v>0.71699999999999997</v>
      </c>
      <c r="D64" s="119">
        <f>Dataserier!M63</f>
        <v>-9.7200000000000006</v>
      </c>
      <c r="E64" s="119">
        <f>Dataserier!Q63</f>
        <v>0.47099999999999997</v>
      </c>
      <c r="F64" s="119">
        <f>Dataserier!U63</f>
        <v>46.649999999999991</v>
      </c>
      <c r="G64" s="119">
        <f>Dataserier!Y63</f>
        <v>-6.36</v>
      </c>
      <c r="H64" s="119">
        <f>Dataserier!AC63</f>
        <v>2.8299999999999947</v>
      </c>
      <c r="I64" s="119">
        <f t="shared" si="0"/>
        <v>33.870999999999981</v>
      </c>
      <c r="L64" s="126">
        <f>Dataserier!BD63</f>
        <v>9.7200000000000006</v>
      </c>
      <c r="M64" s="126">
        <f>Dataserier!BE63</f>
        <v>10.34548599999998</v>
      </c>
      <c r="N64" s="126">
        <f>Dataserier!BF63</f>
        <v>0.62548599999997911</v>
      </c>
      <c r="O64" s="126">
        <f>Dataserier!BH63</f>
        <v>-0.47099999999999997</v>
      </c>
      <c r="P64" s="126">
        <f>Dataserier!BI63</f>
        <v>3.2570534958662911</v>
      </c>
      <c r="Q64" s="126">
        <f>Dataserier!BJ63</f>
        <v>3.7280534958662912</v>
      </c>
      <c r="R64" s="126">
        <f>Dataserier!BL63</f>
        <v>-46.649999999999991</v>
      </c>
      <c r="S64" s="126">
        <f>Dataserier!BM63</f>
        <v>-9.5290999999999855</v>
      </c>
      <c r="T64" s="126">
        <f>Dataserier!BN63</f>
        <v>37.120900000000006</v>
      </c>
      <c r="U64" s="126">
        <f>Dataserier!BP63</f>
        <v>6.36</v>
      </c>
      <c r="V64" s="126">
        <f>Dataserier!BQ63</f>
        <v>19.114500000000007</v>
      </c>
      <c r="W64" s="126">
        <f>Dataserier!BR63</f>
        <v>12.754500000000007</v>
      </c>
      <c r="X64" s="126">
        <f>Dataserier!BT63</f>
        <v>-2.8299999999999947</v>
      </c>
      <c r="Y64" s="126">
        <f>Dataserier!BU63</f>
        <v>30.279999999999916</v>
      </c>
      <c r="Z64" s="126">
        <f>Dataserier!BV63</f>
        <v>33.109999999999914</v>
      </c>
      <c r="AB64" s="126">
        <f t="shared" si="1"/>
        <v>12.779000000000007</v>
      </c>
      <c r="AC64" s="126">
        <f t="shared" si="2"/>
        <v>62.99703949586619</v>
      </c>
      <c r="AD64" s="126">
        <f t="shared" si="3"/>
        <v>50.218039495866179</v>
      </c>
    </row>
    <row r="65" spans="1:30" x14ac:dyDescent="0.2">
      <c r="A65" s="128">
        <v>39553</v>
      </c>
      <c r="B65" s="157">
        <v>89.665000000000006</v>
      </c>
      <c r="C65" s="119">
        <f>Dataserier!H64</f>
        <v>0.71699999999999997</v>
      </c>
      <c r="D65" s="119">
        <f>Dataserier!M64</f>
        <v>-11.31</v>
      </c>
      <c r="E65" s="119">
        <f>Dataserier!Q64</f>
        <v>1.6020000000000001</v>
      </c>
      <c r="F65" s="119">
        <f>Dataserier!U64</f>
        <v>49.730000000000004</v>
      </c>
      <c r="G65" s="119">
        <f>Dataserier!Y64</f>
        <v>-11.55</v>
      </c>
      <c r="H65" s="119">
        <f>Dataserier!AC64</f>
        <v>-13.05</v>
      </c>
      <c r="I65" s="119">
        <f t="shared" si="0"/>
        <v>15.422000000000004</v>
      </c>
      <c r="L65" s="126">
        <f>Dataserier!BD64</f>
        <v>11.31</v>
      </c>
      <c r="M65" s="126">
        <f>Dataserier!BE64</f>
        <v>12.212658999999974</v>
      </c>
      <c r="N65" s="126">
        <f>Dataserier!BF64</f>
        <v>0.90265899999997323</v>
      </c>
      <c r="O65" s="126">
        <f>Dataserier!BH64</f>
        <v>-1.6020000000000001</v>
      </c>
      <c r="P65" s="126">
        <f>Dataserier!BI64</f>
        <v>4.033664813967146</v>
      </c>
      <c r="Q65" s="126">
        <f>Dataserier!BJ64</f>
        <v>5.6356648139671464</v>
      </c>
      <c r="R65" s="126">
        <f>Dataserier!BL64</f>
        <v>-49.730000000000004</v>
      </c>
      <c r="S65" s="126">
        <f>Dataserier!BM64</f>
        <v>-6.3367999999999824</v>
      </c>
      <c r="T65" s="126">
        <f>Dataserier!BN64</f>
        <v>43.393200000000022</v>
      </c>
      <c r="U65" s="126">
        <f>Dataserier!BP64</f>
        <v>11.55</v>
      </c>
      <c r="V65" s="126">
        <f>Dataserier!BQ64</f>
        <v>22.559600000000017</v>
      </c>
      <c r="W65" s="126">
        <f>Dataserier!BR64</f>
        <v>11.009600000000017</v>
      </c>
      <c r="X65" s="126">
        <f>Dataserier!BT64</f>
        <v>13.05</v>
      </c>
      <c r="Y65" s="126">
        <f>Dataserier!BU64</f>
        <v>39.826509999999928</v>
      </c>
      <c r="Z65" s="126">
        <f>Dataserier!BV64</f>
        <v>26.776509999999927</v>
      </c>
      <c r="AB65" s="126">
        <f t="shared" si="1"/>
        <v>34.308000000000007</v>
      </c>
      <c r="AC65" s="126">
        <f t="shared" si="2"/>
        <v>78.632433813967069</v>
      </c>
      <c r="AD65" s="126">
        <f t="shared" si="3"/>
        <v>44.324433813967062</v>
      </c>
    </row>
    <row r="66" spans="1:30" x14ac:dyDescent="0.2">
      <c r="A66" s="128">
        <v>39583</v>
      </c>
      <c r="B66" s="157">
        <v>91.759</v>
      </c>
      <c r="C66" s="119">
        <f>Dataserier!H65</f>
        <v>0.71699999999999997</v>
      </c>
      <c r="D66" s="119">
        <f>Dataserier!M65</f>
        <v>-12.299999999999999</v>
      </c>
      <c r="E66" s="119">
        <f>Dataserier!Q65</f>
        <v>3.3010000000000002</v>
      </c>
      <c r="F66" s="119">
        <f>Dataserier!U65</f>
        <v>23.060000000000016</v>
      </c>
      <c r="G66" s="119">
        <f>Dataserier!Y65</f>
        <v>-18.21</v>
      </c>
      <c r="H66" s="119">
        <f>Dataserier!AC65</f>
        <v>-9.610000000000003</v>
      </c>
      <c r="I66" s="119">
        <f t="shared" si="0"/>
        <v>-13.758999999999986</v>
      </c>
      <c r="L66" s="126">
        <f>Dataserier!BD65</f>
        <v>12.299999999999999</v>
      </c>
      <c r="M66" s="126">
        <f>Dataserier!BE65</f>
        <v>14.243011999999979</v>
      </c>
      <c r="N66" s="126">
        <f>Dataserier!BF65</f>
        <v>1.94301199999998</v>
      </c>
      <c r="O66" s="126">
        <f>Dataserier!BH65</f>
        <v>-3.3010000000000002</v>
      </c>
      <c r="P66" s="126">
        <f>Dataserier!BI65</f>
        <v>4.8912094002419586</v>
      </c>
      <c r="Q66" s="126">
        <f>Dataserier!BJ65</f>
        <v>8.1922094002419588</v>
      </c>
      <c r="R66" s="126">
        <f>Dataserier!BL65</f>
        <v>-23.060000000000016</v>
      </c>
      <c r="S66" s="126">
        <f>Dataserier!BM65</f>
        <v>-4.7456999999999852</v>
      </c>
      <c r="T66" s="126">
        <f>Dataserier!BN65</f>
        <v>18.314300000000031</v>
      </c>
      <c r="U66" s="126">
        <f>Dataserier!BP65</f>
        <v>18.21</v>
      </c>
      <c r="V66" s="126">
        <f>Dataserier!BQ65</f>
        <v>25.817800000000005</v>
      </c>
      <c r="W66" s="126">
        <f>Dataserier!BR65</f>
        <v>7.6078000000000046</v>
      </c>
      <c r="X66" s="126">
        <f>Dataserier!BT65</f>
        <v>9.610000000000003</v>
      </c>
      <c r="Y66" s="126">
        <f>Dataserier!BU65</f>
        <v>49.18718999999993</v>
      </c>
      <c r="Z66" s="126">
        <f>Dataserier!BV65</f>
        <v>39.577189999999931</v>
      </c>
      <c r="AB66" s="126">
        <f t="shared" si="1"/>
        <v>36.819000000000003</v>
      </c>
      <c r="AC66" s="126">
        <f t="shared" si="2"/>
        <v>94.139211400241877</v>
      </c>
      <c r="AD66" s="126">
        <f t="shared" si="3"/>
        <v>57.320211400241874</v>
      </c>
    </row>
    <row r="67" spans="1:30" x14ac:dyDescent="0.2">
      <c r="A67" s="128">
        <v>39614</v>
      </c>
      <c r="B67" s="157">
        <v>95.534999999999997</v>
      </c>
      <c r="C67" s="119">
        <f>Dataserier!H66</f>
        <v>0.71699999999999997</v>
      </c>
      <c r="D67" s="119">
        <f>Dataserier!M66</f>
        <v>-11.62</v>
      </c>
      <c r="E67" s="119">
        <f>Dataserier!Q66</f>
        <v>-4.4749999999999996</v>
      </c>
      <c r="F67" s="119">
        <f>Dataserier!U66</f>
        <v>42.679999999999993</v>
      </c>
      <c r="G67" s="119">
        <f>Dataserier!Y66</f>
        <v>-20.740000000000002</v>
      </c>
      <c r="H67" s="119">
        <f>Dataserier!AC66</f>
        <v>-7.5499999999999936</v>
      </c>
      <c r="I67" s="119">
        <f t="shared" ref="I67:I120" si="4">D67+E67+F67+G67+H67</f>
        <v>-1.7050000000000018</v>
      </c>
      <c r="L67" s="126">
        <f>Dataserier!BD66</f>
        <v>11.62</v>
      </c>
      <c r="M67" s="126">
        <f>Dataserier!BE66</f>
        <v>16.169026999999986</v>
      </c>
      <c r="N67" s="126">
        <f>Dataserier!BF66</f>
        <v>4.5490269999999864</v>
      </c>
      <c r="O67" s="126">
        <f>Dataserier!BH66</f>
        <v>4.4749999999999996</v>
      </c>
      <c r="P67" s="126">
        <f>Dataserier!BI66</f>
        <v>5.9734498253939918</v>
      </c>
      <c r="Q67" s="126">
        <f>Dataserier!BJ66</f>
        <v>1.4984498253939922</v>
      </c>
      <c r="R67" s="126">
        <f>Dataserier!BL66</f>
        <v>-42.679999999999993</v>
      </c>
      <c r="S67" s="126">
        <f>Dataserier!BM66</f>
        <v>-3.4933999999999799</v>
      </c>
      <c r="T67" s="126">
        <f>Dataserier!BN66</f>
        <v>39.186600000000013</v>
      </c>
      <c r="U67" s="126">
        <f>Dataserier!BP66</f>
        <v>20.740000000000002</v>
      </c>
      <c r="V67" s="126">
        <f>Dataserier!BQ66</f>
        <v>28.773700000000005</v>
      </c>
      <c r="W67" s="126">
        <f>Dataserier!BR66</f>
        <v>8.0337000000000032</v>
      </c>
      <c r="X67" s="126">
        <f>Dataserier!BT66</f>
        <v>7.5499999999999936</v>
      </c>
      <c r="Y67" s="126">
        <f>Dataserier!BU66</f>
        <v>58.010889999999961</v>
      </c>
      <c r="Z67" s="126">
        <f>Dataserier!BV66</f>
        <v>50.460889999999964</v>
      </c>
      <c r="AB67" s="126">
        <f t="shared" ref="AB67:AB117" si="5">L67+O67+U67+X67</f>
        <v>44.384999999999991</v>
      </c>
      <c r="AC67" s="126">
        <f t="shared" ref="AC67:AC117" si="6">M67+P67+V67+Y67</f>
        <v>108.92706682539395</v>
      </c>
      <c r="AD67" s="126">
        <f t="shared" ref="AD67:AD117" si="7">AC67-AB67</f>
        <v>64.54206682539396</v>
      </c>
    </row>
    <row r="68" spans="1:30" x14ac:dyDescent="0.2">
      <c r="A68" s="128">
        <v>39644</v>
      </c>
      <c r="B68" s="157">
        <v>94.241</v>
      </c>
      <c r="C68" s="119">
        <f>Dataserier!H67</f>
        <v>0.71699999999999997</v>
      </c>
      <c r="D68" s="119">
        <f>Dataserier!M67</f>
        <v>-12.380000000000003</v>
      </c>
      <c r="E68" s="119">
        <f>Dataserier!Q67</f>
        <v>14.003</v>
      </c>
      <c r="F68" s="119">
        <f>Dataserier!U67</f>
        <v>51.75</v>
      </c>
      <c r="G68" s="119">
        <f>Dataserier!Y67</f>
        <v>-16.47</v>
      </c>
      <c r="H68" s="119">
        <f>Dataserier!AC67</f>
        <v>-15.570000000000004</v>
      </c>
      <c r="I68" s="119">
        <f t="shared" si="4"/>
        <v>21.332999999999995</v>
      </c>
      <c r="L68" s="126">
        <f>Dataserier!BD67</f>
        <v>12.380000000000003</v>
      </c>
      <c r="M68" s="126">
        <f>Dataserier!BE67</f>
        <v>17.639955999999984</v>
      </c>
      <c r="N68" s="126">
        <f>Dataserier!BF67</f>
        <v>5.2599559999999812</v>
      </c>
      <c r="O68" s="126">
        <f>Dataserier!BH67</f>
        <v>-14.003</v>
      </c>
      <c r="P68" s="126">
        <f>Dataserier!BI67</f>
        <v>7.0665347601498496</v>
      </c>
      <c r="Q68" s="126">
        <f>Dataserier!BJ67</f>
        <v>21.06953476014985</v>
      </c>
      <c r="R68" s="126">
        <f>Dataserier!BL67</f>
        <v>-51.75</v>
      </c>
      <c r="S68" s="126">
        <f>Dataserier!BM67</f>
        <v>-4.0669999999999789</v>
      </c>
      <c r="T68" s="126">
        <f>Dataserier!BN67</f>
        <v>47.683000000000021</v>
      </c>
      <c r="U68" s="126">
        <f>Dataserier!BP67</f>
        <v>16.47</v>
      </c>
      <c r="V68" s="126">
        <f>Dataserier!BQ67</f>
        <v>31.165300000000016</v>
      </c>
      <c r="W68" s="126">
        <f>Dataserier!BR67</f>
        <v>14.695300000000017</v>
      </c>
      <c r="X68" s="126">
        <f>Dataserier!BT67</f>
        <v>15.570000000000004</v>
      </c>
      <c r="Y68" s="126">
        <f>Dataserier!BU67</f>
        <v>64.668819999999926</v>
      </c>
      <c r="Z68" s="126">
        <f>Dataserier!BV67</f>
        <v>49.098819999999918</v>
      </c>
      <c r="AB68" s="126">
        <f t="shared" si="5"/>
        <v>30.417000000000005</v>
      </c>
      <c r="AC68" s="126">
        <f t="shared" si="6"/>
        <v>120.54061076014978</v>
      </c>
      <c r="AD68" s="126">
        <f t="shared" si="7"/>
        <v>90.123610760149774</v>
      </c>
    </row>
    <row r="69" spans="1:30" x14ac:dyDescent="0.2">
      <c r="A69" s="128">
        <v>39675</v>
      </c>
      <c r="B69" s="157">
        <v>108.08499999999999</v>
      </c>
      <c r="C69" s="119">
        <f>Dataserier!H68</f>
        <v>0.71699999999999997</v>
      </c>
      <c r="D69" s="119">
        <f>Dataserier!M68</f>
        <v>-15.510000000000002</v>
      </c>
      <c r="E69" s="119">
        <f>Dataserier!Q68</f>
        <v>15.567</v>
      </c>
      <c r="F69" s="119">
        <f>Dataserier!U68</f>
        <v>61.409999999999989</v>
      </c>
      <c r="G69" s="119">
        <f>Dataserier!Y68</f>
        <v>-14.500000000000002</v>
      </c>
      <c r="H69" s="119">
        <f>Dataserier!AC68</f>
        <v>-21.189999999999998</v>
      </c>
      <c r="I69" s="119">
        <f t="shared" si="4"/>
        <v>25.776999999999987</v>
      </c>
      <c r="L69" s="126">
        <f>Dataserier!BD68</f>
        <v>15.510000000000002</v>
      </c>
      <c r="M69" s="126">
        <f>Dataserier!BE68</f>
        <v>19.268079999999983</v>
      </c>
      <c r="N69" s="126">
        <f>Dataserier!BF68</f>
        <v>3.7580799999999819</v>
      </c>
      <c r="O69" s="126">
        <f>Dataserier!BH68</f>
        <v>-15.567</v>
      </c>
      <c r="P69" s="126">
        <f>Dataserier!BI68</f>
        <v>7.8672094002419612</v>
      </c>
      <c r="Q69" s="126">
        <f>Dataserier!BJ68</f>
        <v>23.434209400241961</v>
      </c>
      <c r="R69" s="126">
        <f>Dataserier!BL68</f>
        <v>-61.409999999999989</v>
      </c>
      <c r="S69" s="126">
        <f>Dataserier!BM68</f>
        <v>1.3307000000000073</v>
      </c>
      <c r="T69" s="126">
        <f>Dataserier!BN68</f>
        <v>62.740699999999997</v>
      </c>
      <c r="U69" s="126">
        <f>Dataserier!BP68</f>
        <v>14.500000000000002</v>
      </c>
      <c r="V69" s="126">
        <f>Dataserier!BQ68</f>
        <v>31.580100000000016</v>
      </c>
      <c r="W69" s="126">
        <f>Dataserier!BR68</f>
        <v>17.080100000000016</v>
      </c>
      <c r="X69" s="126">
        <f>Dataserier!BT68</f>
        <v>21.189999999999998</v>
      </c>
      <c r="Y69" s="126">
        <f>Dataserier!BU68</f>
        <v>71.459119999999928</v>
      </c>
      <c r="Z69" s="126">
        <f>Dataserier!BV68</f>
        <v>50.26911999999993</v>
      </c>
      <c r="AB69" s="126">
        <f t="shared" si="5"/>
        <v>35.633000000000003</v>
      </c>
      <c r="AC69" s="126">
        <f t="shared" si="6"/>
        <v>130.1745094002419</v>
      </c>
      <c r="AD69" s="126">
        <f t="shared" si="7"/>
        <v>94.541509400241893</v>
      </c>
    </row>
    <row r="70" spans="1:30" x14ac:dyDescent="0.2">
      <c r="A70" s="128">
        <v>39706</v>
      </c>
      <c r="B70" s="157">
        <v>99.957999999999998</v>
      </c>
      <c r="C70" s="119">
        <f>Dataserier!H69</f>
        <v>0.71699999999999997</v>
      </c>
      <c r="D70" s="119">
        <f>Dataserier!M69</f>
        <v>-13.23</v>
      </c>
      <c r="E70" s="119">
        <f>Dataserier!Q69</f>
        <v>-25.321000000000002</v>
      </c>
      <c r="F70" s="119">
        <f>Dataserier!U69</f>
        <v>34.27000000000001</v>
      </c>
      <c r="G70" s="119">
        <f>Dataserier!Y69</f>
        <v>-13.450000000000001</v>
      </c>
      <c r="H70" s="119">
        <f>Dataserier!AC69</f>
        <v>-19.620000000000008</v>
      </c>
      <c r="I70" s="119">
        <f t="shared" si="4"/>
        <v>-37.350999999999999</v>
      </c>
      <c r="L70" s="126">
        <f>Dataserier!BD69</f>
        <v>13.23</v>
      </c>
      <c r="M70" s="126">
        <f>Dataserier!BE69</f>
        <v>21.050055999999984</v>
      </c>
      <c r="N70" s="126">
        <f>Dataserier!BF69</f>
        <v>7.8200559999999832</v>
      </c>
      <c r="O70" s="126">
        <f>Dataserier!BH69</f>
        <v>25.321000000000002</v>
      </c>
      <c r="P70" s="126">
        <f>Dataserier!BI69</f>
        <v>8.183996196602088</v>
      </c>
      <c r="Q70" s="126">
        <f>Dataserier!BJ69</f>
        <v>-17.137003803397914</v>
      </c>
      <c r="R70" s="126">
        <f>Dataserier!BL69</f>
        <v>-34.27000000000001</v>
      </c>
      <c r="S70" s="126">
        <f>Dataserier!BM69</f>
        <v>5.6627000000000152</v>
      </c>
      <c r="T70" s="126">
        <f>Dataserier!BN69</f>
        <v>39.932700000000025</v>
      </c>
      <c r="U70" s="126">
        <f>Dataserier!BP69</f>
        <v>13.450000000000001</v>
      </c>
      <c r="V70" s="126">
        <f>Dataserier!BQ69</f>
        <v>34.292000000000002</v>
      </c>
      <c r="W70" s="126">
        <f>Dataserier!BR69</f>
        <v>20.841999999999999</v>
      </c>
      <c r="X70" s="126">
        <f>Dataserier!BT69</f>
        <v>19.620000000000008</v>
      </c>
      <c r="Y70" s="126">
        <f>Dataserier!BU69</f>
        <v>80.237669999999923</v>
      </c>
      <c r="Z70" s="126">
        <f>Dataserier!BV69</f>
        <v>60.617669999999919</v>
      </c>
      <c r="AB70" s="126">
        <f t="shared" si="5"/>
        <v>71.621000000000009</v>
      </c>
      <c r="AC70" s="126">
        <f t="shared" si="6"/>
        <v>143.763722196602</v>
      </c>
      <c r="AD70" s="126">
        <f t="shared" si="7"/>
        <v>72.142722196601994</v>
      </c>
    </row>
    <row r="71" spans="1:30" x14ac:dyDescent="0.2">
      <c r="A71" s="128">
        <v>39736</v>
      </c>
      <c r="B71" s="157">
        <v>70.195999999999998</v>
      </c>
      <c r="C71" s="119">
        <f>Dataserier!H70</f>
        <v>0.71699999999999997</v>
      </c>
      <c r="D71" s="119">
        <f>Dataserier!M70</f>
        <v>-16.16</v>
      </c>
      <c r="E71" s="119">
        <f>Dataserier!Q70</f>
        <v>-41.753</v>
      </c>
      <c r="F71" s="119">
        <f>Dataserier!U70</f>
        <v>23.18</v>
      </c>
      <c r="G71" s="119">
        <f>Dataserier!Y70</f>
        <v>-20.23</v>
      </c>
      <c r="H71" s="119">
        <f>Dataserier!AC70</f>
        <v>-13.969999999999999</v>
      </c>
      <c r="I71" s="119">
        <f t="shared" si="4"/>
        <v>-68.932999999999993</v>
      </c>
      <c r="L71" s="126">
        <f>Dataserier!BD70</f>
        <v>16.16</v>
      </c>
      <c r="M71" s="126">
        <f>Dataserier!BE70</f>
        <v>22.965746999999979</v>
      </c>
      <c r="N71" s="126">
        <f>Dataserier!BF70</f>
        <v>6.8057469999999789</v>
      </c>
      <c r="O71" s="126">
        <f>Dataserier!BH70</f>
        <v>41.753</v>
      </c>
      <c r="P71" s="126">
        <f>Dataserier!BI70</f>
        <v>8.2725266209592903</v>
      </c>
      <c r="Q71" s="126">
        <f>Dataserier!BJ70</f>
        <v>-33.48047337904071</v>
      </c>
      <c r="R71" s="126">
        <f>Dataserier!BL70</f>
        <v>-23.18</v>
      </c>
      <c r="S71" s="126">
        <f>Dataserier!BM70</f>
        <v>8.4478000000000151</v>
      </c>
      <c r="T71" s="126">
        <f>Dataserier!BN70</f>
        <v>31.627800000000015</v>
      </c>
      <c r="U71" s="126">
        <f>Dataserier!BP70</f>
        <v>20.23</v>
      </c>
      <c r="V71" s="126">
        <f>Dataserier!BQ70</f>
        <v>37.977100000000007</v>
      </c>
      <c r="W71" s="126">
        <f>Dataserier!BR70</f>
        <v>17.747100000000007</v>
      </c>
      <c r="X71" s="126">
        <f>Dataserier!BT70</f>
        <v>13.969999999999999</v>
      </c>
      <c r="Y71" s="126">
        <f>Dataserier!BU70</f>
        <v>90.296669999999892</v>
      </c>
      <c r="Z71" s="126">
        <f>Dataserier!BV70</f>
        <v>76.326669999999893</v>
      </c>
      <c r="AB71" s="126">
        <f t="shared" si="5"/>
        <v>92.113</v>
      </c>
      <c r="AC71" s="126">
        <f t="shared" si="6"/>
        <v>159.51204362095916</v>
      </c>
      <c r="AD71" s="126">
        <f t="shared" si="7"/>
        <v>67.399043620959162</v>
      </c>
    </row>
    <row r="72" spans="1:30" x14ac:dyDescent="0.2">
      <c r="A72" s="128">
        <v>39767</v>
      </c>
      <c r="B72" s="157">
        <v>93.376999999999995</v>
      </c>
      <c r="C72" s="119">
        <f>Dataserier!H71</f>
        <v>0.71699999999999997</v>
      </c>
      <c r="D72" s="119">
        <f>Dataserier!M71</f>
        <v>-17.68</v>
      </c>
      <c r="E72" s="119">
        <f>Dataserier!Q71</f>
        <v>-44.582000000000001</v>
      </c>
      <c r="F72" s="119">
        <f>Dataserier!U71</f>
        <v>24.12</v>
      </c>
      <c r="G72" s="119">
        <f>Dataserier!Y71</f>
        <v>-24.970000000000002</v>
      </c>
      <c r="H72" s="119">
        <f>Dataserier!AC71</f>
        <v>-22.12</v>
      </c>
      <c r="I72" s="119">
        <f t="shared" si="4"/>
        <v>-85.231999999999999</v>
      </c>
      <c r="L72" s="126">
        <f>Dataserier!BD71</f>
        <v>17.68</v>
      </c>
      <c r="M72" s="126">
        <f>Dataserier!BE71</f>
        <v>24.950259999999986</v>
      </c>
      <c r="N72" s="126">
        <f>Dataserier!BF71</f>
        <v>7.2702599999999862</v>
      </c>
      <c r="O72" s="126">
        <f>Dataserier!BH71</f>
        <v>44.582000000000001</v>
      </c>
      <c r="P72" s="126">
        <f>Dataserier!BI71</f>
        <v>8.5002094002419568</v>
      </c>
      <c r="Q72" s="126">
        <f>Dataserier!BJ71</f>
        <v>-36.081790599758044</v>
      </c>
      <c r="R72" s="126">
        <f>Dataserier!BL71</f>
        <v>-24.12</v>
      </c>
      <c r="S72" s="126">
        <f>Dataserier!BM71</f>
        <v>13.445300000000017</v>
      </c>
      <c r="T72" s="126">
        <f>Dataserier!BN71</f>
        <v>37.565300000000022</v>
      </c>
      <c r="U72" s="126">
        <f>Dataserier!BP71</f>
        <v>24.970000000000002</v>
      </c>
      <c r="V72" s="126">
        <f>Dataserier!BQ71</f>
        <v>41.414900000000017</v>
      </c>
      <c r="W72" s="126">
        <f>Dataserier!BR71</f>
        <v>16.444900000000015</v>
      </c>
      <c r="X72" s="126">
        <f>Dataserier!BT71</f>
        <v>22.12</v>
      </c>
      <c r="Y72" s="126">
        <f>Dataserier!BU71</f>
        <v>98.001109999999926</v>
      </c>
      <c r="Z72" s="126">
        <f>Dataserier!BV71</f>
        <v>75.881109999999921</v>
      </c>
      <c r="AB72" s="126">
        <f t="shared" si="5"/>
        <v>109.352</v>
      </c>
      <c r="AC72" s="126">
        <f t="shared" si="6"/>
        <v>172.86647940024187</v>
      </c>
      <c r="AD72" s="126">
        <f t="shared" si="7"/>
        <v>63.514479400241868</v>
      </c>
    </row>
    <row r="73" spans="1:30" s="126" customFormat="1" x14ac:dyDescent="0.2">
      <c r="A73" s="128">
        <v>39797</v>
      </c>
      <c r="B73" s="157">
        <v>115.65</v>
      </c>
      <c r="C73" s="119">
        <f>Dataserier!H72</f>
        <v>0.71699999999999997</v>
      </c>
      <c r="D73" s="119">
        <f>Dataserier!M72</f>
        <v>-17.97</v>
      </c>
      <c r="E73" s="119">
        <f>Dataserier!Q72</f>
        <v>-43.851999999999997</v>
      </c>
      <c r="F73" s="119">
        <f>Dataserier!U72</f>
        <v>17.360000000000021</v>
      </c>
      <c r="G73" s="119">
        <f>Dataserier!Y72</f>
        <v>-34.31</v>
      </c>
      <c r="H73" s="119">
        <f>Dataserier!AC72</f>
        <v>-30.65</v>
      </c>
      <c r="I73" s="119">
        <f t="shared" si="4"/>
        <v>-109.42199999999997</v>
      </c>
      <c r="L73" s="126">
        <f>Dataserier!BD72</f>
        <v>17.97</v>
      </c>
      <c r="M73" s="126">
        <f>Dataserier!BE72</f>
        <v>26.955991999999995</v>
      </c>
      <c r="N73" s="126">
        <f>Dataserier!BF72</f>
        <v>8.985991999999996</v>
      </c>
      <c r="O73" s="126">
        <f>Dataserier!BH72</f>
        <v>43.851999999999997</v>
      </c>
      <c r="P73" s="126">
        <f>Dataserier!BI72</f>
        <v>9.1281921600197791</v>
      </c>
      <c r="Q73" s="126">
        <f>Dataserier!BJ72</f>
        <v>-34.723807839980218</v>
      </c>
      <c r="R73" s="126">
        <f>Dataserier!BL72</f>
        <v>-17.360000000000021</v>
      </c>
      <c r="S73" s="126">
        <f>Dataserier!BM72</f>
        <v>18.306800000000024</v>
      </c>
      <c r="T73" s="126">
        <f>Dataserier!BN72</f>
        <v>35.666800000000045</v>
      </c>
      <c r="U73" s="126">
        <f>Dataserier!BP72</f>
        <v>34.31</v>
      </c>
      <c r="V73" s="126">
        <f>Dataserier!BQ72</f>
        <v>44.54770000000002</v>
      </c>
      <c r="W73" s="126">
        <f>Dataserier!BR72</f>
        <v>10.237700000000018</v>
      </c>
      <c r="X73" s="126">
        <f>Dataserier!BT72</f>
        <v>30.65</v>
      </c>
      <c r="Y73" s="126">
        <f>Dataserier!BU72</f>
        <v>103.60562999999991</v>
      </c>
      <c r="Z73" s="126">
        <f>Dataserier!BV72</f>
        <v>72.9556299999999</v>
      </c>
      <c r="AB73" s="126">
        <f t="shared" si="5"/>
        <v>126.78200000000001</v>
      </c>
      <c r="AC73" s="126">
        <f t="shared" si="6"/>
        <v>184.23751416001971</v>
      </c>
      <c r="AD73" s="126">
        <f t="shared" si="7"/>
        <v>57.455514160019703</v>
      </c>
    </row>
    <row r="74" spans="1:30" x14ac:dyDescent="0.2">
      <c r="A74" s="128">
        <v>39828</v>
      </c>
      <c r="B74" s="157">
        <v>133.69200000000001</v>
      </c>
      <c r="C74" s="119">
        <f>Dataserier!H73</f>
        <v>0.72199999999999998</v>
      </c>
      <c r="D74" s="119">
        <f>Dataserier!M73</f>
        <v>-14.97</v>
      </c>
      <c r="E74" s="119">
        <f>Dataserier!Q73</f>
        <v>-44.110999999999997</v>
      </c>
      <c r="F74" s="119">
        <f>Dataserier!U73</f>
        <v>47.089999999999989</v>
      </c>
      <c r="G74" s="119">
        <f>Dataserier!Y73</f>
        <v>-34.340000000000003</v>
      </c>
      <c r="H74" s="119">
        <f>Dataserier!AC73</f>
        <v>-27.769999999999992</v>
      </c>
      <c r="I74" s="119">
        <f t="shared" si="4"/>
        <v>-74.100999999999999</v>
      </c>
      <c r="L74" s="126">
        <f>Dataserier!BD73</f>
        <v>14.97</v>
      </c>
      <c r="M74" s="126">
        <f>Dataserier!BE73</f>
        <v>28.627659999999992</v>
      </c>
      <c r="N74" s="126">
        <f>Dataserier!BF73</f>
        <v>13.657659999999991</v>
      </c>
      <c r="O74" s="126">
        <f>Dataserier!BH73</f>
        <v>44.110999999999997</v>
      </c>
      <c r="P74" s="126">
        <f>Dataserier!BI73</f>
        <v>9.9925781204276944</v>
      </c>
      <c r="Q74" s="126">
        <f>Dataserier!BJ73</f>
        <v>-34.118421879572303</v>
      </c>
      <c r="R74" s="126">
        <f>Dataserier!BL73</f>
        <v>-47.089999999999989</v>
      </c>
      <c r="S74" s="126">
        <f>Dataserier!BM73</f>
        <v>25.204600000000013</v>
      </c>
      <c r="T74" s="126">
        <f>Dataserier!BN73</f>
        <v>72.294600000000003</v>
      </c>
      <c r="U74" s="126">
        <f>Dataserier!BP73</f>
        <v>34.340000000000003</v>
      </c>
      <c r="V74" s="126">
        <f>Dataserier!BQ73</f>
        <v>47.853500000000011</v>
      </c>
      <c r="W74" s="126">
        <f>Dataserier!BR73</f>
        <v>13.513500000000008</v>
      </c>
      <c r="X74" s="126">
        <f>Dataserier!BT73</f>
        <v>27.769999999999992</v>
      </c>
      <c r="Y74" s="126">
        <f>Dataserier!BU73</f>
        <v>109.61497999999989</v>
      </c>
      <c r="Z74" s="126">
        <f>Dataserier!BV73</f>
        <v>81.844979999999893</v>
      </c>
      <c r="AB74" s="126">
        <f t="shared" si="5"/>
        <v>121.19099999999999</v>
      </c>
      <c r="AC74" s="126">
        <f t="shared" si="6"/>
        <v>196.08871812042759</v>
      </c>
      <c r="AD74" s="126">
        <f t="shared" si="7"/>
        <v>74.897718120427598</v>
      </c>
    </row>
    <row r="75" spans="1:30" x14ac:dyDescent="0.2">
      <c r="A75" s="128">
        <v>39859</v>
      </c>
      <c r="B75" s="157">
        <v>147.304</v>
      </c>
      <c r="C75" s="119">
        <f>Dataserier!H74</f>
        <v>0.72199999999999998</v>
      </c>
      <c r="D75" s="119">
        <f>Dataserier!M74</f>
        <v>-15.37</v>
      </c>
      <c r="E75" s="119">
        <f>Dataserier!Q74</f>
        <v>-63.41</v>
      </c>
      <c r="F75" s="119">
        <f>Dataserier!U74</f>
        <v>52.169999999999987</v>
      </c>
      <c r="G75" s="119">
        <f>Dataserier!Y74</f>
        <v>-31.31</v>
      </c>
      <c r="H75" s="119">
        <f>Dataserier!AC74</f>
        <v>-32.739999999999995</v>
      </c>
      <c r="I75" s="119">
        <f t="shared" si="4"/>
        <v>-90.660000000000011</v>
      </c>
      <c r="L75" s="126">
        <f>Dataserier!BD74</f>
        <v>15.37</v>
      </c>
      <c r="M75" s="126">
        <f>Dataserier!BE74</f>
        <v>29.699308000000002</v>
      </c>
      <c r="N75" s="126">
        <f>Dataserier!BF74</f>
        <v>14.329308000000003</v>
      </c>
      <c r="O75" s="126">
        <f>Dataserier!BH74</f>
        <v>63.41</v>
      </c>
      <c r="P75" s="126">
        <f>Dataserier!BI74</f>
        <v>10.823209400241957</v>
      </c>
      <c r="Q75" s="126">
        <f>Dataserier!BJ74</f>
        <v>-52.586790599758039</v>
      </c>
      <c r="R75" s="126">
        <f>Dataserier!BL74</f>
        <v>-52.169999999999987</v>
      </c>
      <c r="S75" s="126">
        <f>Dataserier!BM74</f>
        <v>29.522500000000008</v>
      </c>
      <c r="T75" s="126">
        <f>Dataserier!BN74</f>
        <v>81.692499999999995</v>
      </c>
      <c r="U75" s="126">
        <f>Dataserier!BP74</f>
        <v>31.31</v>
      </c>
      <c r="V75" s="126">
        <f>Dataserier!BQ74</f>
        <v>49.022800000000004</v>
      </c>
      <c r="W75" s="126">
        <f>Dataserier!BR74</f>
        <v>17.712800000000005</v>
      </c>
      <c r="X75" s="126">
        <f>Dataserier!BT74</f>
        <v>32.739999999999995</v>
      </c>
      <c r="Y75" s="126">
        <f>Dataserier!BU74</f>
        <v>117.0578999999999</v>
      </c>
      <c r="Z75" s="126">
        <f>Dataserier!BV74</f>
        <v>84.317899999999909</v>
      </c>
      <c r="AB75" s="126">
        <f t="shared" si="5"/>
        <v>142.82999999999998</v>
      </c>
      <c r="AC75" s="126">
        <f t="shared" si="6"/>
        <v>206.60321740024187</v>
      </c>
      <c r="AD75" s="126">
        <f t="shared" si="7"/>
        <v>63.77321740024189</v>
      </c>
    </row>
    <row r="76" spans="1:30" x14ac:dyDescent="0.2">
      <c r="A76" s="128">
        <v>39887</v>
      </c>
      <c r="B76" s="157">
        <v>151.68100000000001</v>
      </c>
      <c r="C76" s="119">
        <f>Dataserier!H75</f>
        <v>0.72199999999999998</v>
      </c>
      <c r="D76" s="119">
        <f>Dataserier!M75</f>
        <v>-16.160000000000004</v>
      </c>
      <c r="E76" s="119">
        <f>Dataserier!Q75</f>
        <v>-91.414000000000001</v>
      </c>
      <c r="F76" s="119">
        <f>Dataserier!U75</f>
        <v>67.079999999999984</v>
      </c>
      <c r="G76" s="119">
        <f>Dataserier!Y75</f>
        <v>-36.120000000000005</v>
      </c>
      <c r="H76" s="119">
        <f>Dataserier!AC75</f>
        <v>-27.359999999999989</v>
      </c>
      <c r="I76" s="119">
        <f t="shared" si="4"/>
        <v>-103.97400000000002</v>
      </c>
      <c r="L76" s="126">
        <f>Dataserier!BD75</f>
        <v>16.160000000000004</v>
      </c>
      <c r="M76" s="126">
        <f>Dataserier!BE75</f>
        <v>31.550184999999999</v>
      </c>
      <c r="N76" s="126">
        <f>Dataserier!BF75</f>
        <v>15.390184999999995</v>
      </c>
      <c r="O76" s="126">
        <f>Dataserier!BH75</f>
        <v>91.414000000000001</v>
      </c>
      <c r="P76" s="126">
        <f>Dataserier!BI75</f>
        <v>11.409602675881644</v>
      </c>
      <c r="Q76" s="126">
        <f>Dataserier!BJ75</f>
        <v>-80.004397324118358</v>
      </c>
      <c r="R76" s="126">
        <f>Dataserier!BL75</f>
        <v>-67.079999999999984</v>
      </c>
      <c r="S76" s="126">
        <f>Dataserier!BM75</f>
        <v>34.326100000000025</v>
      </c>
      <c r="T76" s="126">
        <f>Dataserier!BN75</f>
        <v>101.40610000000001</v>
      </c>
      <c r="U76" s="126">
        <f>Dataserier!BP75</f>
        <v>36.120000000000005</v>
      </c>
      <c r="V76" s="126">
        <f>Dataserier!BQ75</f>
        <v>51.642400000000023</v>
      </c>
      <c r="W76" s="126">
        <f>Dataserier!BR75</f>
        <v>15.522400000000019</v>
      </c>
      <c r="X76" s="126">
        <f>Dataserier!BT75</f>
        <v>27.359999999999989</v>
      </c>
      <c r="Y76" s="126">
        <f>Dataserier!BU75</f>
        <v>122.97368999999986</v>
      </c>
      <c r="Z76" s="126">
        <f>Dataserier!BV75</f>
        <v>95.613689999999878</v>
      </c>
      <c r="AB76" s="126">
        <f t="shared" si="5"/>
        <v>171.054</v>
      </c>
      <c r="AC76" s="126">
        <f t="shared" si="6"/>
        <v>217.57587767588154</v>
      </c>
      <c r="AD76" s="126">
        <f t="shared" si="7"/>
        <v>46.521877675881541</v>
      </c>
    </row>
    <row r="77" spans="1:30" x14ac:dyDescent="0.2">
      <c r="A77" s="128">
        <v>39918</v>
      </c>
      <c r="B77" s="157">
        <v>151.774</v>
      </c>
      <c r="C77" s="119">
        <f>Dataserier!H76</f>
        <v>0.72199999999999998</v>
      </c>
      <c r="D77" s="119">
        <f>Dataserier!M76</f>
        <v>-15.060000000000002</v>
      </c>
      <c r="E77" s="119">
        <f>Dataserier!Q76</f>
        <v>-97.518000000000001</v>
      </c>
      <c r="F77" s="119">
        <f>Dataserier!U76</f>
        <v>64.770000000000039</v>
      </c>
      <c r="G77" s="119">
        <f>Dataserier!Y76</f>
        <v>-45.64</v>
      </c>
      <c r="H77" s="119">
        <f>Dataserier!AC76</f>
        <v>-20.980000000000008</v>
      </c>
      <c r="I77" s="119">
        <f t="shared" si="4"/>
        <v>-114.42799999999997</v>
      </c>
      <c r="L77" s="126">
        <f>Dataserier!BD76</f>
        <v>15.060000000000002</v>
      </c>
      <c r="M77" s="126">
        <f>Dataserier!BE76</f>
        <v>33.011217000000002</v>
      </c>
      <c r="N77" s="126">
        <f>Dataserier!BF76</f>
        <v>17.951217</v>
      </c>
      <c r="O77" s="126">
        <f>Dataserier!BH76</f>
        <v>97.518000000000001</v>
      </c>
      <c r="P77" s="126">
        <f>Dataserier!BI76</f>
        <v>11.779972854337203</v>
      </c>
      <c r="Q77" s="126">
        <f>Dataserier!BJ76</f>
        <v>-85.738027145662798</v>
      </c>
      <c r="R77" s="126">
        <f>Dataserier!BL76</f>
        <v>-64.770000000000039</v>
      </c>
      <c r="S77" s="126">
        <f>Dataserier!BM76</f>
        <v>36.551300000000012</v>
      </c>
      <c r="T77" s="126">
        <f>Dataserier!BN76</f>
        <v>101.32130000000005</v>
      </c>
      <c r="U77" s="126">
        <f>Dataserier!BP76</f>
        <v>45.64</v>
      </c>
      <c r="V77" s="126">
        <f>Dataserier!BQ76</f>
        <v>54.526000000000025</v>
      </c>
      <c r="W77" s="126">
        <f>Dataserier!BR76</f>
        <v>8.8860000000000241</v>
      </c>
      <c r="X77" s="126">
        <f>Dataserier!BT76</f>
        <v>20.980000000000008</v>
      </c>
      <c r="Y77" s="126">
        <f>Dataserier!BU76</f>
        <v>126.7066999999999</v>
      </c>
      <c r="Z77" s="126">
        <f>Dataserier!BV76</f>
        <v>105.72669999999989</v>
      </c>
      <c r="AB77" s="126">
        <f t="shared" si="5"/>
        <v>179.19800000000004</v>
      </c>
      <c r="AC77" s="126">
        <f t="shared" si="6"/>
        <v>226.02388985433714</v>
      </c>
      <c r="AD77" s="126">
        <f t="shared" si="7"/>
        <v>46.825889854337106</v>
      </c>
    </row>
    <row r="78" spans="1:30" x14ac:dyDescent="0.2">
      <c r="A78" s="128">
        <v>39948</v>
      </c>
      <c r="B78" s="157">
        <v>139.66399999999999</v>
      </c>
      <c r="C78" s="119">
        <f>Dataserier!H77</f>
        <v>0.72199999999999998</v>
      </c>
      <c r="D78" s="119">
        <f>Dataserier!M77</f>
        <v>-14.920000000000002</v>
      </c>
      <c r="E78" s="119">
        <f>Dataserier!Q77</f>
        <v>-97.691999999999993</v>
      </c>
      <c r="F78" s="119">
        <f>Dataserier!U77</f>
        <v>70.72999999999999</v>
      </c>
      <c r="G78" s="119">
        <f>Dataserier!Y77</f>
        <v>-37.619999999999997</v>
      </c>
      <c r="H78" s="119">
        <f>Dataserier!AC77</f>
        <v>-22.150000000000002</v>
      </c>
      <c r="I78" s="119">
        <f t="shared" si="4"/>
        <v>-101.65200000000002</v>
      </c>
      <c r="L78" s="126">
        <f>Dataserier!BD77</f>
        <v>14.920000000000002</v>
      </c>
      <c r="M78" s="126">
        <f>Dataserier!BE77</f>
        <v>34.647803999999994</v>
      </c>
      <c r="N78" s="126">
        <f>Dataserier!BF77</f>
        <v>19.727803999999992</v>
      </c>
      <c r="O78" s="126">
        <f>Dataserier!BH77</f>
        <v>97.691999999999993</v>
      </c>
      <c r="P78" s="126">
        <f>Dataserier!BI77</f>
        <v>12.022209400241955</v>
      </c>
      <c r="Q78" s="126">
        <f>Dataserier!BJ77</f>
        <v>-85.669790599758045</v>
      </c>
      <c r="R78" s="126">
        <f>Dataserier!BL77</f>
        <v>-70.72999999999999</v>
      </c>
      <c r="S78" s="126">
        <f>Dataserier!BM77</f>
        <v>38.251000000000019</v>
      </c>
      <c r="T78" s="126">
        <f>Dataserier!BN77</f>
        <v>108.98100000000001</v>
      </c>
      <c r="U78" s="126">
        <f>Dataserier!BP77</f>
        <v>37.619999999999997</v>
      </c>
      <c r="V78" s="126">
        <f>Dataserier!BQ77</f>
        <v>56.390000000000029</v>
      </c>
      <c r="W78" s="126">
        <f>Dataserier!BR77</f>
        <v>18.770000000000032</v>
      </c>
      <c r="X78" s="126">
        <f>Dataserier!BT77</f>
        <v>22.150000000000002</v>
      </c>
      <c r="Y78" s="126">
        <f>Dataserier!BU77</f>
        <v>129.68864999999988</v>
      </c>
      <c r="Z78" s="126">
        <f>Dataserier!BV77</f>
        <v>107.53864999999988</v>
      </c>
      <c r="AB78" s="126">
        <f t="shared" si="5"/>
        <v>172.38200000000001</v>
      </c>
      <c r="AC78" s="126">
        <f t="shared" si="6"/>
        <v>232.74866340024187</v>
      </c>
      <c r="AD78" s="126">
        <f t="shared" si="7"/>
        <v>60.366663400241862</v>
      </c>
    </row>
    <row r="79" spans="1:30" x14ac:dyDescent="0.2">
      <c r="A79" s="128">
        <v>39979</v>
      </c>
      <c r="B79" s="157">
        <v>171.05199999999999</v>
      </c>
      <c r="C79" s="119">
        <f>Dataserier!H78</f>
        <v>0.72199999999999998</v>
      </c>
      <c r="D79" s="119">
        <f>Dataserier!M78</f>
        <v>-12.66</v>
      </c>
      <c r="E79" s="119">
        <f>Dataserier!Q78</f>
        <v>-98.153999999999996</v>
      </c>
      <c r="F79" s="119">
        <f>Dataserier!U78</f>
        <v>72.220000000000013</v>
      </c>
      <c r="G79" s="119">
        <f>Dataserier!Y78</f>
        <v>-44</v>
      </c>
      <c r="H79" s="119">
        <f>Dataserier!AC78</f>
        <v>-30.480000000000011</v>
      </c>
      <c r="I79" s="119">
        <f t="shared" si="4"/>
        <v>-113.07399999999998</v>
      </c>
      <c r="L79" s="126">
        <f>Dataserier!BD78</f>
        <v>12.66</v>
      </c>
      <c r="M79" s="126">
        <f>Dataserier!BE78</f>
        <v>36.426275999999987</v>
      </c>
      <c r="N79" s="126">
        <f>Dataserier!BF78</f>
        <v>23.766275999999987</v>
      </c>
      <c r="O79" s="126">
        <f>Dataserier!BH78</f>
        <v>98.153999999999996</v>
      </c>
      <c r="P79" s="126">
        <f>Dataserier!BI78</f>
        <v>12.20513501938688</v>
      </c>
      <c r="Q79" s="126">
        <f>Dataserier!BJ78</f>
        <v>-85.948864980613109</v>
      </c>
      <c r="R79" s="126">
        <f>Dataserier!BL78</f>
        <v>-72.220000000000013</v>
      </c>
      <c r="S79" s="126">
        <f>Dataserier!BM78</f>
        <v>40.639200000000017</v>
      </c>
      <c r="T79" s="126">
        <f>Dataserier!BN78</f>
        <v>112.85920000000003</v>
      </c>
      <c r="U79" s="126">
        <f>Dataserier!BP78</f>
        <v>44</v>
      </c>
      <c r="V79" s="126">
        <f>Dataserier!BQ78</f>
        <v>58.631299999999996</v>
      </c>
      <c r="W79" s="126">
        <f>Dataserier!BR78</f>
        <v>14.631299999999996</v>
      </c>
      <c r="X79" s="126">
        <f>Dataserier!BT78</f>
        <v>30.480000000000011</v>
      </c>
      <c r="Y79" s="126">
        <f>Dataserier!BU78</f>
        <v>132.12699999999984</v>
      </c>
      <c r="Z79" s="126">
        <f>Dataserier!BV78</f>
        <v>101.64699999999982</v>
      </c>
      <c r="AB79" s="126">
        <f t="shared" si="5"/>
        <v>185.29400000000001</v>
      </c>
      <c r="AC79" s="126">
        <f t="shared" si="6"/>
        <v>239.38971101938671</v>
      </c>
      <c r="AD79" s="126">
        <f t="shared" si="7"/>
        <v>54.095711019386698</v>
      </c>
    </row>
    <row r="80" spans="1:30" x14ac:dyDescent="0.2">
      <c r="A80" s="128">
        <v>40009</v>
      </c>
      <c r="B80" s="157">
        <v>161.95599999999999</v>
      </c>
      <c r="C80" s="119">
        <f>Dataserier!H79</f>
        <v>0.72199999999999998</v>
      </c>
      <c r="D80" s="119">
        <f>Dataserier!M79</f>
        <v>-16.89</v>
      </c>
      <c r="E80" s="119">
        <f>Dataserier!Q79</f>
        <v>-71.938999999999993</v>
      </c>
      <c r="F80" s="119">
        <f>Dataserier!U79</f>
        <v>64.44</v>
      </c>
      <c r="G80" s="119">
        <f>Dataserier!Y79</f>
        <v>-37.78</v>
      </c>
      <c r="H80" s="119">
        <f>Dataserier!AC79</f>
        <v>-34.489999999999995</v>
      </c>
      <c r="I80" s="119">
        <f t="shared" si="4"/>
        <v>-96.658999999999992</v>
      </c>
      <c r="L80" s="126">
        <f>Dataserier!BD79</f>
        <v>16.89</v>
      </c>
      <c r="M80" s="126">
        <f>Dataserier!BE79</f>
        <v>37.234323000000003</v>
      </c>
      <c r="N80" s="126">
        <f>Dataserier!BF79</f>
        <v>20.344323000000003</v>
      </c>
      <c r="O80" s="126">
        <f>Dataserier!BH79</f>
        <v>71.938999999999993</v>
      </c>
      <c r="P80" s="126">
        <f>Dataserier!BI79</f>
        <v>12.321305382193728</v>
      </c>
      <c r="Q80" s="126">
        <f>Dataserier!BJ79</f>
        <v>-59.617694617806265</v>
      </c>
      <c r="R80" s="126">
        <f>Dataserier!BL79</f>
        <v>-64.44</v>
      </c>
      <c r="S80" s="126">
        <f>Dataserier!BM79</f>
        <v>38.042100000000005</v>
      </c>
      <c r="T80" s="126">
        <f>Dataserier!BN79</f>
        <v>102.4821</v>
      </c>
      <c r="U80" s="126">
        <f>Dataserier!BP79</f>
        <v>37.78</v>
      </c>
      <c r="V80" s="126">
        <f>Dataserier!BQ79</f>
        <v>60.230200000000011</v>
      </c>
      <c r="W80" s="126">
        <f>Dataserier!BR79</f>
        <v>22.450200000000009</v>
      </c>
      <c r="X80" s="126">
        <f>Dataserier!BT79</f>
        <v>34.489999999999995</v>
      </c>
      <c r="Y80" s="126">
        <f>Dataserier!BU79</f>
        <v>133.92422999999985</v>
      </c>
      <c r="Z80" s="126">
        <f>Dataserier!BV79</f>
        <v>99.434229999999857</v>
      </c>
      <c r="AB80" s="126">
        <f t="shared" si="5"/>
        <v>161.09899999999999</v>
      </c>
      <c r="AC80" s="126">
        <f t="shared" si="6"/>
        <v>243.71005838219361</v>
      </c>
      <c r="AD80" s="126">
        <f t="shared" si="7"/>
        <v>82.611058382193619</v>
      </c>
    </row>
    <row r="81" spans="1:30" x14ac:dyDescent="0.2">
      <c r="A81" s="128">
        <v>40040</v>
      </c>
      <c r="B81" s="157">
        <v>159.71899999999999</v>
      </c>
      <c r="C81" s="119">
        <f>Dataserier!H80</f>
        <v>0.72199999999999998</v>
      </c>
      <c r="D81" s="119">
        <f>Dataserier!M80</f>
        <v>-18.619999999999997</v>
      </c>
      <c r="E81" s="119">
        <f>Dataserier!Q80</f>
        <v>-55.9</v>
      </c>
      <c r="F81" s="119">
        <f>Dataserier!U80</f>
        <v>59.86</v>
      </c>
      <c r="G81" s="119">
        <f>Dataserier!Y80</f>
        <v>-37.130000000000003</v>
      </c>
      <c r="H81" s="119">
        <f>Dataserier!AC80</f>
        <v>-40.589999999999996</v>
      </c>
      <c r="I81" s="119">
        <f t="shared" si="4"/>
        <v>-92.38</v>
      </c>
      <c r="L81" s="126">
        <f>Dataserier!BD80</f>
        <v>18.619999999999997</v>
      </c>
      <c r="M81" s="126">
        <f>Dataserier!BE80</f>
        <v>38.48299999999999</v>
      </c>
      <c r="N81" s="126">
        <f>Dataserier!BF80</f>
        <v>19.862999999999992</v>
      </c>
      <c r="O81" s="126">
        <f>Dataserier!BH80</f>
        <v>55.9</v>
      </c>
      <c r="P81" s="126">
        <f>Dataserier!BI80</f>
        <v>12.344209400241958</v>
      </c>
      <c r="Q81" s="126">
        <f>Dataserier!BJ80</f>
        <v>-43.555790599758041</v>
      </c>
      <c r="R81" s="126">
        <f>Dataserier!BL80</f>
        <v>-59.86</v>
      </c>
      <c r="S81" s="126">
        <f>Dataserier!BM80</f>
        <v>41.641300000000001</v>
      </c>
      <c r="T81" s="126">
        <f>Dataserier!BN80</f>
        <v>101.5013</v>
      </c>
      <c r="U81" s="126">
        <f>Dataserier!BP80</f>
        <v>37.130000000000003</v>
      </c>
      <c r="V81" s="126">
        <f>Dataserier!BQ80</f>
        <v>60.697099999999992</v>
      </c>
      <c r="W81" s="126">
        <f>Dataserier!BR80</f>
        <v>23.567099999999989</v>
      </c>
      <c r="X81" s="126">
        <f>Dataserier!BT80</f>
        <v>40.589999999999996</v>
      </c>
      <c r="Y81" s="126">
        <f>Dataserier!BU80</f>
        <v>136.76595999999984</v>
      </c>
      <c r="Z81" s="126">
        <f>Dataserier!BV80</f>
        <v>96.175959999999833</v>
      </c>
      <c r="AB81" s="126">
        <f t="shared" si="5"/>
        <v>152.24</v>
      </c>
      <c r="AC81" s="126">
        <f t="shared" si="6"/>
        <v>248.29026940024178</v>
      </c>
      <c r="AD81" s="126">
        <f t="shared" si="7"/>
        <v>96.050269400241774</v>
      </c>
    </row>
    <row r="82" spans="1:30" x14ac:dyDescent="0.2">
      <c r="A82" s="128">
        <v>40071</v>
      </c>
      <c r="B82" s="157">
        <v>179.035</v>
      </c>
      <c r="C82" s="119">
        <f>Dataserier!H81</f>
        <v>0.72199999999999998</v>
      </c>
      <c r="D82" s="119">
        <f>Dataserier!M81</f>
        <v>-19.29</v>
      </c>
      <c r="E82" s="119">
        <f>Dataserier!Q81</f>
        <v>-106.164</v>
      </c>
      <c r="F82" s="119">
        <f>Dataserier!U81</f>
        <v>80.939999999999984</v>
      </c>
      <c r="G82" s="119">
        <f>Dataserier!Y81</f>
        <v>-40.42</v>
      </c>
      <c r="H82" s="119">
        <f>Dataserier!AC81</f>
        <v>-42.59</v>
      </c>
      <c r="I82" s="119">
        <f t="shared" si="4"/>
        <v>-127.52400000000003</v>
      </c>
      <c r="L82" s="126">
        <f>Dataserier!BD81</f>
        <v>19.29</v>
      </c>
      <c r="M82" s="126">
        <f>Dataserier!BE81</f>
        <v>39.763904999999994</v>
      </c>
      <c r="N82" s="126">
        <f>Dataserier!BF81</f>
        <v>20.473904999999995</v>
      </c>
      <c r="O82" s="126">
        <f>Dataserier!BH81</f>
        <v>106.164</v>
      </c>
      <c r="P82" s="126">
        <f>Dataserier!BI81</f>
        <v>12.272335870244795</v>
      </c>
      <c r="Q82" s="126">
        <f>Dataserier!BJ81</f>
        <v>-93.891664129755213</v>
      </c>
      <c r="R82" s="126">
        <f>Dataserier!BL81</f>
        <v>-80.939999999999984</v>
      </c>
      <c r="S82" s="126">
        <f>Dataserier!BM81</f>
        <v>45.433199999999999</v>
      </c>
      <c r="T82" s="126">
        <f>Dataserier!BN81</f>
        <v>126.37319999999998</v>
      </c>
      <c r="U82" s="126">
        <f>Dataserier!BP81</f>
        <v>40.42</v>
      </c>
      <c r="V82" s="126">
        <f>Dataserier!BQ81</f>
        <v>62.17710000000001</v>
      </c>
      <c r="W82" s="126">
        <f>Dataserier!BR81</f>
        <v>21.757100000000008</v>
      </c>
      <c r="X82" s="126">
        <f>Dataserier!BT81</f>
        <v>42.59</v>
      </c>
      <c r="Y82" s="126">
        <f>Dataserier!BU81</f>
        <v>141.01893999999982</v>
      </c>
      <c r="Z82" s="126">
        <f>Dataserier!BV81</f>
        <v>98.428939999999812</v>
      </c>
      <c r="AB82" s="126">
        <f t="shared" si="5"/>
        <v>208.46400000000003</v>
      </c>
      <c r="AC82" s="126">
        <f t="shared" si="6"/>
        <v>255.23228087024461</v>
      </c>
      <c r="AD82" s="126">
        <f t="shared" si="7"/>
        <v>46.768280870244581</v>
      </c>
    </row>
    <row r="83" spans="1:30" x14ac:dyDescent="0.2">
      <c r="A83" s="128">
        <v>40101</v>
      </c>
      <c r="B83" s="157">
        <v>154.34100000000001</v>
      </c>
      <c r="C83" s="119">
        <f>Dataserier!H82</f>
        <v>0.72199999999999998</v>
      </c>
      <c r="D83" s="119">
        <f>Dataserier!M82</f>
        <v>-21.21</v>
      </c>
      <c r="E83" s="119">
        <f>Dataserier!Q82</f>
        <v>-40.466000000000001</v>
      </c>
      <c r="F83" s="119">
        <f>Dataserier!U82</f>
        <v>81.289999999999978</v>
      </c>
      <c r="G83" s="119">
        <f>Dataserier!Y82</f>
        <v>-42.92</v>
      </c>
      <c r="H83" s="119">
        <f>Dataserier!AC82</f>
        <v>-36.42</v>
      </c>
      <c r="I83" s="119">
        <f t="shared" si="4"/>
        <v>-59.726000000000028</v>
      </c>
      <c r="L83" s="126">
        <f>Dataserier!BD82</f>
        <v>21.21</v>
      </c>
      <c r="M83" s="126">
        <f>Dataserier!BE82</f>
        <v>41.208518999999995</v>
      </c>
      <c r="N83" s="126">
        <f>Dataserier!BF82</f>
        <v>19.998518999999995</v>
      </c>
      <c r="O83" s="126">
        <f>Dataserier!BH82</f>
        <v>40.466000000000001</v>
      </c>
      <c r="P83" s="126">
        <f>Dataserier!BI82</f>
        <v>12.204173129450709</v>
      </c>
      <c r="Q83" s="126">
        <f>Dataserier!BJ82</f>
        <v>-28.261826870549292</v>
      </c>
      <c r="R83" s="126">
        <f>Dataserier!BL82</f>
        <v>-81.289999999999978</v>
      </c>
      <c r="S83" s="126">
        <f>Dataserier!BM82</f>
        <v>46.479099999999988</v>
      </c>
      <c r="T83" s="126">
        <f>Dataserier!BN82</f>
        <v>127.76909999999997</v>
      </c>
      <c r="U83" s="126">
        <f>Dataserier!BP82</f>
        <v>42.92</v>
      </c>
      <c r="V83" s="126">
        <f>Dataserier!BQ82</f>
        <v>64.56780000000002</v>
      </c>
      <c r="W83" s="126">
        <f>Dataserier!BR82</f>
        <v>21.647800000000018</v>
      </c>
      <c r="X83" s="126">
        <f>Dataserier!BT82</f>
        <v>36.42</v>
      </c>
      <c r="Y83" s="126">
        <f>Dataserier!BU82</f>
        <v>145.62765999999976</v>
      </c>
      <c r="Z83" s="126">
        <f>Dataserier!BV82</f>
        <v>109.20765999999976</v>
      </c>
      <c r="AB83" s="126">
        <f t="shared" si="5"/>
        <v>141.01600000000002</v>
      </c>
      <c r="AC83" s="126">
        <f t="shared" si="6"/>
        <v>263.6081521294505</v>
      </c>
      <c r="AD83" s="126">
        <f t="shared" si="7"/>
        <v>122.59215212945048</v>
      </c>
    </row>
    <row r="84" spans="1:30" x14ac:dyDescent="0.2">
      <c r="A84" s="128">
        <v>40132</v>
      </c>
      <c r="B84" s="157">
        <v>160.779</v>
      </c>
      <c r="C84" s="119">
        <f>Dataserier!H83</f>
        <v>0.72199999999999998</v>
      </c>
      <c r="D84" s="119">
        <f>Dataserier!M83</f>
        <v>-22.52</v>
      </c>
      <c r="E84" s="119">
        <f>Dataserier!Q83</f>
        <v>-35.927</v>
      </c>
      <c r="F84" s="119">
        <f>Dataserier!U83</f>
        <v>59.649999999999991</v>
      </c>
      <c r="G84" s="119">
        <f>Dataserier!Y83</f>
        <v>-39.99</v>
      </c>
      <c r="H84" s="119">
        <f>Dataserier!AC83</f>
        <v>-24.769999999999989</v>
      </c>
      <c r="I84" s="119">
        <f t="shared" si="4"/>
        <v>-63.557000000000002</v>
      </c>
      <c r="L84" s="126">
        <f>Dataserier!BD83</f>
        <v>22.52</v>
      </c>
      <c r="M84" s="126">
        <f>Dataserier!BE83</f>
        <v>42.922077000000002</v>
      </c>
      <c r="N84" s="126">
        <f>Dataserier!BF83</f>
        <v>20.402077000000002</v>
      </c>
      <c r="O84" s="126">
        <f>Dataserier!BH83</f>
        <v>35.927</v>
      </c>
      <c r="P84" s="126">
        <f>Dataserier!BI83</f>
        <v>12.263209400241955</v>
      </c>
      <c r="Q84" s="126">
        <f>Dataserier!BJ83</f>
        <v>-23.663790599758045</v>
      </c>
      <c r="R84" s="126">
        <f>Dataserier!BL83</f>
        <v>-59.649999999999991</v>
      </c>
      <c r="S84" s="126">
        <f>Dataserier!BM83</f>
        <v>48.880599999999987</v>
      </c>
      <c r="T84" s="126">
        <f>Dataserier!BN83</f>
        <v>108.53059999999998</v>
      </c>
      <c r="U84" s="126">
        <f>Dataserier!BP83</f>
        <v>39.99</v>
      </c>
      <c r="V84" s="126">
        <f>Dataserier!BQ83</f>
        <v>67.292199999999994</v>
      </c>
      <c r="W84" s="126">
        <f>Dataserier!BR83</f>
        <v>27.302199999999992</v>
      </c>
      <c r="X84" s="126">
        <f>Dataserier!BT83</f>
        <v>24.769999999999989</v>
      </c>
      <c r="Y84" s="126">
        <f>Dataserier!BU83</f>
        <v>150.52734999999979</v>
      </c>
      <c r="Z84" s="126">
        <f>Dataserier!BV83</f>
        <v>125.7573499999998</v>
      </c>
      <c r="AB84" s="126">
        <f t="shared" si="5"/>
        <v>123.20699999999999</v>
      </c>
      <c r="AC84" s="126">
        <f t="shared" si="6"/>
        <v>273.00483640024174</v>
      </c>
      <c r="AD84" s="126">
        <f t="shared" si="7"/>
        <v>149.79783640024175</v>
      </c>
    </row>
    <row r="85" spans="1:30" s="126" customFormat="1" x14ac:dyDescent="0.2">
      <c r="A85" s="128">
        <v>40162</v>
      </c>
      <c r="B85" s="157">
        <v>177.935</v>
      </c>
      <c r="C85" s="119">
        <f>Dataserier!H84</f>
        <v>0.72199999999999998</v>
      </c>
      <c r="D85" s="119">
        <f>Dataserier!M84</f>
        <v>-22.419999999999998</v>
      </c>
      <c r="E85" s="119">
        <f>Dataserier!Q84</f>
        <v>-52.878999999999998</v>
      </c>
      <c r="F85" s="119">
        <f>Dataserier!U84</f>
        <v>52.109999999999992</v>
      </c>
      <c r="G85" s="119">
        <f>Dataserier!Y84</f>
        <v>-47.900000000000006</v>
      </c>
      <c r="H85" s="119">
        <f>Dataserier!AC84</f>
        <v>-36.349999999999987</v>
      </c>
      <c r="I85" s="119">
        <f t="shared" si="4"/>
        <v>-107.43899999999999</v>
      </c>
      <c r="L85" s="126">
        <f>Dataserier!BD84</f>
        <v>22.419999999999998</v>
      </c>
      <c r="M85" s="126">
        <f>Dataserier!BE84</f>
        <v>45.358234999999993</v>
      </c>
      <c r="N85" s="126">
        <f>Dataserier!BF84</f>
        <v>22.938234999999995</v>
      </c>
      <c r="O85" s="126">
        <f>Dataserier!BH84</f>
        <v>52.878999999999998</v>
      </c>
      <c r="P85" s="126">
        <f>Dataserier!BI84</f>
        <v>12.529370493678258</v>
      </c>
      <c r="Q85" s="126">
        <f>Dataserier!BJ84</f>
        <v>-40.34962950632174</v>
      </c>
      <c r="R85" s="126">
        <f>Dataserier!BL84</f>
        <v>-52.109999999999992</v>
      </c>
      <c r="S85" s="126">
        <f>Dataserier!BM84</f>
        <v>48.56880000000001</v>
      </c>
      <c r="T85" s="126">
        <f>Dataserier!BN84</f>
        <v>100.6788</v>
      </c>
      <c r="U85" s="126">
        <f>Dataserier!BP84</f>
        <v>47.900000000000006</v>
      </c>
      <c r="V85" s="126">
        <f>Dataserier!BQ84</f>
        <v>70.366400000000013</v>
      </c>
      <c r="W85" s="126">
        <f>Dataserier!BR84</f>
        <v>22.466400000000007</v>
      </c>
      <c r="X85" s="126">
        <f>Dataserier!BT84</f>
        <v>36.349999999999987</v>
      </c>
      <c r="Y85" s="126">
        <f>Dataserier!BU84</f>
        <v>154.14511999999979</v>
      </c>
      <c r="Z85" s="126">
        <f>Dataserier!BV84</f>
        <v>117.7951199999998</v>
      </c>
      <c r="AB85" s="126">
        <f t="shared" si="5"/>
        <v>159.54899999999998</v>
      </c>
      <c r="AC85" s="126">
        <f t="shared" si="6"/>
        <v>282.39912549367807</v>
      </c>
      <c r="AD85" s="126">
        <f t="shared" si="7"/>
        <v>122.85012549367809</v>
      </c>
    </row>
    <row r="86" spans="1:30" x14ac:dyDescent="0.2">
      <c r="A86" s="128">
        <v>40193</v>
      </c>
      <c r="B86" s="157">
        <v>177.75899999999999</v>
      </c>
      <c r="C86" s="119">
        <f>Dataserier!H85</f>
        <v>0.72199999999999998</v>
      </c>
      <c r="D86" s="119">
        <f>Dataserier!M85</f>
        <v>-21.17</v>
      </c>
      <c r="E86" s="119">
        <f>Dataserier!Q85</f>
        <v>-50.935000000000002</v>
      </c>
      <c r="F86" s="119">
        <f>Dataserier!U85</f>
        <v>76.680000000000021</v>
      </c>
      <c r="G86" s="119">
        <f>Dataserier!Y85</f>
        <v>-47.95</v>
      </c>
      <c r="H86" s="119">
        <f>Dataserier!AC85</f>
        <v>-32.629999999999995</v>
      </c>
      <c r="I86" s="119">
        <f t="shared" si="4"/>
        <v>-76.004999999999981</v>
      </c>
      <c r="L86" s="126">
        <f>Dataserier!BD85</f>
        <v>21.17</v>
      </c>
      <c r="M86" s="126">
        <f>Dataserier!BE85</f>
        <v>46.887224000000003</v>
      </c>
      <c r="N86" s="126">
        <f>Dataserier!BF85</f>
        <v>25.717224000000002</v>
      </c>
      <c r="O86" s="126">
        <f>Dataserier!BH85</f>
        <v>50.935000000000002</v>
      </c>
      <c r="P86" s="126">
        <f>Dataserier!BI85</f>
        <v>12.908332575529222</v>
      </c>
      <c r="Q86" s="126">
        <f>Dataserier!BJ85</f>
        <v>-38.02666742447078</v>
      </c>
      <c r="R86" s="126">
        <f>Dataserier!BL85</f>
        <v>-76.680000000000021</v>
      </c>
      <c r="S86" s="126">
        <f>Dataserier!BM85</f>
        <v>55.332300000000004</v>
      </c>
      <c r="T86" s="126">
        <f>Dataserier!BN85</f>
        <v>132.01230000000004</v>
      </c>
      <c r="U86" s="126">
        <f>Dataserier!BP85</f>
        <v>47.95</v>
      </c>
      <c r="V86" s="126">
        <f>Dataserier!BQ85</f>
        <v>73.830400000000012</v>
      </c>
      <c r="W86" s="126">
        <f>Dataserier!BR85</f>
        <v>25.880400000000009</v>
      </c>
      <c r="X86" s="126">
        <f>Dataserier!BT85</f>
        <v>32.629999999999995</v>
      </c>
      <c r="Y86" s="126">
        <f>Dataserier!BU85</f>
        <v>159.57759999999979</v>
      </c>
      <c r="Z86" s="126">
        <f>Dataserier!BV85</f>
        <v>126.9475999999998</v>
      </c>
      <c r="AB86" s="126">
        <f t="shared" si="5"/>
        <v>152.685</v>
      </c>
      <c r="AC86" s="126">
        <f t="shared" si="6"/>
        <v>293.20355657552903</v>
      </c>
      <c r="AD86" s="126">
        <f t="shared" si="7"/>
        <v>140.51855657552903</v>
      </c>
    </row>
    <row r="87" spans="1:30" x14ac:dyDescent="0.2">
      <c r="A87" s="128">
        <v>40224</v>
      </c>
      <c r="B87" s="157">
        <v>197.48099999999999</v>
      </c>
      <c r="C87" s="119">
        <f>Dataserier!H86</f>
        <v>0.72199999999999998</v>
      </c>
      <c r="D87" s="119">
        <f>Dataserier!M86</f>
        <v>-27.630000000000003</v>
      </c>
      <c r="E87" s="119">
        <f>Dataserier!Q86</f>
        <v>-46.4</v>
      </c>
      <c r="F87" s="119">
        <f>Dataserier!U86</f>
        <v>62.400000000000006</v>
      </c>
      <c r="G87" s="119">
        <f>Dataserier!Y86</f>
        <v>-52.42</v>
      </c>
      <c r="H87" s="119">
        <f>Dataserier!AC86</f>
        <v>-36.929999999999993</v>
      </c>
      <c r="I87" s="119">
        <f t="shared" si="4"/>
        <v>-100.97999999999999</v>
      </c>
      <c r="L87" s="126">
        <f>Dataserier!BD86</f>
        <v>27.630000000000003</v>
      </c>
      <c r="M87" s="126">
        <f>Dataserier!BE86</f>
        <v>48.255899999999997</v>
      </c>
      <c r="N87" s="126">
        <f>Dataserier!BF86</f>
        <v>20.625899999999994</v>
      </c>
      <c r="O87" s="126">
        <f>Dataserier!BH86</f>
        <v>46.4</v>
      </c>
      <c r="P87" s="126">
        <f>Dataserier!BI86</f>
        <v>13.262209400241957</v>
      </c>
      <c r="Q87" s="126">
        <f>Dataserier!BJ86</f>
        <v>-33.137790599758041</v>
      </c>
      <c r="R87" s="126">
        <f>Dataserier!BL86</f>
        <v>-62.400000000000006</v>
      </c>
      <c r="S87" s="126">
        <f>Dataserier!BM86</f>
        <v>60.721300000000014</v>
      </c>
      <c r="T87" s="126">
        <f>Dataserier!BN86</f>
        <v>123.12130000000002</v>
      </c>
      <c r="U87" s="126">
        <f>Dataserier!BP86</f>
        <v>52.42</v>
      </c>
      <c r="V87" s="126">
        <f>Dataserier!BQ86</f>
        <v>76.859700000000018</v>
      </c>
      <c r="W87" s="126">
        <f>Dataserier!BR86</f>
        <v>24.439700000000016</v>
      </c>
      <c r="X87" s="126">
        <f>Dataserier!BT86</f>
        <v>36.929999999999993</v>
      </c>
      <c r="Y87" s="126">
        <f>Dataserier!BU86</f>
        <v>165.21106999999978</v>
      </c>
      <c r="Z87" s="126">
        <f>Dataserier!BV86</f>
        <v>128.28106999999977</v>
      </c>
      <c r="AB87" s="126">
        <f t="shared" si="5"/>
        <v>163.38</v>
      </c>
      <c r="AC87" s="126">
        <f t="shared" si="6"/>
        <v>303.58887940024175</v>
      </c>
      <c r="AD87" s="126">
        <f t="shared" si="7"/>
        <v>140.20887940024176</v>
      </c>
    </row>
    <row r="88" spans="1:30" x14ac:dyDescent="0.2">
      <c r="A88" s="128">
        <v>40252</v>
      </c>
      <c r="B88" s="157">
        <v>207.417</v>
      </c>
      <c r="C88" s="119">
        <f>Dataserier!H87</f>
        <v>0.72199999999999998</v>
      </c>
      <c r="D88" s="119">
        <f>Dataserier!M87</f>
        <v>-26.7</v>
      </c>
      <c r="E88" s="119">
        <f>Dataserier!Q87</f>
        <v>-37.423000000000002</v>
      </c>
      <c r="F88" s="119">
        <f>Dataserier!U87</f>
        <v>49.960000000000015</v>
      </c>
      <c r="G88" s="119">
        <f>Dataserier!Y87</f>
        <v>-59.790000000000006</v>
      </c>
      <c r="H88" s="119">
        <f>Dataserier!AC87</f>
        <v>-38.520000000000003</v>
      </c>
      <c r="I88" s="119">
        <f t="shared" si="4"/>
        <v>-112.47300000000001</v>
      </c>
      <c r="L88" s="126">
        <f>Dataserier!BD87</f>
        <v>26.7</v>
      </c>
      <c r="M88" s="126">
        <f>Dataserier!BE87</f>
        <v>49.714154000000008</v>
      </c>
      <c r="N88" s="126">
        <f>Dataserier!BF87</f>
        <v>23.014154000000008</v>
      </c>
      <c r="O88" s="126">
        <f>Dataserier!BH87</f>
        <v>37.423000000000002</v>
      </c>
      <c r="P88" s="126">
        <f>Dataserier!BI87</f>
        <v>13.475438556493913</v>
      </c>
      <c r="Q88" s="126">
        <f>Dataserier!BJ87</f>
        <v>-23.947561443506089</v>
      </c>
      <c r="R88" s="126">
        <f>Dataserier!BL87</f>
        <v>-49.960000000000015</v>
      </c>
      <c r="S88" s="126">
        <f>Dataserier!BM87</f>
        <v>66.858800000000002</v>
      </c>
      <c r="T88" s="126">
        <f>Dataserier!BN87</f>
        <v>116.81880000000001</v>
      </c>
      <c r="U88" s="126">
        <f>Dataserier!BP87</f>
        <v>59.790000000000006</v>
      </c>
      <c r="V88" s="126">
        <f>Dataserier!BQ87</f>
        <v>79.681499999999986</v>
      </c>
      <c r="W88" s="126">
        <f>Dataserier!BR87</f>
        <v>19.891499999999979</v>
      </c>
      <c r="X88" s="126">
        <f>Dataserier!BT87</f>
        <v>38.520000000000003</v>
      </c>
      <c r="Y88" s="126">
        <f>Dataserier!BU87</f>
        <v>169.57120999999978</v>
      </c>
      <c r="Z88" s="126">
        <f>Dataserier!BV87</f>
        <v>131.05120999999977</v>
      </c>
      <c r="AB88" s="126">
        <f t="shared" si="5"/>
        <v>162.43300000000002</v>
      </c>
      <c r="AC88" s="126">
        <f t="shared" si="6"/>
        <v>312.4423025564937</v>
      </c>
      <c r="AD88" s="126">
        <f t="shared" si="7"/>
        <v>150.00930255649368</v>
      </c>
    </row>
    <row r="89" spans="1:30" x14ac:dyDescent="0.2">
      <c r="A89" s="128">
        <v>40283</v>
      </c>
      <c r="B89" s="157">
        <v>213.67699999999999</v>
      </c>
      <c r="C89" s="119">
        <f>Dataserier!H88</f>
        <v>0.72199999999999998</v>
      </c>
      <c r="D89" s="119">
        <f>Dataserier!M88</f>
        <v>-32.78</v>
      </c>
      <c r="E89" s="119">
        <f>Dataserier!Q88</f>
        <v>-41.176000000000002</v>
      </c>
      <c r="F89" s="119">
        <f>Dataserier!U88</f>
        <v>45.360000000000021</v>
      </c>
      <c r="G89" s="119">
        <f>Dataserier!Y88</f>
        <v>-81.48</v>
      </c>
      <c r="H89" s="119">
        <f>Dataserier!AC88</f>
        <v>-30.949999999999996</v>
      </c>
      <c r="I89" s="119">
        <f t="shared" si="4"/>
        <v>-141.02599999999998</v>
      </c>
      <c r="L89" s="126">
        <f>Dataserier!BD88</f>
        <v>32.78</v>
      </c>
      <c r="M89" s="126">
        <f>Dataserier!BE88</f>
        <v>50.922629000000015</v>
      </c>
      <c r="N89" s="126">
        <f>Dataserier!BF88</f>
        <v>18.142629000000014</v>
      </c>
      <c r="O89" s="126">
        <f>Dataserier!BH88</f>
        <v>41.176000000000002</v>
      </c>
      <c r="P89" s="126">
        <f>Dataserier!BI88</f>
        <v>13.521752969884105</v>
      </c>
      <c r="Q89" s="126">
        <f>Dataserier!BJ88</f>
        <v>-27.654247030115897</v>
      </c>
      <c r="R89" s="126">
        <f>Dataserier!BL88</f>
        <v>-45.360000000000021</v>
      </c>
      <c r="S89" s="126">
        <f>Dataserier!BM88</f>
        <v>69.636500000000012</v>
      </c>
      <c r="T89" s="126">
        <f>Dataserier!BN88</f>
        <v>114.99650000000003</v>
      </c>
      <c r="U89" s="126">
        <f>Dataserier!BP88</f>
        <v>81.48</v>
      </c>
      <c r="V89" s="126">
        <f>Dataserier!BQ88</f>
        <v>82.45</v>
      </c>
      <c r="W89" s="126">
        <f>Dataserier!BR88</f>
        <v>0.96999999999999886</v>
      </c>
      <c r="X89" s="126">
        <f>Dataserier!BT88</f>
        <v>30.949999999999996</v>
      </c>
      <c r="Y89" s="126">
        <f>Dataserier!BU88</f>
        <v>174.02650999999975</v>
      </c>
      <c r="Z89" s="126">
        <f>Dataserier!BV88</f>
        <v>143.07650999999976</v>
      </c>
      <c r="AB89" s="126">
        <f t="shared" si="5"/>
        <v>186.386</v>
      </c>
      <c r="AC89" s="126">
        <f t="shared" si="6"/>
        <v>320.92089196988388</v>
      </c>
      <c r="AD89" s="126">
        <f t="shared" si="7"/>
        <v>134.53489196988389</v>
      </c>
    </row>
    <row r="90" spans="1:30" x14ac:dyDescent="0.2">
      <c r="A90" s="128">
        <v>40313</v>
      </c>
      <c r="B90" s="157">
        <v>255.464</v>
      </c>
      <c r="C90" s="119">
        <f>Dataserier!H89</f>
        <v>0.72199999999999998</v>
      </c>
      <c r="D90" s="119">
        <f>Dataserier!M89</f>
        <v>-51.8</v>
      </c>
      <c r="E90" s="119">
        <f>Dataserier!Q89</f>
        <v>-57.832000000000001</v>
      </c>
      <c r="F90" s="119">
        <f>Dataserier!U89</f>
        <v>36.719999999999985</v>
      </c>
      <c r="G90" s="119">
        <f>Dataserier!Y89</f>
        <v>-78.36999999999999</v>
      </c>
      <c r="H90" s="119">
        <f>Dataserier!AC89</f>
        <v>-73.36</v>
      </c>
      <c r="I90" s="119">
        <f t="shared" si="4"/>
        <v>-224.642</v>
      </c>
      <c r="L90" s="126">
        <f>Dataserier!BD89</f>
        <v>51.8</v>
      </c>
      <c r="M90" s="126">
        <f>Dataserier!BE89</f>
        <v>53.211861000000013</v>
      </c>
      <c r="N90" s="126">
        <f>Dataserier!BF89</f>
        <v>1.411861000000016</v>
      </c>
      <c r="O90" s="126">
        <f>Dataserier!BH89</f>
        <v>57.832000000000001</v>
      </c>
      <c r="P90" s="126">
        <f>Dataserier!BI89</f>
        <v>13.397209400241955</v>
      </c>
      <c r="Q90" s="126">
        <f>Dataserier!BJ89</f>
        <v>-44.434790599758045</v>
      </c>
      <c r="R90" s="126">
        <f>Dataserier!BL89</f>
        <v>-36.719999999999985</v>
      </c>
      <c r="S90" s="126">
        <f>Dataserier!BM89</f>
        <v>75.292900000000003</v>
      </c>
      <c r="T90" s="126">
        <f>Dataserier!BN89</f>
        <v>112.01289999999999</v>
      </c>
      <c r="U90" s="126">
        <f>Dataserier!BP89</f>
        <v>78.36999999999999</v>
      </c>
      <c r="V90" s="126">
        <f>Dataserier!BQ89</f>
        <v>82.012799999999984</v>
      </c>
      <c r="W90" s="126">
        <f>Dataserier!BR89</f>
        <v>3.642799999999994</v>
      </c>
      <c r="X90" s="126">
        <f>Dataserier!BT89</f>
        <v>73.36</v>
      </c>
      <c r="Y90" s="126">
        <f>Dataserier!BU89</f>
        <v>179.00415999999973</v>
      </c>
      <c r="Z90" s="126">
        <f>Dataserier!BV89</f>
        <v>105.64415999999973</v>
      </c>
      <c r="AB90" s="126">
        <f t="shared" si="5"/>
        <v>261.36200000000002</v>
      </c>
      <c r="AC90" s="126">
        <f t="shared" si="6"/>
        <v>327.62603040024169</v>
      </c>
      <c r="AD90" s="126">
        <f t="shared" si="7"/>
        <v>66.264030400241666</v>
      </c>
    </row>
    <row r="91" spans="1:30" x14ac:dyDescent="0.2">
      <c r="A91" s="128">
        <v>40344</v>
      </c>
      <c r="B91" s="157">
        <v>249.416</v>
      </c>
      <c r="C91" s="119">
        <f>Dataserier!H90</f>
        <v>30.256</v>
      </c>
      <c r="D91" s="119">
        <f>Dataserier!M90</f>
        <v>-57.07</v>
      </c>
      <c r="E91" s="119">
        <f>Dataserier!Q90</f>
        <v>-65.025999999999996</v>
      </c>
      <c r="F91" s="119">
        <f>Dataserier!U90</f>
        <v>24.129999999999988</v>
      </c>
      <c r="G91" s="119">
        <f>Dataserier!Y90</f>
        <v>-83.58</v>
      </c>
      <c r="H91" s="119">
        <f>Dataserier!AC90</f>
        <v>-100.83</v>
      </c>
      <c r="I91" s="119">
        <f t="shared" si="4"/>
        <v>-282.37599999999998</v>
      </c>
      <c r="L91" s="126">
        <f>Dataserier!BD90</f>
        <v>57.07</v>
      </c>
      <c r="M91" s="126">
        <f>Dataserier!BE90</f>
        <v>55.829386000000014</v>
      </c>
      <c r="N91" s="126">
        <f>Dataserier!BF90</f>
        <v>-1.2406139999999866</v>
      </c>
      <c r="O91" s="126">
        <f>Dataserier!BH90</f>
        <v>65.025999999999996</v>
      </c>
      <c r="P91" s="126">
        <f>Dataserier!BI90</f>
        <v>13.099094644760804</v>
      </c>
      <c r="Q91" s="126">
        <f>Dataserier!BJ90</f>
        <v>-51.926905355239192</v>
      </c>
      <c r="R91" s="126">
        <f>Dataserier!BL90</f>
        <v>-24.129999999999988</v>
      </c>
      <c r="S91" s="126">
        <f>Dataserier!BM90</f>
        <v>79.80080000000001</v>
      </c>
      <c r="T91" s="126">
        <f>Dataserier!BN90</f>
        <v>103.9308</v>
      </c>
      <c r="U91" s="126">
        <f>Dataserier!BP90</f>
        <v>83.58</v>
      </c>
      <c r="V91" s="126">
        <f>Dataserier!BQ90</f>
        <v>83.724399999999989</v>
      </c>
      <c r="W91" s="126">
        <f>Dataserier!BR90</f>
        <v>0.14439999999999031</v>
      </c>
      <c r="X91" s="126">
        <f>Dataserier!BT90</f>
        <v>100.83</v>
      </c>
      <c r="Y91" s="126">
        <f>Dataserier!BU90</f>
        <v>181.7985299999998</v>
      </c>
      <c r="Z91" s="126">
        <f>Dataserier!BV90</f>
        <v>80.968529999999802</v>
      </c>
      <c r="AB91" s="126">
        <f t="shared" si="5"/>
        <v>306.50599999999997</v>
      </c>
      <c r="AC91" s="126">
        <f t="shared" si="6"/>
        <v>334.45141064476059</v>
      </c>
      <c r="AD91" s="126">
        <f t="shared" si="7"/>
        <v>27.945410644760614</v>
      </c>
    </row>
    <row r="92" spans="1:30" x14ac:dyDescent="0.2">
      <c r="A92" s="128">
        <v>40374</v>
      </c>
      <c r="B92" s="157">
        <v>271.22300000000001</v>
      </c>
      <c r="C92" s="119">
        <f>Dataserier!H91</f>
        <v>16.654</v>
      </c>
      <c r="D92" s="119">
        <f>Dataserier!M91</f>
        <v>-67.150000000000006</v>
      </c>
      <c r="E92" s="119">
        <f>Dataserier!Q91</f>
        <v>-52.996000000000002</v>
      </c>
      <c r="F92" s="119">
        <f>Dataserier!U91</f>
        <v>34.779999999999987</v>
      </c>
      <c r="G92" s="119">
        <f>Dataserier!Y91</f>
        <v>-89.65</v>
      </c>
      <c r="H92" s="119">
        <f>Dataserier!AC91</f>
        <v>-97.29</v>
      </c>
      <c r="I92" s="119">
        <f t="shared" si="4"/>
        <v>-272.30600000000004</v>
      </c>
      <c r="L92" s="126">
        <f>Dataserier!BD91</f>
        <v>67.150000000000006</v>
      </c>
      <c r="M92" s="126">
        <f>Dataserier!BE91</f>
        <v>56.653732000000019</v>
      </c>
      <c r="N92" s="126">
        <f>Dataserier!BF91</f>
        <v>-10.496267999999986</v>
      </c>
      <c r="O92" s="126">
        <f>Dataserier!BH91</f>
        <v>52.996000000000002</v>
      </c>
      <c r="P92" s="126">
        <f>Dataserier!BI91</f>
        <v>12.629615650089782</v>
      </c>
      <c r="Q92" s="126">
        <f>Dataserier!BJ91</f>
        <v>-40.36638434991022</v>
      </c>
      <c r="R92" s="126">
        <f>Dataserier!BL91</f>
        <v>-34.779999999999987</v>
      </c>
      <c r="S92" s="126">
        <f>Dataserier!BM91</f>
        <v>79.372000000000014</v>
      </c>
      <c r="T92" s="126">
        <f>Dataserier!BN91</f>
        <v>114.152</v>
      </c>
      <c r="U92" s="126">
        <f>Dataserier!BP91</f>
        <v>89.65</v>
      </c>
      <c r="V92" s="126">
        <f>Dataserier!BQ91</f>
        <v>85.064799999999977</v>
      </c>
      <c r="W92" s="126">
        <f>Dataserier!BR91</f>
        <v>-4.5852000000000288</v>
      </c>
      <c r="X92" s="126">
        <f>Dataserier!BT91</f>
        <v>97.29</v>
      </c>
      <c r="Y92" s="126">
        <f>Dataserier!BU91</f>
        <v>184.04693999999972</v>
      </c>
      <c r="Z92" s="126">
        <f>Dataserier!BV91</f>
        <v>86.756939999999716</v>
      </c>
      <c r="AB92" s="126">
        <f t="shared" si="5"/>
        <v>307.08600000000001</v>
      </c>
      <c r="AC92" s="126">
        <f t="shared" si="6"/>
        <v>338.39508765008952</v>
      </c>
      <c r="AD92" s="126">
        <f t="shared" si="7"/>
        <v>31.309087650089509</v>
      </c>
    </row>
    <row r="93" spans="1:30" x14ac:dyDescent="0.2">
      <c r="A93" s="128">
        <v>40405</v>
      </c>
      <c r="B93" s="157">
        <v>282.59699999999998</v>
      </c>
      <c r="C93" s="119">
        <f>Dataserier!H92</f>
        <v>4.0609999999999999</v>
      </c>
      <c r="D93" s="119">
        <f>Dataserier!M92</f>
        <v>-67.849999999999994</v>
      </c>
      <c r="E93" s="119">
        <f>Dataserier!Q92</f>
        <v>-64.519000000000005</v>
      </c>
      <c r="F93" s="119">
        <f>Dataserier!U92</f>
        <v>29.620000000000008</v>
      </c>
      <c r="G93" s="119">
        <f>Dataserier!Y92</f>
        <v>-92.910000000000011</v>
      </c>
      <c r="H93" s="119">
        <f>Dataserier!AC92</f>
        <v>-79.31</v>
      </c>
      <c r="I93" s="119">
        <f t="shared" si="4"/>
        <v>-274.96899999999999</v>
      </c>
      <c r="L93" s="126">
        <f>Dataserier!BD92</f>
        <v>67.849999999999994</v>
      </c>
      <c r="M93" s="126">
        <f>Dataserier!BE92</f>
        <v>57.688583000000008</v>
      </c>
      <c r="N93" s="126">
        <f>Dataserier!BF92</f>
        <v>-10.161416999999986</v>
      </c>
      <c r="O93" s="126">
        <f>Dataserier!BH92</f>
        <v>64.519000000000005</v>
      </c>
      <c r="P93" s="126">
        <f>Dataserier!BI92</f>
        <v>11.992209400241961</v>
      </c>
      <c r="Q93" s="126">
        <f>Dataserier!BJ92</f>
        <v>-52.526790599758044</v>
      </c>
      <c r="R93" s="126">
        <f>Dataserier!BL92</f>
        <v>-29.620000000000008</v>
      </c>
      <c r="S93" s="126">
        <f>Dataserier!BM92</f>
        <v>84.926100000000019</v>
      </c>
      <c r="T93" s="126">
        <f>Dataserier!BN92</f>
        <v>114.54610000000002</v>
      </c>
      <c r="U93" s="126">
        <f>Dataserier!BP92</f>
        <v>92.910000000000011</v>
      </c>
      <c r="V93" s="126">
        <f>Dataserier!BQ92</f>
        <v>85.224199999999982</v>
      </c>
      <c r="W93" s="126">
        <f>Dataserier!BR92</f>
        <v>-7.6858000000000288</v>
      </c>
      <c r="X93" s="126">
        <f>Dataserier!BT92</f>
        <v>79.31</v>
      </c>
      <c r="Y93" s="126">
        <f>Dataserier!BU92</f>
        <v>186.8812499999998</v>
      </c>
      <c r="Z93" s="126">
        <f>Dataserier!BV92</f>
        <v>107.57124999999979</v>
      </c>
      <c r="AB93" s="126">
        <f t="shared" si="5"/>
        <v>304.589</v>
      </c>
      <c r="AC93" s="126">
        <f t="shared" si="6"/>
        <v>341.78624240024175</v>
      </c>
      <c r="AD93" s="126">
        <f t="shared" si="7"/>
        <v>37.197242400241748</v>
      </c>
    </row>
    <row r="94" spans="1:30" x14ac:dyDescent="0.2">
      <c r="A94" s="128">
        <v>40436</v>
      </c>
      <c r="B94" s="157">
        <v>309.97899999999998</v>
      </c>
      <c r="C94" s="119">
        <f>Dataserier!H93</f>
        <v>6.9859999999999998</v>
      </c>
      <c r="D94" s="119">
        <f>Dataserier!M93</f>
        <v>-60.28</v>
      </c>
      <c r="E94" s="119">
        <f>Dataserier!Q93</f>
        <v>-103.05800000000001</v>
      </c>
      <c r="F94" s="119">
        <f>Dataserier!U93</f>
        <v>17.72999999999999</v>
      </c>
      <c r="G94" s="119">
        <f>Dataserier!Y93</f>
        <v>-86.740000000000009</v>
      </c>
      <c r="H94" s="119">
        <f>Dataserier!AC93</f>
        <v>-54.340000000000011</v>
      </c>
      <c r="I94" s="119">
        <f t="shared" si="4"/>
        <v>-286.68800000000005</v>
      </c>
      <c r="L94" s="126">
        <f>Dataserier!BD93</f>
        <v>60.28</v>
      </c>
      <c r="M94" s="126">
        <f>Dataserier!BE93</f>
        <v>58.893803000000005</v>
      </c>
      <c r="N94" s="126">
        <f>Dataserier!BF93</f>
        <v>-1.3861969999999957</v>
      </c>
      <c r="O94" s="126">
        <f>Dataserier!BH93</f>
        <v>103.05800000000001</v>
      </c>
      <c r="P94" s="126">
        <f>Dataserier!BI93</f>
        <v>11.241217043692373</v>
      </c>
      <c r="Q94" s="126">
        <f>Dataserier!BJ93</f>
        <v>-91.816782956307634</v>
      </c>
      <c r="R94" s="126">
        <f>Dataserier!BL93</f>
        <v>-17.72999999999999</v>
      </c>
      <c r="S94" s="126">
        <f>Dataserier!BM93</f>
        <v>91.003200000000021</v>
      </c>
      <c r="T94" s="126">
        <f>Dataserier!BN93</f>
        <v>108.73320000000001</v>
      </c>
      <c r="U94" s="126">
        <f>Dataserier!BP93</f>
        <v>86.740000000000009</v>
      </c>
      <c r="V94" s="126">
        <f>Dataserier!BQ93</f>
        <v>86.435999999999964</v>
      </c>
      <c r="W94" s="126">
        <f>Dataserier!BR93</f>
        <v>-0.30400000000004468</v>
      </c>
      <c r="X94" s="126">
        <f>Dataserier!BT93</f>
        <v>54.340000000000011</v>
      </c>
      <c r="Y94" s="126">
        <f>Dataserier!BU93</f>
        <v>191.0123199999997</v>
      </c>
      <c r="Z94" s="126">
        <f>Dataserier!BV93</f>
        <v>136.6723199999997</v>
      </c>
      <c r="AB94" s="126">
        <f t="shared" si="5"/>
        <v>304.41800000000006</v>
      </c>
      <c r="AC94" s="126">
        <f t="shared" si="6"/>
        <v>347.58334004369203</v>
      </c>
      <c r="AD94" s="126">
        <f t="shared" si="7"/>
        <v>43.16534004369197</v>
      </c>
    </row>
    <row r="95" spans="1:30" x14ac:dyDescent="0.2">
      <c r="A95" s="128">
        <v>40466</v>
      </c>
      <c r="B95" s="157">
        <v>286.661</v>
      </c>
      <c r="C95" s="119">
        <f>Dataserier!H94</f>
        <v>5.1369999999999996</v>
      </c>
      <c r="D95" s="119">
        <f>Dataserier!M94</f>
        <v>-59.5</v>
      </c>
      <c r="E95" s="119">
        <f>Dataserier!Q94</f>
        <v>-116.009</v>
      </c>
      <c r="F95" s="119">
        <f>Dataserier!U94</f>
        <v>32.550000000000004</v>
      </c>
      <c r="G95" s="119">
        <f>Dataserier!Y94</f>
        <v>-90.44</v>
      </c>
      <c r="H95" s="119">
        <f>Dataserier!AC94</f>
        <v>-38.25</v>
      </c>
      <c r="I95" s="119">
        <f t="shared" si="4"/>
        <v>-271.649</v>
      </c>
      <c r="L95" s="126">
        <f>Dataserier!BD94</f>
        <v>59.5</v>
      </c>
      <c r="M95" s="126">
        <f>Dataserier!BE94</f>
        <v>60.231238000000005</v>
      </c>
      <c r="N95" s="126">
        <f>Dataserier!BF94</f>
        <v>0.73123800000000472</v>
      </c>
      <c r="O95" s="126">
        <f>Dataserier!BH94</f>
        <v>116.009</v>
      </c>
      <c r="P95" s="126">
        <f>Dataserier!BI94</f>
        <v>10.634596386764045</v>
      </c>
      <c r="Q95" s="126">
        <f>Dataserier!BJ94</f>
        <v>-105.37440361323596</v>
      </c>
      <c r="R95" s="126">
        <f>Dataserier!BL94</f>
        <v>-32.550000000000004</v>
      </c>
      <c r="S95" s="126">
        <f>Dataserier!BM94</f>
        <v>93.599300000000028</v>
      </c>
      <c r="T95" s="126">
        <f>Dataserier!BN94</f>
        <v>126.14930000000004</v>
      </c>
      <c r="U95" s="126">
        <f>Dataserier!BP94</f>
        <v>90.44</v>
      </c>
      <c r="V95" s="126">
        <f>Dataserier!BQ94</f>
        <v>88.648999999999958</v>
      </c>
      <c r="W95" s="126">
        <f>Dataserier!BR94</f>
        <v>-1.7910000000000394</v>
      </c>
      <c r="X95" s="126">
        <f>Dataserier!BT94</f>
        <v>38.25</v>
      </c>
      <c r="Y95" s="126">
        <f>Dataserier!BU94</f>
        <v>193.78247999999974</v>
      </c>
      <c r="Z95" s="126">
        <f>Dataserier!BV94</f>
        <v>155.53247999999974</v>
      </c>
      <c r="AB95" s="126">
        <f t="shared" si="5"/>
        <v>304.19900000000001</v>
      </c>
      <c r="AC95" s="126">
        <f t="shared" si="6"/>
        <v>353.29731438676373</v>
      </c>
      <c r="AD95" s="126">
        <f t="shared" si="7"/>
        <v>49.098314386763718</v>
      </c>
    </row>
    <row r="96" spans="1:30" x14ac:dyDescent="0.2">
      <c r="A96" s="128">
        <v>40497</v>
      </c>
      <c r="B96" s="157">
        <v>299.44400000000002</v>
      </c>
      <c r="C96" s="119">
        <f>Dataserier!H95</f>
        <v>7.5670000000000002</v>
      </c>
      <c r="D96" s="119">
        <f>Dataserier!M95</f>
        <v>-57.61</v>
      </c>
      <c r="E96" s="119">
        <f>Dataserier!Q95</f>
        <v>-137.86699999999999</v>
      </c>
      <c r="F96" s="119">
        <f>Dataserier!U95</f>
        <v>33.300000000000011</v>
      </c>
      <c r="G96" s="119">
        <f>Dataserier!Y95</f>
        <v>-92.4</v>
      </c>
      <c r="H96" s="119">
        <f>Dataserier!AC95</f>
        <v>-38.169999999999995</v>
      </c>
      <c r="I96" s="119">
        <f t="shared" si="4"/>
        <v>-292.74699999999996</v>
      </c>
      <c r="L96" s="126">
        <f>Dataserier!BD95</f>
        <v>57.61</v>
      </c>
      <c r="M96" s="126">
        <f>Dataserier!BE95</f>
        <v>61.615373000000005</v>
      </c>
      <c r="N96" s="126">
        <f>Dataserier!BF95</f>
        <v>4.0053730000000058</v>
      </c>
      <c r="O96" s="126">
        <f>Dataserier!BH95</f>
        <v>137.86699999999999</v>
      </c>
      <c r="P96" s="126">
        <f>Dataserier!BI95</f>
        <v>10.481209400241958</v>
      </c>
      <c r="Q96" s="126">
        <f>Dataserier!BJ95</f>
        <v>-127.38579059975802</v>
      </c>
      <c r="R96" s="126">
        <f>Dataserier!BL95</f>
        <v>-33.300000000000011</v>
      </c>
      <c r="S96" s="126">
        <f>Dataserier!BM95</f>
        <v>98.396000000000043</v>
      </c>
      <c r="T96" s="126">
        <f>Dataserier!BN95</f>
        <v>131.69600000000005</v>
      </c>
      <c r="U96" s="126">
        <f>Dataserier!BP95</f>
        <v>92.4</v>
      </c>
      <c r="V96" s="126">
        <f>Dataserier!BQ95</f>
        <v>91.092939999999956</v>
      </c>
      <c r="W96" s="126">
        <f>Dataserier!BR95</f>
        <v>-1.3070600000000496</v>
      </c>
      <c r="X96" s="126">
        <f>Dataserier!BT95</f>
        <v>38.169999999999995</v>
      </c>
      <c r="Y96" s="126">
        <f>Dataserier!BU95</f>
        <v>198.09933999999976</v>
      </c>
      <c r="Z96" s="126">
        <f>Dataserier!BV95</f>
        <v>159.92933999999977</v>
      </c>
      <c r="AB96" s="126">
        <f t="shared" si="5"/>
        <v>326.04699999999997</v>
      </c>
      <c r="AC96" s="126">
        <f t="shared" si="6"/>
        <v>361.28886240024167</v>
      </c>
      <c r="AD96" s="126">
        <f t="shared" si="7"/>
        <v>35.2418624002417</v>
      </c>
    </row>
    <row r="97" spans="1:30" s="126" customFormat="1" x14ac:dyDescent="0.2">
      <c r="A97" s="128">
        <v>40527</v>
      </c>
      <c r="B97" s="157">
        <v>325.553</v>
      </c>
      <c r="C97" s="119">
        <f>Dataserier!H96</f>
        <v>20.408000000000001</v>
      </c>
      <c r="D97" s="119">
        <f>Dataserier!M96</f>
        <v>-58.9</v>
      </c>
      <c r="E97" s="119">
        <f>Dataserier!Q96</f>
        <v>-144.54499999999999</v>
      </c>
      <c r="F97" s="119">
        <f>Dataserier!U96</f>
        <v>3.8000000000000034</v>
      </c>
      <c r="G97" s="119">
        <f>Dataserier!Y96</f>
        <v>-85.96</v>
      </c>
      <c r="H97" s="119">
        <f>Dataserier!AC96</f>
        <v>-46.14</v>
      </c>
      <c r="I97" s="119">
        <f t="shared" si="4"/>
        <v>-331.74499999999995</v>
      </c>
      <c r="L97" s="126">
        <f>Dataserier!BD96</f>
        <v>58.9</v>
      </c>
      <c r="M97" s="126">
        <f>Dataserier!BE96</f>
        <v>63.627492000000018</v>
      </c>
      <c r="N97" s="126">
        <f>Dataserier!BF96</f>
        <v>4.7274920000000193</v>
      </c>
      <c r="O97" s="126">
        <f>Dataserier!BH96</f>
        <v>144.54499999999999</v>
      </c>
      <c r="P97" s="126">
        <f>Dataserier!BI96</f>
        <v>10.96288617451404</v>
      </c>
      <c r="Q97" s="126">
        <f>Dataserier!BJ96</f>
        <v>-133.58211382548595</v>
      </c>
      <c r="R97" s="126">
        <f>Dataserier!BL96</f>
        <v>-3.8000000000000034</v>
      </c>
      <c r="S97" s="126">
        <f>Dataserier!BM96</f>
        <v>103.64020000000005</v>
      </c>
      <c r="T97" s="126">
        <f>Dataserier!BN96</f>
        <v>107.44020000000005</v>
      </c>
      <c r="U97" s="126">
        <f>Dataserier!BP96</f>
        <v>85.96</v>
      </c>
      <c r="V97" s="126">
        <f>Dataserier!BQ96</f>
        <v>92.872439999999969</v>
      </c>
      <c r="W97" s="126">
        <f>Dataserier!BR96</f>
        <v>6.9124399999999753</v>
      </c>
      <c r="X97" s="126">
        <f>Dataserier!BT96</f>
        <v>46.14</v>
      </c>
      <c r="Y97" s="126">
        <f>Dataserier!BU96</f>
        <v>201.57245999999975</v>
      </c>
      <c r="Z97" s="126">
        <f>Dataserier!BV96</f>
        <v>155.43245999999976</v>
      </c>
      <c r="AB97" s="126">
        <f t="shared" si="5"/>
        <v>335.54499999999996</v>
      </c>
      <c r="AC97" s="126">
        <f t="shared" si="6"/>
        <v>369.03527817451379</v>
      </c>
      <c r="AD97" s="126">
        <f t="shared" si="7"/>
        <v>33.490278174513833</v>
      </c>
    </row>
    <row r="98" spans="1:30" s="131" customFormat="1" x14ac:dyDescent="0.2">
      <c r="A98" s="128">
        <v>40558</v>
      </c>
      <c r="B98" s="157">
        <v>302.62799999999999</v>
      </c>
      <c r="C98" s="119">
        <f>Dataserier!H97</f>
        <v>5.9409999999999998</v>
      </c>
      <c r="D98" s="119">
        <f>Dataserier!M97</f>
        <v>-61.180000000000007</v>
      </c>
      <c r="E98" s="119">
        <f>Dataserier!Q97</f>
        <v>-133.51</v>
      </c>
      <c r="F98" s="119">
        <f>Dataserier!U97</f>
        <v>29.149999999999991</v>
      </c>
      <c r="G98" s="119">
        <f>Dataserier!Y97</f>
        <v>-86.17</v>
      </c>
      <c r="H98" s="119">
        <f>Dataserier!AC97</f>
        <v>-43.3</v>
      </c>
      <c r="I98" s="119">
        <f t="shared" si="4"/>
        <v>-295.01000000000005</v>
      </c>
      <c r="J98" s="130"/>
      <c r="L98" s="126">
        <f>Dataserier!BD97</f>
        <v>61.180000000000007</v>
      </c>
      <c r="M98" s="126">
        <f>Dataserier!BE97</f>
        <v>64.890287000000029</v>
      </c>
      <c r="N98" s="126">
        <f>Dataserier!BF97</f>
        <v>3.7102870000000223</v>
      </c>
      <c r="O98" s="126">
        <f>Dataserier!BH97</f>
        <v>133.51</v>
      </c>
      <c r="P98" s="126">
        <f>Dataserier!BI97</f>
        <v>11.753329278379873</v>
      </c>
      <c r="Q98" s="126">
        <f>Dataserier!BJ97</f>
        <v>-121.75667072162011</v>
      </c>
      <c r="R98" s="126">
        <f>Dataserier!BL97</f>
        <v>-29.149999999999991</v>
      </c>
      <c r="S98" s="126">
        <f>Dataserier!BM97</f>
        <v>112.45280000000005</v>
      </c>
      <c r="T98" s="126">
        <f>Dataserier!BN97</f>
        <v>141.60280000000006</v>
      </c>
      <c r="U98" s="126">
        <f>Dataserier!BP97</f>
        <v>86.17</v>
      </c>
      <c r="V98" s="126">
        <f>Dataserier!BQ97</f>
        <v>95.59032999999998</v>
      </c>
      <c r="W98" s="126">
        <f>Dataserier!BR97</f>
        <v>9.4203299999999786</v>
      </c>
      <c r="X98" s="126">
        <f>Dataserier!BT97</f>
        <v>43.3</v>
      </c>
      <c r="Y98" s="126">
        <f>Dataserier!BU97</f>
        <v>207.74302999999975</v>
      </c>
      <c r="Z98" s="126">
        <f>Dataserier!BV97</f>
        <v>164.44302999999974</v>
      </c>
      <c r="AB98" s="126">
        <f t="shared" si="5"/>
        <v>324.16000000000003</v>
      </c>
      <c r="AC98" s="126">
        <f t="shared" si="6"/>
        <v>379.97697627837965</v>
      </c>
      <c r="AD98" s="126">
        <f t="shared" si="7"/>
        <v>55.816976278379627</v>
      </c>
    </row>
    <row r="99" spans="1:30" x14ac:dyDescent="0.2">
      <c r="A99" s="128">
        <v>40589</v>
      </c>
      <c r="B99" s="157">
        <v>320.69400000000002</v>
      </c>
      <c r="C99" s="119">
        <f>Dataserier!H98</f>
        <v>4.7960000000000003</v>
      </c>
      <c r="D99" s="119">
        <f>Dataserier!M98</f>
        <v>-61.21</v>
      </c>
      <c r="E99" s="119">
        <f>Dataserier!Q98</f>
        <v>-140.35300000000001</v>
      </c>
      <c r="F99" s="119">
        <f>Dataserier!U98</f>
        <v>21.740000000000013</v>
      </c>
      <c r="G99" s="119">
        <f>Dataserier!Y98</f>
        <v>-84.72999999999999</v>
      </c>
      <c r="H99" s="119">
        <f>Dataserier!AC98</f>
        <v>-38.179999999999993</v>
      </c>
      <c r="I99" s="119">
        <f t="shared" si="4"/>
        <v>-302.733</v>
      </c>
      <c r="L99" s="126">
        <f>Dataserier!BD98</f>
        <v>61.21</v>
      </c>
      <c r="M99" s="126">
        <f>Dataserier!BE98</f>
        <v>65.773525000000035</v>
      </c>
      <c r="N99" s="126">
        <f>Dataserier!BF98</f>
        <v>4.563525000000034</v>
      </c>
      <c r="O99" s="126">
        <f>Dataserier!BH98</f>
        <v>140.35300000000001</v>
      </c>
      <c r="P99" s="126">
        <f>Dataserier!BI98</f>
        <v>12.399209400241958</v>
      </c>
      <c r="Q99" s="126">
        <f>Dataserier!BJ98</f>
        <v>-127.95379059975805</v>
      </c>
      <c r="R99" s="126">
        <f>Dataserier!BL98</f>
        <v>-21.740000000000013</v>
      </c>
      <c r="S99" s="126">
        <f>Dataserier!BM98</f>
        <v>118.85290000000006</v>
      </c>
      <c r="T99" s="126">
        <f>Dataserier!BN98</f>
        <v>140.59290000000007</v>
      </c>
      <c r="U99" s="126">
        <f>Dataserier!BP98</f>
        <v>84.72999999999999</v>
      </c>
      <c r="V99" s="126">
        <f>Dataserier!BQ98</f>
        <v>97.431419999999989</v>
      </c>
      <c r="W99" s="126">
        <f>Dataserier!BR98</f>
        <v>12.701419999999999</v>
      </c>
      <c r="X99" s="126">
        <f>Dataserier!BT98</f>
        <v>38.179999999999993</v>
      </c>
      <c r="Y99" s="126">
        <f>Dataserier!BU98</f>
        <v>213.04002999999977</v>
      </c>
      <c r="Z99" s="126">
        <f>Dataserier!BV98</f>
        <v>174.86002999999977</v>
      </c>
      <c r="AB99" s="126">
        <f t="shared" si="5"/>
        <v>324.47300000000001</v>
      </c>
      <c r="AC99" s="126">
        <f t="shared" si="6"/>
        <v>388.64418440024178</v>
      </c>
      <c r="AD99" s="126">
        <f t="shared" si="7"/>
        <v>64.171184400241771</v>
      </c>
    </row>
    <row r="100" spans="1:30" x14ac:dyDescent="0.2">
      <c r="A100" s="128">
        <v>40617</v>
      </c>
      <c r="B100" s="157">
        <v>323.22800000000001</v>
      </c>
      <c r="C100" s="119">
        <f>Dataserier!H99</f>
        <v>9.5449999999999999</v>
      </c>
      <c r="D100" s="119">
        <f>Dataserier!M99</f>
        <v>-59.31</v>
      </c>
      <c r="E100" s="119">
        <f>Dataserier!Q99</f>
        <v>-138.98400000000001</v>
      </c>
      <c r="F100" s="119">
        <f>Dataserier!U99</f>
        <v>3.4600000000000213</v>
      </c>
      <c r="G100" s="119">
        <f>Dataserier!Y99</f>
        <v>-75.320000000000007</v>
      </c>
      <c r="H100" s="119">
        <f>Dataserier!AC99</f>
        <v>-35.250000000000007</v>
      </c>
      <c r="I100" s="119">
        <f t="shared" si="4"/>
        <v>-305.404</v>
      </c>
      <c r="L100" s="126">
        <f>Dataserier!BD99</f>
        <v>59.31</v>
      </c>
      <c r="M100" s="126">
        <f>Dataserier!BE99</f>
        <v>66.992230000000006</v>
      </c>
      <c r="N100" s="126">
        <f>Dataserier!BF99</f>
        <v>7.6822300000000041</v>
      </c>
      <c r="O100" s="126">
        <f>Dataserier!BH99</f>
        <v>138.98400000000001</v>
      </c>
      <c r="P100" s="126">
        <f>Dataserier!BI99</f>
        <v>12.558124289332845</v>
      </c>
      <c r="Q100" s="126">
        <f>Dataserier!BJ99</f>
        <v>-126.42587571066716</v>
      </c>
      <c r="R100" s="126">
        <f>Dataserier!BL99</f>
        <v>-3.4600000000000213</v>
      </c>
      <c r="S100" s="126">
        <f>Dataserier!BM99</f>
        <v>126.30680000000007</v>
      </c>
      <c r="T100" s="126">
        <f>Dataserier!BN99</f>
        <v>129.76680000000007</v>
      </c>
      <c r="U100" s="126">
        <f>Dataserier!BP99</f>
        <v>75.320000000000007</v>
      </c>
      <c r="V100" s="126">
        <f>Dataserier!BQ99</f>
        <v>99.971439999999959</v>
      </c>
      <c r="W100" s="126">
        <f>Dataserier!BR99</f>
        <v>24.651439999999951</v>
      </c>
      <c r="X100" s="126">
        <f>Dataserier!BT99</f>
        <v>35.250000000000007</v>
      </c>
      <c r="Y100" s="126">
        <f>Dataserier!BU99</f>
        <v>218.42788999999971</v>
      </c>
      <c r="Z100" s="126">
        <f>Dataserier!BV99</f>
        <v>183.17788999999971</v>
      </c>
      <c r="AB100" s="126">
        <f t="shared" si="5"/>
        <v>308.86400000000003</v>
      </c>
      <c r="AC100" s="126">
        <f t="shared" si="6"/>
        <v>397.94968428933254</v>
      </c>
      <c r="AD100" s="126">
        <f t="shared" si="7"/>
        <v>89.085684289332505</v>
      </c>
    </row>
    <row r="101" spans="1:30" x14ac:dyDescent="0.2">
      <c r="A101" s="128">
        <v>40648</v>
      </c>
      <c r="B101" s="157">
        <v>309.10599999999999</v>
      </c>
      <c r="C101" s="119">
        <f>Dataserier!H100</f>
        <v>5.5350000000000001</v>
      </c>
      <c r="D101" s="119">
        <f>Dataserier!M100</f>
        <v>-67.83</v>
      </c>
      <c r="E101" s="119">
        <f>Dataserier!Q100</f>
        <v>-132.03399999999999</v>
      </c>
      <c r="F101" s="119">
        <f>Dataserier!U100</f>
        <v>14.790000000000006</v>
      </c>
      <c r="G101" s="119">
        <f>Dataserier!Y100</f>
        <v>-81.900000000000006</v>
      </c>
      <c r="H101" s="119">
        <f>Dataserier!AC100</f>
        <v>-32.75</v>
      </c>
      <c r="I101" s="119">
        <f t="shared" si="4"/>
        <v>-299.72399999999993</v>
      </c>
      <c r="L101" s="126">
        <f>Dataserier!BD100</f>
        <v>67.83</v>
      </c>
      <c r="M101" s="126">
        <f>Dataserier!BE100</f>
        <v>68.096110000000039</v>
      </c>
      <c r="N101" s="126">
        <f>Dataserier!BF100</f>
        <v>0.26611000000004026</v>
      </c>
      <c r="O101" s="126">
        <f>Dataserier!BH100</f>
        <v>132.03399999999999</v>
      </c>
      <c r="P101" s="126">
        <f>Dataserier!BI100</f>
        <v>12.331379938205259</v>
      </c>
      <c r="Q101" s="126">
        <f>Dataserier!BJ100</f>
        <v>-119.70262006179473</v>
      </c>
      <c r="R101" s="126">
        <f>Dataserier!BL100</f>
        <v>-14.790000000000006</v>
      </c>
      <c r="S101" s="126">
        <f>Dataserier!BM100</f>
        <v>131.00850000000008</v>
      </c>
      <c r="T101" s="126">
        <f>Dataserier!BN100</f>
        <v>145.7985000000001</v>
      </c>
      <c r="U101" s="126">
        <f>Dataserier!BP100</f>
        <v>81.900000000000006</v>
      </c>
      <c r="V101" s="126">
        <f>Dataserier!BQ100</f>
        <v>102.15707999999999</v>
      </c>
      <c r="W101" s="126">
        <f>Dataserier!BR100</f>
        <v>20.257079999999988</v>
      </c>
      <c r="X101" s="126">
        <f>Dataserier!BT100</f>
        <v>32.75</v>
      </c>
      <c r="Y101" s="126">
        <f>Dataserier!BU100</f>
        <v>221.40323999999964</v>
      </c>
      <c r="Z101" s="126">
        <f>Dataserier!BV100</f>
        <v>188.65323999999964</v>
      </c>
      <c r="AB101" s="126">
        <f t="shared" si="5"/>
        <v>314.51400000000001</v>
      </c>
      <c r="AC101" s="126">
        <f t="shared" si="6"/>
        <v>403.98780993820492</v>
      </c>
      <c r="AD101" s="126">
        <f t="shared" si="7"/>
        <v>89.473809938204909</v>
      </c>
    </row>
    <row r="102" spans="1:30" x14ac:dyDescent="0.2">
      <c r="A102" s="128">
        <v>40678</v>
      </c>
      <c r="B102" s="157">
        <v>323.64</v>
      </c>
      <c r="C102" s="119">
        <f>Dataserier!H101</f>
        <v>7.7629999999999999</v>
      </c>
      <c r="D102" s="119">
        <f>Dataserier!M101</f>
        <v>-65.53</v>
      </c>
      <c r="E102" s="119">
        <f>Dataserier!Q101</f>
        <v>-125.04</v>
      </c>
      <c r="F102" s="119">
        <f>Dataserier!U101</f>
        <v>18.060000000000002</v>
      </c>
      <c r="G102" s="119">
        <f>Dataserier!Y101</f>
        <v>-90.22</v>
      </c>
      <c r="H102" s="119">
        <f>Dataserier!AC101</f>
        <v>-48.280000000000008</v>
      </c>
      <c r="I102" s="119">
        <f t="shared" si="4"/>
        <v>-311.01000000000005</v>
      </c>
      <c r="L102" s="126">
        <f>Dataserier!BD101</f>
        <v>65.53</v>
      </c>
      <c r="M102" s="126">
        <f>Dataserier!BE101</f>
        <v>69.751641000000006</v>
      </c>
      <c r="N102" s="126">
        <f>Dataserier!BF101</f>
        <v>4.2216410000000053</v>
      </c>
      <c r="O102" s="126">
        <f>Dataserier!BH101</f>
        <v>125.04</v>
      </c>
      <c r="P102" s="126">
        <f>Dataserier!BI101</f>
        <v>11.931209400241961</v>
      </c>
      <c r="Q102" s="126">
        <f>Dataserier!BJ101</f>
        <v>-113.10879059975804</v>
      </c>
      <c r="R102" s="126">
        <f>Dataserier!BL101</f>
        <v>-18.060000000000002</v>
      </c>
      <c r="S102" s="126">
        <f>Dataserier!BM101</f>
        <v>136.64510000000007</v>
      </c>
      <c r="T102" s="126">
        <f>Dataserier!BN101</f>
        <v>154.70510000000007</v>
      </c>
      <c r="U102" s="126">
        <f>Dataserier!BP101</f>
        <v>90.22</v>
      </c>
      <c r="V102" s="126">
        <f>Dataserier!BQ101</f>
        <v>104.03995999999999</v>
      </c>
      <c r="W102" s="126">
        <f>Dataserier!BR101</f>
        <v>13.819959999999995</v>
      </c>
      <c r="X102" s="126">
        <f>Dataserier!BT101</f>
        <v>48.280000000000008</v>
      </c>
      <c r="Y102" s="126">
        <f>Dataserier!BU101</f>
        <v>224.82146999999964</v>
      </c>
      <c r="Z102" s="126">
        <f>Dataserier!BV101</f>
        <v>176.54146999999963</v>
      </c>
      <c r="AB102" s="126">
        <f t="shared" si="5"/>
        <v>329.07</v>
      </c>
      <c r="AC102" s="126">
        <f t="shared" si="6"/>
        <v>410.54428040024158</v>
      </c>
      <c r="AD102" s="126">
        <f t="shared" si="7"/>
        <v>81.474280400241582</v>
      </c>
    </row>
    <row r="103" spans="1:30" x14ac:dyDescent="0.2">
      <c r="A103" s="128">
        <v>40709</v>
      </c>
      <c r="B103" s="157">
        <v>336.53899999999999</v>
      </c>
      <c r="C103" s="119">
        <f>Dataserier!H102</f>
        <v>15.289</v>
      </c>
      <c r="D103" s="119">
        <f>Dataserier!M102</f>
        <v>-56.25</v>
      </c>
      <c r="E103" s="119">
        <f>Dataserier!Q102</f>
        <v>-128.00899999999999</v>
      </c>
      <c r="F103" s="119">
        <f>Dataserier!U102</f>
        <v>11.459999999999981</v>
      </c>
      <c r="G103" s="119">
        <f>Dataserier!Y102</f>
        <v>-95.67</v>
      </c>
      <c r="H103" s="119">
        <f>Dataserier!AC102</f>
        <v>-40.580000000000005</v>
      </c>
      <c r="I103" s="119">
        <f t="shared" si="4"/>
        <v>-309.04899999999998</v>
      </c>
      <c r="L103" s="126">
        <f>Dataserier!BD102</f>
        <v>56.25</v>
      </c>
      <c r="M103" s="126">
        <f>Dataserier!BE102</f>
        <v>71.953222000000011</v>
      </c>
      <c r="N103" s="126">
        <f>Dataserier!BF102</f>
        <v>15.703222000000011</v>
      </c>
      <c r="O103" s="126">
        <f>Dataserier!BH102</f>
        <v>128.00899999999999</v>
      </c>
      <c r="P103" s="126">
        <f>Dataserier!BI102</f>
        <v>11.519021217754485</v>
      </c>
      <c r="Q103" s="126">
        <f>Dataserier!BJ102</f>
        <v>-116.4899787822455</v>
      </c>
      <c r="R103" s="126">
        <f>Dataserier!BL102</f>
        <v>-11.459999999999981</v>
      </c>
      <c r="S103" s="126">
        <f>Dataserier!BM102</f>
        <v>139.19040000000007</v>
      </c>
      <c r="T103" s="126">
        <f>Dataserier!BN102</f>
        <v>150.65040000000005</v>
      </c>
      <c r="U103" s="126">
        <f>Dataserier!BP102</f>
        <v>95.67</v>
      </c>
      <c r="V103" s="126">
        <f>Dataserier!BQ102</f>
        <v>105.59845999999997</v>
      </c>
      <c r="W103" s="126">
        <f>Dataserier!BR102</f>
        <v>9.9284599999999728</v>
      </c>
      <c r="X103" s="126">
        <f>Dataserier!BT102</f>
        <v>40.580000000000005</v>
      </c>
      <c r="Y103" s="126">
        <f>Dataserier!BU102</f>
        <v>226.14394999999968</v>
      </c>
      <c r="Z103" s="126">
        <f>Dataserier!BV102</f>
        <v>185.56394999999966</v>
      </c>
      <c r="AB103" s="126">
        <f t="shared" si="5"/>
        <v>320.50899999999996</v>
      </c>
      <c r="AC103" s="126">
        <f t="shared" si="6"/>
        <v>415.21465321775418</v>
      </c>
      <c r="AD103" s="126">
        <f t="shared" si="7"/>
        <v>94.705653217754218</v>
      </c>
    </row>
    <row r="104" spans="1:30" x14ac:dyDescent="0.2">
      <c r="A104" s="128">
        <v>40739</v>
      </c>
      <c r="B104" s="157">
        <v>343.66199999999998</v>
      </c>
      <c r="C104" s="119">
        <f>Dataserier!H103</f>
        <v>6.7270000000000003</v>
      </c>
      <c r="D104" s="119">
        <f>Dataserier!M103</f>
        <v>-60.940000000000005</v>
      </c>
      <c r="E104" s="119">
        <f>Dataserier!Q103</f>
        <v>-125.946</v>
      </c>
      <c r="F104" s="119">
        <f>Dataserier!U103</f>
        <v>-11.649999999999999</v>
      </c>
      <c r="G104" s="119">
        <f>Dataserier!Y103</f>
        <v>-90.08</v>
      </c>
      <c r="H104" s="119">
        <f>Dataserier!AC103</f>
        <v>-51.890000000000015</v>
      </c>
      <c r="I104" s="119">
        <f t="shared" si="4"/>
        <v>-340.50599999999997</v>
      </c>
      <c r="L104" s="126">
        <f>Dataserier!BD103</f>
        <v>60.940000000000005</v>
      </c>
      <c r="M104" s="126">
        <f>Dataserier!BE103</f>
        <v>72.528128000000009</v>
      </c>
      <c r="N104" s="126">
        <f>Dataserier!BF103</f>
        <v>11.588128000000005</v>
      </c>
      <c r="O104" s="126">
        <f>Dataserier!BH103</f>
        <v>125.946</v>
      </c>
      <c r="P104" s="126">
        <f>Dataserier!BI103</f>
        <v>11.05292588876938</v>
      </c>
      <c r="Q104" s="126">
        <f>Dataserier!BJ103</f>
        <v>-114.89307411123062</v>
      </c>
      <c r="R104" s="126">
        <f>Dataserier!BL103</f>
        <v>11.649999999999999</v>
      </c>
      <c r="S104" s="126">
        <f>Dataserier!BM103</f>
        <v>138.92550000000008</v>
      </c>
      <c r="T104" s="126">
        <f>Dataserier!BN103</f>
        <v>127.27550000000008</v>
      </c>
      <c r="U104" s="126">
        <f>Dataserier!BP103</f>
        <v>90.08</v>
      </c>
      <c r="V104" s="126">
        <f>Dataserier!BQ103</f>
        <v>106.43865999999998</v>
      </c>
      <c r="W104" s="126">
        <f>Dataserier!BR103</f>
        <v>16.358659999999986</v>
      </c>
      <c r="X104" s="126">
        <f>Dataserier!BT103</f>
        <v>51.890000000000015</v>
      </c>
      <c r="Y104" s="126">
        <f>Dataserier!BU103</f>
        <v>227.02365999999961</v>
      </c>
      <c r="Z104" s="126">
        <f>Dataserier!BV103</f>
        <v>175.13365999999959</v>
      </c>
      <c r="AB104" s="126">
        <f t="shared" si="5"/>
        <v>328.85599999999999</v>
      </c>
      <c r="AC104" s="126">
        <f t="shared" si="6"/>
        <v>417.043373888769</v>
      </c>
      <c r="AD104" s="126">
        <f t="shared" si="7"/>
        <v>88.187373888769002</v>
      </c>
    </row>
    <row r="105" spans="1:30" x14ac:dyDescent="0.2">
      <c r="A105" s="128">
        <v>40770</v>
      </c>
      <c r="B105" s="157">
        <v>390.423</v>
      </c>
      <c r="C105" s="119">
        <f>Dataserier!H104</f>
        <v>19.082000000000001</v>
      </c>
      <c r="D105" s="119">
        <f>Dataserier!M104</f>
        <v>-61.53</v>
      </c>
      <c r="E105" s="119">
        <f>Dataserier!Q104</f>
        <v>-118.56399999999999</v>
      </c>
      <c r="F105" s="119">
        <f>Dataserier!U104</f>
        <v>-52.539999999999985</v>
      </c>
      <c r="G105" s="119">
        <f>Dataserier!Y104</f>
        <v>-96.31</v>
      </c>
      <c r="H105" s="119">
        <f>Dataserier!AC104</f>
        <v>-73.44</v>
      </c>
      <c r="I105" s="119">
        <f t="shared" si="4"/>
        <v>-402.38399999999996</v>
      </c>
      <c r="L105" s="126">
        <f>Dataserier!BD104</f>
        <v>61.53</v>
      </c>
      <c r="M105" s="126">
        <f>Dataserier!BE104</f>
        <v>72.560650999999979</v>
      </c>
      <c r="N105" s="126">
        <f>Dataserier!BF104</f>
        <v>11.030650999999978</v>
      </c>
      <c r="O105" s="126">
        <f>Dataserier!BH104</f>
        <v>118.56399999999999</v>
      </c>
      <c r="P105" s="126">
        <f>Dataserier!BI104</f>
        <v>10.440209400241955</v>
      </c>
      <c r="Q105" s="126">
        <f>Dataserier!BJ104</f>
        <v>-108.12379059975804</v>
      </c>
      <c r="R105" s="126">
        <f>Dataserier!BL104</f>
        <v>52.539999999999985</v>
      </c>
      <c r="S105" s="126">
        <f>Dataserier!BM104</f>
        <v>144.23230000000007</v>
      </c>
      <c r="T105" s="126">
        <f>Dataserier!BN104</f>
        <v>91.692300000000074</v>
      </c>
      <c r="U105" s="126">
        <f>Dataserier!BP104</f>
        <v>96.31</v>
      </c>
      <c r="V105" s="126">
        <f>Dataserier!BQ104</f>
        <v>106.54145999999999</v>
      </c>
      <c r="W105" s="126">
        <f>Dataserier!BR104</f>
        <v>10.231459999999984</v>
      </c>
      <c r="X105" s="126">
        <f>Dataserier!BT104</f>
        <v>73.44</v>
      </c>
      <c r="Y105" s="126">
        <f>Dataserier!BU104</f>
        <v>228.14243999999962</v>
      </c>
      <c r="Z105" s="126">
        <f>Dataserier!BV104</f>
        <v>154.70243999999963</v>
      </c>
      <c r="AB105" s="126">
        <f t="shared" si="5"/>
        <v>349.84399999999999</v>
      </c>
      <c r="AC105" s="126">
        <f t="shared" si="6"/>
        <v>417.68476040024154</v>
      </c>
      <c r="AD105" s="126">
        <f t="shared" si="7"/>
        <v>67.84076040024155</v>
      </c>
    </row>
    <row r="106" spans="1:30" x14ac:dyDescent="0.2">
      <c r="A106" s="128">
        <v>40801</v>
      </c>
      <c r="B106" s="157">
        <v>449.61099999999999</v>
      </c>
      <c r="C106" s="119">
        <f>Dataserier!H105</f>
        <v>44.142000000000003</v>
      </c>
      <c r="D106" s="119">
        <f>Dataserier!M105</f>
        <v>-56.220000000000006</v>
      </c>
      <c r="E106" s="119">
        <f>Dataserier!Q105</f>
        <v>-122.681</v>
      </c>
      <c r="F106" s="119">
        <f>Dataserier!U105</f>
        <v>-97.910000000000011</v>
      </c>
      <c r="G106" s="119">
        <f>Dataserier!Y105</f>
        <v>-99.62</v>
      </c>
      <c r="H106" s="119">
        <f>Dataserier!AC105</f>
        <v>-83.84</v>
      </c>
      <c r="I106" s="119">
        <f t="shared" si="4"/>
        <v>-460.27100000000007</v>
      </c>
      <c r="L106" s="126">
        <f>Dataserier!BD105</f>
        <v>56.220000000000006</v>
      </c>
      <c r="M106" s="126">
        <f>Dataserier!BE105</f>
        <v>73.445689999999985</v>
      </c>
      <c r="N106" s="126">
        <f>Dataserier!BF105</f>
        <v>17.225689999999979</v>
      </c>
      <c r="O106" s="126">
        <f>Dataserier!BH105</f>
        <v>122.681</v>
      </c>
      <c r="P106" s="126">
        <f>Dataserier!BI105</f>
        <v>9.6585657596194849</v>
      </c>
      <c r="Q106" s="126">
        <f>Dataserier!BJ105</f>
        <v>-113.02243424038051</v>
      </c>
      <c r="R106" s="126">
        <f>Dataserier!BL105</f>
        <v>97.910000000000011</v>
      </c>
      <c r="S106" s="126">
        <f>Dataserier!BM105</f>
        <v>148.49270000000004</v>
      </c>
      <c r="T106" s="126">
        <f>Dataserier!BN105</f>
        <v>50.582700000000031</v>
      </c>
      <c r="U106" s="126">
        <f>Dataserier!BP105</f>
        <v>99.62</v>
      </c>
      <c r="V106" s="126">
        <f>Dataserier!BQ105</f>
        <v>107.61055999999998</v>
      </c>
      <c r="W106" s="126">
        <f>Dataserier!BR105</f>
        <v>7.9905599999999737</v>
      </c>
      <c r="X106" s="126">
        <f>Dataserier!BT105</f>
        <v>83.84</v>
      </c>
      <c r="Y106" s="126">
        <f>Dataserier!BU105</f>
        <v>231.86845999999969</v>
      </c>
      <c r="Z106" s="126">
        <f>Dataserier!BV105</f>
        <v>148.02845999999968</v>
      </c>
      <c r="AB106" s="126">
        <f t="shared" si="5"/>
        <v>362.36099999999999</v>
      </c>
      <c r="AC106" s="126">
        <f t="shared" si="6"/>
        <v>422.58327575961914</v>
      </c>
      <c r="AD106" s="126">
        <f t="shared" si="7"/>
        <v>60.222275759619151</v>
      </c>
    </row>
    <row r="107" spans="1:30" x14ac:dyDescent="0.2">
      <c r="A107" s="128">
        <v>40831</v>
      </c>
      <c r="B107" s="157">
        <v>465.51499999999999</v>
      </c>
      <c r="C107" s="119">
        <f>Dataserier!H106</f>
        <v>26.481999999999999</v>
      </c>
      <c r="D107" s="119">
        <f>Dataserier!M106</f>
        <v>-57.730000000000004</v>
      </c>
      <c r="E107" s="119">
        <f>Dataserier!Q106</f>
        <v>-116.432</v>
      </c>
      <c r="F107" s="119">
        <f>Dataserier!U106</f>
        <v>-82.09</v>
      </c>
      <c r="G107" s="119">
        <f>Dataserier!Y106</f>
        <v>-104.55000000000001</v>
      </c>
      <c r="H107" s="119">
        <f>Dataserier!AC106</f>
        <v>-103.7</v>
      </c>
      <c r="I107" s="119">
        <f t="shared" si="4"/>
        <v>-464.50200000000001</v>
      </c>
      <c r="L107" s="126">
        <f>Dataserier!BD106</f>
        <v>57.730000000000004</v>
      </c>
      <c r="M107" s="126">
        <f>Dataserier!BE106</f>
        <v>73.883508999999975</v>
      </c>
      <c r="N107" s="126">
        <f>Dataserier!BF106</f>
        <v>16.153508999999971</v>
      </c>
      <c r="O107" s="126">
        <f>Dataserier!BH106</f>
        <v>116.432</v>
      </c>
      <c r="P107" s="126">
        <f>Dataserier!BI106</f>
        <v>8.9673210563171182</v>
      </c>
      <c r="Q107" s="126">
        <f>Dataserier!BJ106</f>
        <v>-107.46467894368288</v>
      </c>
      <c r="R107" s="126">
        <f>Dataserier!BL106</f>
        <v>82.09</v>
      </c>
      <c r="S107" s="126">
        <f>Dataserier!BM106</f>
        <v>150.03790000000006</v>
      </c>
      <c r="T107" s="126">
        <f>Dataserier!BN106</f>
        <v>67.947900000000061</v>
      </c>
      <c r="U107" s="126">
        <f>Dataserier!BP106</f>
        <v>104.55000000000001</v>
      </c>
      <c r="V107" s="126">
        <f>Dataserier!BQ106</f>
        <v>109.07915999999999</v>
      </c>
      <c r="W107" s="126">
        <f>Dataserier!BR106</f>
        <v>4.5291599999999761</v>
      </c>
      <c r="X107" s="126">
        <f>Dataserier!BT106</f>
        <v>103.7</v>
      </c>
      <c r="Y107" s="126">
        <f>Dataserier!BU106</f>
        <v>233.23172999999963</v>
      </c>
      <c r="Z107" s="126">
        <f>Dataserier!BV106</f>
        <v>129.53172999999964</v>
      </c>
      <c r="AB107" s="126">
        <f t="shared" si="5"/>
        <v>382.41199999999998</v>
      </c>
      <c r="AC107" s="126">
        <f t="shared" si="6"/>
        <v>425.16172005631671</v>
      </c>
      <c r="AD107" s="126">
        <f t="shared" si="7"/>
        <v>42.749720056316733</v>
      </c>
    </row>
    <row r="108" spans="1:30" x14ac:dyDescent="0.2">
      <c r="A108" s="128">
        <v>40862</v>
      </c>
      <c r="B108" s="157">
        <v>495.16399999999999</v>
      </c>
      <c r="C108" s="119">
        <f>Dataserier!H107</f>
        <v>42.591000000000001</v>
      </c>
      <c r="D108" s="119">
        <f>Dataserier!M107</f>
        <v>-60.680000000000007</v>
      </c>
      <c r="E108" s="119">
        <f>Dataserier!Q107</f>
        <v>-119.682</v>
      </c>
      <c r="F108" s="119">
        <f>Dataserier!U107</f>
        <v>-142.37</v>
      </c>
      <c r="G108" s="119">
        <f>Dataserier!Y107</f>
        <v>-108.19000000000001</v>
      </c>
      <c r="H108" s="119">
        <f>Dataserier!AC107</f>
        <v>-132.39999999999998</v>
      </c>
      <c r="I108" s="119">
        <f t="shared" si="4"/>
        <v>-563.322</v>
      </c>
      <c r="L108" s="126">
        <f>Dataserier!BD107</f>
        <v>60.680000000000007</v>
      </c>
      <c r="M108" s="126">
        <f>Dataserier!BE107</f>
        <v>74.725100999999967</v>
      </c>
      <c r="N108" s="126">
        <f>Dataserier!BF107</f>
        <v>14.04510099999996</v>
      </c>
      <c r="O108" s="126">
        <f>Dataserier!BH107</f>
        <v>119.682</v>
      </c>
      <c r="P108" s="126">
        <f>Dataserier!BI107</f>
        <v>8.6962094002419548</v>
      </c>
      <c r="Q108" s="126">
        <f>Dataserier!BJ107</f>
        <v>-110.98579059975805</v>
      </c>
      <c r="R108" s="126">
        <f>Dataserier!BL107</f>
        <v>142.37</v>
      </c>
      <c r="S108" s="126">
        <f>Dataserier!BM107</f>
        <v>152.70150000000007</v>
      </c>
      <c r="T108" s="126">
        <f>Dataserier!BN107</f>
        <v>10.331500000000062</v>
      </c>
      <c r="U108" s="126">
        <f>Dataserier!BP107</f>
        <v>108.19000000000001</v>
      </c>
      <c r="V108" s="126">
        <f>Dataserier!BQ107</f>
        <v>111.36326999999999</v>
      </c>
      <c r="W108" s="126">
        <f>Dataserier!BR107</f>
        <v>3.1732699999999738</v>
      </c>
      <c r="X108" s="126">
        <f>Dataserier!BT107</f>
        <v>132.39999999999998</v>
      </c>
      <c r="Y108" s="126">
        <f>Dataserier!BU107</f>
        <v>235.15810999999962</v>
      </c>
      <c r="Z108" s="126">
        <f>Dataserier!BV107</f>
        <v>102.75810999999965</v>
      </c>
      <c r="AB108" s="126">
        <f t="shared" si="5"/>
        <v>420.952</v>
      </c>
      <c r="AC108" s="126">
        <f t="shared" si="6"/>
        <v>429.94269040024153</v>
      </c>
      <c r="AD108" s="126">
        <f t="shared" si="7"/>
        <v>8.9906904002415331</v>
      </c>
    </row>
    <row r="109" spans="1:30" s="126" customFormat="1" x14ac:dyDescent="0.2">
      <c r="A109" s="128">
        <v>40892</v>
      </c>
      <c r="B109" s="157">
        <v>463.31099999999998</v>
      </c>
      <c r="C109" s="119">
        <f>Dataserier!H108</f>
        <v>66.73</v>
      </c>
      <c r="D109" s="119">
        <f>Dataserier!M108</f>
        <v>-59.910000000000004</v>
      </c>
      <c r="E109" s="119">
        <f>Dataserier!Q108</f>
        <v>-119.794</v>
      </c>
      <c r="F109" s="119">
        <f>Dataserier!U108</f>
        <v>-190.29999999999998</v>
      </c>
      <c r="G109" s="119">
        <f>Dataserier!Y108</f>
        <v>-103.62</v>
      </c>
      <c r="H109" s="119">
        <f>Dataserier!AC108</f>
        <v>-170.19</v>
      </c>
      <c r="I109" s="119">
        <f t="shared" si="4"/>
        <v>-643.81400000000008</v>
      </c>
      <c r="L109" s="126">
        <f>Dataserier!BD108</f>
        <v>59.910000000000004</v>
      </c>
      <c r="M109" s="126">
        <f>Dataserier!BE108</f>
        <v>75.610176999999965</v>
      </c>
      <c r="N109" s="126">
        <f>Dataserier!BF108</f>
        <v>15.700176999999961</v>
      </c>
      <c r="O109" s="126">
        <f>Dataserier!BH108</f>
        <v>119.794</v>
      </c>
      <c r="P109" s="126">
        <f>Dataserier!BI108</f>
        <v>9.0283054785526318</v>
      </c>
      <c r="Q109" s="126">
        <f>Dataserier!BJ108</f>
        <v>-110.76569452144736</v>
      </c>
      <c r="R109" s="126">
        <f>Dataserier!BL108</f>
        <v>190.29999999999998</v>
      </c>
      <c r="S109" s="126">
        <f>Dataserier!BM108</f>
        <v>151.25170000000008</v>
      </c>
      <c r="T109" s="126">
        <f>Dataserier!BN108</f>
        <v>-39.048299999999898</v>
      </c>
      <c r="U109" s="126">
        <f>Dataserier!BP108</f>
        <v>103.62</v>
      </c>
      <c r="V109" s="126">
        <f>Dataserier!BQ108</f>
        <v>113.50608999999999</v>
      </c>
      <c r="W109" s="126">
        <f>Dataserier!BR108</f>
        <v>9.8860899999999816</v>
      </c>
      <c r="X109" s="126">
        <f>Dataserier!BT108</f>
        <v>170.19</v>
      </c>
      <c r="Y109" s="126">
        <f>Dataserier!BU108</f>
        <v>239.06947999999966</v>
      </c>
      <c r="Z109" s="126">
        <f>Dataserier!BV108</f>
        <v>68.87947999999966</v>
      </c>
      <c r="AB109" s="126">
        <f t="shared" si="5"/>
        <v>453.51400000000001</v>
      </c>
      <c r="AC109" s="126">
        <f t="shared" si="6"/>
        <v>437.21405247855222</v>
      </c>
      <c r="AD109" s="126">
        <f t="shared" si="7"/>
        <v>-16.299947521447791</v>
      </c>
    </row>
    <row r="110" spans="1:30" x14ac:dyDescent="0.2">
      <c r="A110" s="128">
        <v>40923</v>
      </c>
      <c r="B110" s="157">
        <v>498.13099999999997</v>
      </c>
      <c r="C110" s="119">
        <f>Dataserier!H109</f>
        <v>52.179000000000002</v>
      </c>
      <c r="D110" s="119">
        <f>Dataserier!M109</f>
        <v>-61.64</v>
      </c>
      <c r="E110" s="119">
        <f>Dataserier!Q109</f>
        <v>-105.643</v>
      </c>
      <c r="F110" s="119">
        <f>Dataserier!U109</f>
        <v>-178.92000000000002</v>
      </c>
      <c r="G110" s="119">
        <f>Dataserier!Y109</f>
        <v>-106.3</v>
      </c>
      <c r="H110" s="119">
        <f>Dataserier!AC109</f>
        <v>-179</v>
      </c>
      <c r="I110" s="119">
        <f t="shared" si="4"/>
        <v>-631.50300000000004</v>
      </c>
      <c r="L110" s="126">
        <f>Dataserier!BD109</f>
        <v>61.64</v>
      </c>
      <c r="M110" s="126">
        <f>Dataserier!BE109</f>
        <v>76.699796999999961</v>
      </c>
      <c r="N110" s="126">
        <f>Dataserier!BF109</f>
        <v>15.059796999999961</v>
      </c>
      <c r="O110" s="126">
        <f>Dataserier!BH109</f>
        <v>105.643</v>
      </c>
      <c r="P110" s="126">
        <f>Dataserier!BI109</f>
        <v>9.5600462874138756</v>
      </c>
      <c r="Q110" s="126">
        <f>Dataserier!BJ109</f>
        <v>-96.082953712586118</v>
      </c>
      <c r="R110" s="126">
        <f>Dataserier!BL109</f>
        <v>178.92000000000002</v>
      </c>
      <c r="S110" s="126">
        <f>Dataserier!BM109</f>
        <v>158.60420000000008</v>
      </c>
      <c r="T110" s="126">
        <f>Dataserier!BN109</f>
        <v>-20.315799999999939</v>
      </c>
      <c r="U110" s="126">
        <f>Dataserier!BP109</f>
        <v>106.3</v>
      </c>
      <c r="V110" s="126">
        <f>Dataserier!BQ109</f>
        <v>114.95356</v>
      </c>
      <c r="W110" s="126">
        <f>Dataserier!BR109</f>
        <v>8.6535599999999988</v>
      </c>
      <c r="X110" s="126">
        <f>Dataserier!BT109</f>
        <v>179</v>
      </c>
      <c r="Y110" s="126">
        <f>Dataserier!BU109</f>
        <v>244.74612999999965</v>
      </c>
      <c r="Z110" s="126">
        <f>Dataserier!BV109</f>
        <v>65.746129999999653</v>
      </c>
      <c r="AB110" s="126">
        <f t="shared" si="5"/>
        <v>452.58300000000003</v>
      </c>
      <c r="AC110" s="126">
        <f t="shared" si="6"/>
        <v>445.95953328741348</v>
      </c>
      <c r="AD110" s="126">
        <f t="shared" si="7"/>
        <v>-6.6234667125865485</v>
      </c>
    </row>
    <row r="111" spans="1:30" x14ac:dyDescent="0.2">
      <c r="A111" s="128">
        <v>40954</v>
      </c>
      <c r="B111" s="157">
        <v>547.04700000000003</v>
      </c>
      <c r="C111" s="119">
        <f>Dataserier!H110</f>
        <v>44.92</v>
      </c>
      <c r="D111" s="119">
        <f>Dataserier!M110</f>
        <v>-62.970000000000006</v>
      </c>
      <c r="E111" s="119">
        <f>Dataserier!Q110</f>
        <v>-96.093000000000004</v>
      </c>
      <c r="F111" s="119">
        <f>Dataserier!U110</f>
        <v>-191.55</v>
      </c>
      <c r="G111" s="119">
        <f>Dataserier!Y110</f>
        <v>-106.13</v>
      </c>
      <c r="H111" s="119">
        <f>Dataserier!AC110</f>
        <v>-206.64000000000001</v>
      </c>
      <c r="I111" s="119">
        <f t="shared" si="4"/>
        <v>-663.38300000000004</v>
      </c>
      <c r="L111" s="126">
        <f>Dataserier!BD110</f>
        <v>62.970000000000006</v>
      </c>
      <c r="M111" s="126">
        <f>Dataserier!BE110</f>
        <v>76.920777999999984</v>
      </c>
      <c r="N111" s="126">
        <f>Dataserier!BF110</f>
        <v>13.950777999999978</v>
      </c>
      <c r="O111" s="126">
        <f>Dataserier!BH110</f>
        <v>96.093000000000004</v>
      </c>
      <c r="P111" s="126">
        <f>Dataserier!BI110</f>
        <v>9.7412094002419565</v>
      </c>
      <c r="Q111" s="126">
        <f>Dataserier!BJ110</f>
        <v>-86.351790599758047</v>
      </c>
      <c r="R111" s="126">
        <f>Dataserier!BL110</f>
        <v>191.55</v>
      </c>
      <c r="S111" s="126">
        <f>Dataserier!BM110</f>
        <v>162.81960000000007</v>
      </c>
      <c r="T111" s="126">
        <f>Dataserier!BN110</f>
        <v>-28.730399999999946</v>
      </c>
      <c r="U111" s="126">
        <f>Dataserier!BP110</f>
        <v>106.13</v>
      </c>
      <c r="V111" s="126">
        <f>Dataserier!BQ110</f>
        <v>116.07988999999996</v>
      </c>
      <c r="W111" s="126">
        <f>Dataserier!BR110</f>
        <v>9.9498899999999679</v>
      </c>
      <c r="X111" s="126">
        <f>Dataserier!BT110</f>
        <v>206.64000000000001</v>
      </c>
      <c r="Y111" s="126">
        <f>Dataserier!BU110</f>
        <v>250.83099999999968</v>
      </c>
      <c r="Z111" s="126">
        <f>Dataserier!BV110</f>
        <v>44.190999999999661</v>
      </c>
      <c r="AB111" s="126">
        <f t="shared" si="5"/>
        <v>471.83299999999997</v>
      </c>
      <c r="AC111" s="126">
        <f t="shared" si="6"/>
        <v>453.57287740024157</v>
      </c>
      <c r="AD111" s="126">
        <f t="shared" si="7"/>
        <v>-18.260122599758404</v>
      </c>
    </row>
    <row r="112" spans="1:30" x14ac:dyDescent="0.2">
      <c r="A112" s="128">
        <v>40983</v>
      </c>
      <c r="B112" s="157">
        <v>615.59199999999998</v>
      </c>
      <c r="C112" s="119">
        <f>Dataserier!H111</f>
        <v>73.866</v>
      </c>
      <c r="D112" s="119">
        <f>Dataserier!M111</f>
        <v>-73.53</v>
      </c>
      <c r="E112" s="119">
        <f>Dataserier!Q111</f>
        <v>-95.361000000000004</v>
      </c>
      <c r="F112" s="119">
        <f>Dataserier!U111</f>
        <v>-266.91000000000003</v>
      </c>
      <c r="G112" s="119">
        <f>Dataserier!Y111</f>
        <v>-102.60000000000001</v>
      </c>
      <c r="H112" s="119">
        <f>Dataserier!AC111</f>
        <v>-271.25</v>
      </c>
      <c r="I112" s="119">
        <f t="shared" si="4"/>
        <v>-809.65100000000007</v>
      </c>
      <c r="L112" s="126">
        <f>Dataserier!BD111</f>
        <v>73.53</v>
      </c>
      <c r="M112" s="126">
        <f>Dataserier!BE111</f>
        <v>77.375027999999958</v>
      </c>
      <c r="N112" s="126">
        <f>Dataserier!BF111</f>
        <v>3.8450279999999566</v>
      </c>
      <c r="O112" s="126">
        <f>Dataserier!BH111</f>
        <v>95.361000000000004</v>
      </c>
      <c r="P112" s="126">
        <f>Dataserier!BI111</f>
        <v>9.1633205794735773</v>
      </c>
      <c r="Q112" s="126">
        <f>Dataserier!BJ111</f>
        <v>-86.197679420526427</v>
      </c>
      <c r="R112" s="126">
        <f>Dataserier!BL111</f>
        <v>266.91000000000003</v>
      </c>
      <c r="S112" s="126">
        <f>Dataserier!BM111</f>
        <v>164.41930000000008</v>
      </c>
      <c r="T112" s="126">
        <f>Dataserier!BN111</f>
        <v>-102.49069999999995</v>
      </c>
      <c r="U112" s="126">
        <f>Dataserier!BP111</f>
        <v>102.60000000000001</v>
      </c>
      <c r="V112" s="126">
        <f>Dataserier!BQ111</f>
        <v>118.31703</v>
      </c>
      <c r="W112" s="126">
        <f>Dataserier!BR111</f>
        <v>15.717029999999994</v>
      </c>
      <c r="X112" s="126">
        <f>Dataserier!BT111</f>
        <v>271.25</v>
      </c>
      <c r="Y112" s="126">
        <f>Dataserier!BU111</f>
        <v>254.09640999999976</v>
      </c>
      <c r="Z112" s="126">
        <f>Dataserier!BV111</f>
        <v>-17.153590000000236</v>
      </c>
      <c r="AB112" s="126">
        <f t="shared" si="5"/>
        <v>542.74099999999999</v>
      </c>
      <c r="AC112" s="126">
        <f t="shared" si="6"/>
        <v>458.95178857947332</v>
      </c>
      <c r="AD112" s="126">
        <f t="shared" si="7"/>
        <v>-83.789211420526669</v>
      </c>
    </row>
    <row r="113" spans="1:30" x14ac:dyDescent="0.2">
      <c r="A113" s="128">
        <v>41014</v>
      </c>
      <c r="B113" s="157">
        <v>644.18200000000002</v>
      </c>
      <c r="C113" s="119">
        <f>Dataserier!H112</f>
        <v>62.716000000000001</v>
      </c>
      <c r="D113" s="119">
        <f>Dataserier!M112</f>
        <v>-67.8</v>
      </c>
      <c r="E113" s="119">
        <f>Dataserier!Q112</f>
        <v>-98.048000000000002</v>
      </c>
      <c r="F113" s="119">
        <f>Dataserier!U112</f>
        <v>-275.35000000000002</v>
      </c>
      <c r="G113" s="119">
        <f>Dataserier!Y112</f>
        <v>-96.91</v>
      </c>
      <c r="H113" s="119">
        <f>Dataserier!AC112</f>
        <v>-298.05000000000007</v>
      </c>
      <c r="I113" s="119">
        <f t="shared" si="4"/>
        <v>-836.15800000000013</v>
      </c>
      <c r="L113" s="126">
        <f>Dataserier!BD112</f>
        <v>67.8</v>
      </c>
      <c r="M113" s="126">
        <f>Dataserier!BE112</f>
        <v>77.793321999999961</v>
      </c>
      <c r="N113" s="126">
        <f>Dataserier!BF112</f>
        <v>9.9933219999999636</v>
      </c>
      <c r="O113" s="126">
        <f>Dataserier!BH112</f>
        <v>98.048000000000002</v>
      </c>
      <c r="P113" s="126">
        <f>Dataserier!BI112</f>
        <v>7.9848983436272505</v>
      </c>
      <c r="Q113" s="126">
        <f>Dataserier!BJ112</f>
        <v>-90.063101656372751</v>
      </c>
      <c r="R113" s="126">
        <f>Dataserier!BL112</f>
        <v>275.35000000000002</v>
      </c>
      <c r="S113" s="126">
        <f>Dataserier!BM112</f>
        <v>165.66330000000008</v>
      </c>
      <c r="T113" s="126">
        <f>Dataserier!BN112</f>
        <v>-109.68669999999995</v>
      </c>
      <c r="U113" s="126">
        <f>Dataserier!BP112</f>
        <v>96.91</v>
      </c>
      <c r="V113" s="126">
        <f>Dataserier!BQ112</f>
        <v>119.26188999999998</v>
      </c>
      <c r="W113" s="126">
        <f>Dataserier!BR112</f>
        <v>22.351889999999983</v>
      </c>
      <c r="X113" s="126">
        <f>Dataserier!BT112</f>
        <v>298.05000000000007</v>
      </c>
      <c r="Y113" s="126">
        <f>Dataserier!BU112</f>
        <v>255.76774999999964</v>
      </c>
      <c r="Z113" s="126">
        <f>Dataserier!BV112</f>
        <v>-42.282250000000431</v>
      </c>
      <c r="AB113" s="126">
        <f t="shared" si="5"/>
        <v>560.80800000000011</v>
      </c>
      <c r="AC113" s="126">
        <f t="shared" si="6"/>
        <v>460.80786034362683</v>
      </c>
      <c r="AD113" s="126">
        <f t="shared" si="7"/>
        <v>-100.00013965637328</v>
      </c>
    </row>
    <row r="114" spans="1:30" x14ac:dyDescent="0.2">
      <c r="A114" s="128">
        <v>41044</v>
      </c>
      <c r="B114" s="158">
        <v>698.56700000000001</v>
      </c>
      <c r="C114" s="119">
        <f>Dataserier!H113</f>
        <v>54.405000000000001</v>
      </c>
      <c r="D114" s="119">
        <f>Dataserier!M113</f>
        <v>-61.490000000000009</v>
      </c>
      <c r="E114" s="119">
        <f>Dataserier!Q113</f>
        <v>-96.563999999999993</v>
      </c>
      <c r="F114" s="119">
        <f>Dataserier!U113</f>
        <v>-267.61</v>
      </c>
      <c r="G114" s="119">
        <f>Dataserier!Y113</f>
        <v>-100.41999999999999</v>
      </c>
      <c r="H114" s="119">
        <f>Dataserier!AC113</f>
        <v>-340.31</v>
      </c>
      <c r="I114" s="119">
        <f t="shared" si="4"/>
        <v>-866.39400000000001</v>
      </c>
      <c r="L114" s="126">
        <f>Dataserier!BD113</f>
        <v>61.490000000000009</v>
      </c>
      <c r="M114" s="126">
        <f>Dataserier!BE113</f>
        <v>78.532028999999966</v>
      </c>
      <c r="N114" s="126">
        <f>Dataserier!BF113</f>
        <v>17.042028999999957</v>
      </c>
      <c r="O114" s="126">
        <f>Dataserier!BH113</f>
        <v>96.563999999999993</v>
      </c>
      <c r="P114" s="126">
        <f>Dataserier!BI113</f>
        <v>6.506209400241957</v>
      </c>
      <c r="Q114" s="126">
        <f>Dataserier!BJ113</f>
        <v>-90.057790599758036</v>
      </c>
      <c r="R114" s="126">
        <f>Dataserier!BL113</f>
        <v>267.61</v>
      </c>
      <c r="S114" s="126">
        <f>Dataserier!BM113</f>
        <v>166.78520000000009</v>
      </c>
      <c r="T114" s="126">
        <f>Dataserier!BN113</f>
        <v>-100.82479999999993</v>
      </c>
      <c r="U114" s="126">
        <f>Dataserier!BP113</f>
        <v>100.41999999999999</v>
      </c>
      <c r="V114" s="126">
        <f>Dataserier!BQ113</f>
        <v>120.48972999999997</v>
      </c>
      <c r="W114" s="126">
        <f>Dataserier!BR113</f>
        <v>20.069729999999979</v>
      </c>
      <c r="X114" s="126">
        <f>Dataserier!BT113</f>
        <v>340.31</v>
      </c>
      <c r="Y114" s="126">
        <f>Dataserier!BU113</f>
        <v>256.14739999999972</v>
      </c>
      <c r="Z114" s="126">
        <f>Dataserier!BV113</f>
        <v>-84.162600000000282</v>
      </c>
      <c r="AB114" s="126">
        <f t="shared" si="5"/>
        <v>598.78399999999999</v>
      </c>
      <c r="AC114" s="126">
        <f t="shared" si="6"/>
        <v>461.67536840024161</v>
      </c>
      <c r="AD114" s="126">
        <f t="shared" si="7"/>
        <v>-137.10863159975838</v>
      </c>
    </row>
    <row r="115" spans="1:30" x14ac:dyDescent="0.2">
      <c r="A115" s="128">
        <v>41075</v>
      </c>
      <c r="B115" s="158">
        <v>728.56700000000001</v>
      </c>
      <c r="C115" s="119">
        <f>Dataserier!H114</f>
        <v>73.195999999999998</v>
      </c>
      <c r="D115" s="119">
        <f>Dataserier!M114</f>
        <v>-73.16</v>
      </c>
      <c r="E115" s="119">
        <f>Dataserier!Q114</f>
        <v>-99.451999999999998</v>
      </c>
      <c r="F115" s="119">
        <f>Dataserier!U114</f>
        <v>-265.17</v>
      </c>
      <c r="G115" s="119">
        <f>Dataserier!Y114</f>
        <v>-104.86</v>
      </c>
      <c r="H115" s="119">
        <f>Dataserier!AC114</f>
        <v>-403.64000000000004</v>
      </c>
      <c r="I115" s="119">
        <f t="shared" si="4"/>
        <v>-946.28200000000015</v>
      </c>
      <c r="L115" s="126">
        <f>Dataserier!BD114</f>
        <v>73.16</v>
      </c>
      <c r="M115" s="126">
        <f>Dataserier!BE114</f>
        <v>78.55773499999998</v>
      </c>
      <c r="N115" s="126">
        <f>Dataserier!BF114</f>
        <v>5.3977349999999831</v>
      </c>
      <c r="O115" s="126">
        <f>Dataserier!BH114</f>
        <v>99.451999999999998</v>
      </c>
      <c r="P115" s="126">
        <f>Dataserier!BI114</f>
        <v>5.02752045685666</v>
      </c>
      <c r="Q115" s="126">
        <f>Dataserier!BJ114</f>
        <v>-94.424479543143335</v>
      </c>
      <c r="R115" s="126">
        <f>Dataserier!BL114</f>
        <v>265.17</v>
      </c>
      <c r="S115" s="126">
        <f>Dataserier!BM114</f>
        <v>164.5928000000001</v>
      </c>
      <c r="T115" s="126">
        <f>Dataserier!BN114</f>
        <v>-100.57719999999992</v>
      </c>
      <c r="U115" s="126">
        <f>Dataserier!BP114</f>
        <v>104.86</v>
      </c>
      <c r="V115" s="126">
        <f>Dataserier!BQ114</f>
        <v>120.41662999999996</v>
      </c>
      <c r="W115" s="126">
        <f>Dataserier!BR114</f>
        <v>15.556629999999956</v>
      </c>
      <c r="X115" s="126">
        <f>Dataserier!BT114</f>
        <v>403.64000000000004</v>
      </c>
      <c r="Y115" s="126">
        <f>Dataserier!BU114</f>
        <v>256.95236999999963</v>
      </c>
      <c r="Z115" s="126">
        <f>Dataserier!BV114</f>
        <v>-146.68763000000041</v>
      </c>
      <c r="AB115" s="126">
        <f t="shared" si="5"/>
        <v>681.11200000000008</v>
      </c>
      <c r="AC115" s="126">
        <f t="shared" si="6"/>
        <v>460.95425545685623</v>
      </c>
      <c r="AD115" s="126">
        <f t="shared" si="7"/>
        <v>-220.15774454314385</v>
      </c>
    </row>
    <row r="116" spans="1:30" x14ac:dyDescent="0.2">
      <c r="A116" s="128">
        <v>41105</v>
      </c>
      <c r="B116" s="158">
        <v>727.20600000000002</v>
      </c>
      <c r="C116" s="119">
        <f>Dataserier!H115</f>
        <v>59.862000000000002</v>
      </c>
      <c r="D116" s="119">
        <f>Dataserier!M115</f>
        <v>-71.509999999999991</v>
      </c>
      <c r="E116" s="119">
        <f>Dataserier!Q115</f>
        <v>-93.424000000000007</v>
      </c>
      <c r="F116" s="119">
        <f>Dataserier!U115</f>
        <v>-270.86</v>
      </c>
      <c r="G116" s="119">
        <f>Dataserier!Y115</f>
        <v>-103.91999999999999</v>
      </c>
      <c r="H116" s="119">
        <f>Dataserier!AC115</f>
        <v>-418.49</v>
      </c>
      <c r="I116" s="119">
        <f t="shared" si="4"/>
        <v>-958.20399999999995</v>
      </c>
      <c r="L116" s="126">
        <f>Dataserier!BD115</f>
        <v>71.509999999999991</v>
      </c>
      <c r="M116" s="126">
        <f>Dataserier!BE115</f>
        <v>77.679971999999964</v>
      </c>
      <c r="N116" s="126">
        <f>Dataserier!BF115</f>
        <v>6.1699719999999729</v>
      </c>
      <c r="O116" s="126">
        <f>Dataserier!BH115</f>
        <v>93.424000000000007</v>
      </c>
      <c r="P116" s="126">
        <f>Dataserier!BI115</f>
        <v>3.8490982210103439</v>
      </c>
      <c r="Q116" s="126">
        <f>Dataserier!BJ115</f>
        <v>-89.57490177898967</v>
      </c>
      <c r="R116" s="126">
        <f>Dataserier!BL115</f>
        <v>270.86</v>
      </c>
      <c r="S116" s="126">
        <f>Dataserier!BM115</f>
        <v>160.11280000000008</v>
      </c>
      <c r="T116" s="126">
        <f>Dataserier!BN115</f>
        <v>-110.74719999999994</v>
      </c>
      <c r="U116" s="126">
        <f>Dataserier!BP115</f>
        <v>103.91999999999999</v>
      </c>
      <c r="V116" s="126">
        <f>Dataserier!BQ115</f>
        <v>119.90872999999998</v>
      </c>
      <c r="W116" s="126">
        <f>Dataserier!BR115</f>
        <v>15.98872999999999</v>
      </c>
      <c r="X116" s="126">
        <f>Dataserier!BT115</f>
        <v>418.49</v>
      </c>
      <c r="Y116" s="126">
        <f>Dataserier!BU115</f>
        <v>256.45270999999968</v>
      </c>
      <c r="Z116" s="126">
        <f>Dataserier!BV115</f>
        <v>-162.03729000000033</v>
      </c>
      <c r="AB116" s="126">
        <f t="shared" si="5"/>
        <v>687.34400000000005</v>
      </c>
      <c r="AC116" s="126">
        <f t="shared" si="6"/>
        <v>457.89051022100995</v>
      </c>
      <c r="AD116" s="126">
        <f t="shared" si="7"/>
        <v>-229.4534897789901</v>
      </c>
    </row>
    <row r="117" spans="1:30" s="126" customFormat="1" x14ac:dyDescent="0.2">
      <c r="A117" s="128">
        <v>41136</v>
      </c>
      <c r="B117" s="158">
        <v>751.44899999999996</v>
      </c>
      <c r="C117" s="155">
        <f>Dataserier!H116</f>
        <v>63.204000000000001</v>
      </c>
      <c r="D117" s="155">
        <f>Dataserier!M116</f>
        <v>-70.960000000000008</v>
      </c>
      <c r="E117" s="155">
        <f>Dataserier!Q116</f>
        <v>-90.769000000000005</v>
      </c>
      <c r="F117" s="155">
        <f>Dataserier!U116</f>
        <v>-279.35000000000002</v>
      </c>
      <c r="G117" s="155">
        <f>Dataserier!Y116</f>
        <v>-106.74000000000001</v>
      </c>
      <c r="H117" s="155">
        <f>Dataserier!AC116</f>
        <v>-429.65</v>
      </c>
      <c r="I117" s="155">
        <f t="shared" si="4"/>
        <v>-977.46900000000005</v>
      </c>
      <c r="J117" s="154"/>
      <c r="K117" s="154"/>
      <c r="L117" s="154">
        <f>Dataserier!BD116</f>
        <v>70.960000000000008</v>
      </c>
      <c r="M117" s="154">
        <f>Dataserier!BE116</f>
        <v>77.338225999999935</v>
      </c>
      <c r="N117" s="154">
        <f>Dataserier!BF116</f>
        <v>6.3782259999999269</v>
      </c>
      <c r="O117" s="154">
        <f>Dataserier!BH116</f>
        <v>90.769000000000005</v>
      </c>
      <c r="P117" s="154">
        <f>Dataserier!BI116</f>
        <v>3.2712094002419576</v>
      </c>
      <c r="Q117" s="154">
        <f>Dataserier!BJ116</f>
        <v>-87.497790599758048</v>
      </c>
      <c r="R117" s="154">
        <f>Dataserier!BL116</f>
        <v>279.35000000000002</v>
      </c>
      <c r="S117" s="154">
        <f>Dataserier!BM116</f>
        <v>161.94500000000011</v>
      </c>
      <c r="T117" s="154">
        <f>Dataserier!BN116</f>
        <v>-117.40499999999992</v>
      </c>
      <c r="U117" s="154">
        <f>Dataserier!BP116</f>
        <v>106.74000000000001</v>
      </c>
      <c r="V117" s="154">
        <f>Dataserier!BQ116</f>
        <v>118.46843</v>
      </c>
      <c r="W117" s="154">
        <f>Dataserier!BR116</f>
        <v>11.728429999999989</v>
      </c>
      <c r="X117" s="154">
        <f>Dataserier!BT116</f>
        <v>429.65</v>
      </c>
      <c r="Y117" s="154">
        <f>Dataserier!BU116</f>
        <v>255.20851999999968</v>
      </c>
      <c r="Z117" s="154">
        <f>Dataserier!BV116</f>
        <v>-174.4414800000003</v>
      </c>
      <c r="AA117" s="154"/>
      <c r="AB117" s="154">
        <f t="shared" si="5"/>
        <v>698.11900000000003</v>
      </c>
      <c r="AC117" s="154">
        <f t="shared" si="6"/>
        <v>454.28638540024156</v>
      </c>
      <c r="AD117" s="154">
        <f t="shared" si="7"/>
        <v>-243.83261459975847</v>
      </c>
    </row>
    <row r="118" spans="1:30" x14ac:dyDescent="0.2">
      <c r="A118" s="128">
        <v>41167</v>
      </c>
      <c r="B118" s="158">
        <v>695.45799999999997</v>
      </c>
      <c r="C118" s="119">
        <f>Dataserier!H117</f>
        <v>71.123999999999995</v>
      </c>
      <c r="D118" s="119">
        <f>Dataserier!M117</f>
        <v>-70.710000000000008</v>
      </c>
      <c r="E118" s="119">
        <f>Dataserier!Q117</f>
        <v>-83.772999999999996</v>
      </c>
      <c r="F118" s="119">
        <f>Dataserier!U117</f>
        <v>-269.63</v>
      </c>
      <c r="G118" s="119">
        <f>Dataserier!Y117</f>
        <v>-106.71000000000001</v>
      </c>
      <c r="H118" s="119">
        <f>Dataserier!AC117</f>
        <v>-395.36</v>
      </c>
      <c r="I118" s="119">
        <f t="shared" si="4"/>
        <v>-926.18299999999999</v>
      </c>
      <c r="L118" s="126">
        <f>Dataserier!BD117</f>
        <v>70.710000000000008</v>
      </c>
      <c r="M118" s="126">
        <f>Dataserier!BE117</f>
        <v>77.652268999999961</v>
      </c>
      <c r="N118" s="126">
        <f>Dataserier!BF117</f>
        <v>6.9422689999999534</v>
      </c>
      <c r="O118" s="126">
        <f>Dataserier!BH117</f>
        <v>83.772999999999996</v>
      </c>
      <c r="P118" s="126">
        <f>Dataserier!BI117</f>
        <v>0</v>
      </c>
      <c r="Q118" s="126">
        <f>Dataserier!BJ117</f>
        <v>-83.772999999999996</v>
      </c>
      <c r="R118" s="126">
        <f>Dataserier!BL117</f>
        <v>269.63</v>
      </c>
      <c r="S118" s="126">
        <f>Dataserier!BM117</f>
        <v>163.2084000000001</v>
      </c>
      <c r="T118" s="126">
        <f>Dataserier!BN117</f>
        <v>0</v>
      </c>
      <c r="U118" s="126">
        <f>Dataserier!BP117</f>
        <v>106.71000000000001</v>
      </c>
      <c r="V118" s="126">
        <f>Dataserier!BQ117</f>
        <v>117.76262999999999</v>
      </c>
      <c r="W118" s="126">
        <f>Dataserier!BR117</f>
        <v>11.052629999999979</v>
      </c>
      <c r="X118" s="126">
        <f>Dataserier!BT117</f>
        <v>-395.36</v>
      </c>
      <c r="Y118" s="126">
        <f>Dataserier!BU117</f>
        <v>255.20851999999968</v>
      </c>
      <c r="Z118" s="126">
        <f>Dataserier!BV117</f>
        <v>0</v>
      </c>
      <c r="AB118" s="126">
        <f t="shared" ref="AB118:AB123" si="8">L118+O118+U118+X118</f>
        <v>-134.16700000000003</v>
      </c>
      <c r="AC118">
        <f t="shared" ref="AC118:AC123" si="9">M118+P118+V118+Y118</f>
        <v>450.62341899999961</v>
      </c>
      <c r="AD118" s="126">
        <f t="shared" ref="AD118:AD123" si="10">AC118-AB118</f>
        <v>584.7904189999997</v>
      </c>
    </row>
    <row r="119" spans="1:30" x14ac:dyDescent="0.2">
      <c r="A119" s="128">
        <v>41197</v>
      </c>
      <c r="B119" s="158">
        <v>719.35199999999998</v>
      </c>
      <c r="C119" s="119">
        <f>Dataserier!H118</f>
        <v>76.492999999999995</v>
      </c>
      <c r="D119" s="119">
        <f>Dataserier!M118</f>
        <v>-68.59</v>
      </c>
      <c r="E119" s="119">
        <f>Dataserier!Q118</f>
        <v>-84.204999999999998</v>
      </c>
      <c r="F119" s="119">
        <f>Dataserier!U118</f>
        <v>-254.06</v>
      </c>
      <c r="G119" s="119">
        <f>Dataserier!Y118</f>
        <v>-107.27</v>
      </c>
      <c r="H119" s="119">
        <f>Dataserier!AC118</f>
        <v>-375.66</v>
      </c>
      <c r="I119" s="119">
        <f t="shared" si="4"/>
        <v>-889.78500000000008</v>
      </c>
      <c r="L119" s="126">
        <f>Dataserier!BD118</f>
        <v>68.59</v>
      </c>
      <c r="M119" s="126">
        <f>Dataserier!BE118</f>
        <v>77.846362999999968</v>
      </c>
      <c r="N119" s="126">
        <f>Dataserier!BF118</f>
        <v>9.2563629999999648</v>
      </c>
      <c r="O119" s="126">
        <f>Dataserier!BH118</f>
        <v>84.204999999999998</v>
      </c>
      <c r="P119" s="126">
        <f>Dataserier!BI118</f>
        <v>0</v>
      </c>
      <c r="Q119" s="126">
        <f>Dataserier!BJ118</f>
        <v>-84.204999999999998</v>
      </c>
      <c r="R119" s="126">
        <f>Dataserier!BL118</f>
        <v>254.06</v>
      </c>
      <c r="S119" s="126">
        <f>Dataserier!BM118</f>
        <v>161.03170000000009</v>
      </c>
      <c r="T119" s="126">
        <f>Dataserier!BN118</f>
        <v>0</v>
      </c>
      <c r="U119" s="126">
        <f>Dataserier!BP118</f>
        <v>107.27</v>
      </c>
      <c r="V119" s="126">
        <f>Dataserier!BQ118</f>
        <v>118.52562999999999</v>
      </c>
      <c r="W119" s="126">
        <f>Dataserier!BR118</f>
        <v>11.255629999999996</v>
      </c>
      <c r="X119" s="126">
        <f>Dataserier!BT118</f>
        <v>-375.66</v>
      </c>
      <c r="Y119" s="126">
        <f>Dataserier!BU118</f>
        <v>255.20851999999968</v>
      </c>
      <c r="Z119" s="126">
        <f>Dataserier!BV118</f>
        <v>0</v>
      </c>
      <c r="AB119" s="126">
        <f t="shared" si="8"/>
        <v>-115.59500000000003</v>
      </c>
      <c r="AC119">
        <f t="shared" si="9"/>
        <v>451.58051299999966</v>
      </c>
      <c r="AD119" s="126">
        <f t="shared" si="10"/>
        <v>567.17551299999968</v>
      </c>
    </row>
    <row r="120" spans="1:30" x14ac:dyDescent="0.2">
      <c r="A120" s="128">
        <v>41228</v>
      </c>
      <c r="B120" s="158">
        <v>715.12400000000002</v>
      </c>
      <c r="C120" s="119">
        <f>Dataserier!H119</f>
        <v>52.534999999999997</v>
      </c>
      <c r="D120" s="119">
        <f>Dataserier!M119</f>
        <v>-65.53</v>
      </c>
      <c r="E120" s="119">
        <f>Dataserier!Q119</f>
        <v>-82.406000000000006</v>
      </c>
      <c r="F120" s="119">
        <f>Dataserier!U119</f>
        <v>-234.58</v>
      </c>
      <c r="G120" s="119">
        <f>Dataserier!Y119</f>
        <v>-107.34</v>
      </c>
      <c r="H120" s="119">
        <f>Dataserier!AC119</f>
        <v>-361.27</v>
      </c>
      <c r="I120" s="119">
        <f t="shared" si="4"/>
        <v>-851.12599999999998</v>
      </c>
      <c r="L120" s="126">
        <f>Dataserier!BD119</f>
        <v>65.53</v>
      </c>
      <c r="M120" s="126">
        <f>Dataserier!BE119</f>
        <v>78.124072999999953</v>
      </c>
      <c r="N120" s="126">
        <f>Dataserier!BF119</f>
        <v>12.594072999999952</v>
      </c>
      <c r="O120" s="126">
        <f>Dataserier!BH119</f>
        <v>82.406000000000006</v>
      </c>
      <c r="P120" s="126">
        <f>Dataserier!BI119</f>
        <v>0</v>
      </c>
      <c r="Q120" s="126">
        <f>Dataserier!BJ119</f>
        <v>-82.406000000000006</v>
      </c>
      <c r="R120" s="126">
        <f>Dataserier!BL119</f>
        <v>234.58</v>
      </c>
      <c r="S120" s="126">
        <f>Dataserier!BM119</f>
        <v>158.80520000000007</v>
      </c>
      <c r="T120" s="126">
        <f>Dataserier!BN119</f>
        <v>0</v>
      </c>
      <c r="U120" s="126">
        <f>Dataserier!BP119</f>
        <v>107.34</v>
      </c>
      <c r="V120" s="126">
        <f>Dataserier!BQ119</f>
        <v>119.42763000000001</v>
      </c>
      <c r="W120" s="126">
        <f>Dataserier!BR119</f>
        <v>12.087630000000004</v>
      </c>
      <c r="X120" s="126">
        <f>Dataserier!BT119</f>
        <v>-361.27</v>
      </c>
      <c r="Y120" s="126">
        <f>Dataserier!BU119</f>
        <v>255.20851999999968</v>
      </c>
      <c r="Z120" s="126">
        <f>Dataserier!BV119</f>
        <v>0</v>
      </c>
      <c r="AB120" s="126">
        <f t="shared" si="8"/>
        <v>-105.99399999999997</v>
      </c>
      <c r="AC120">
        <f t="shared" si="9"/>
        <v>452.76022299999966</v>
      </c>
      <c r="AD120" s="126">
        <f t="shared" si="10"/>
        <v>558.75422299999968</v>
      </c>
    </row>
    <row r="121" spans="1:30" x14ac:dyDescent="0.2">
      <c r="A121" s="128">
        <v>41258</v>
      </c>
      <c r="B121" s="158">
        <v>655.67</v>
      </c>
      <c r="AB121" s="126">
        <f t="shared" si="8"/>
        <v>0</v>
      </c>
      <c r="AC121">
        <f t="shared" si="9"/>
        <v>0</v>
      </c>
      <c r="AD121" s="126">
        <f t="shared" si="10"/>
        <v>0</v>
      </c>
    </row>
    <row r="122" spans="1:30" x14ac:dyDescent="0.2">
      <c r="A122" s="128">
        <v>41289</v>
      </c>
      <c r="B122" s="158">
        <v>616.93700000000001</v>
      </c>
      <c r="AB122" s="126">
        <f t="shared" si="8"/>
        <v>0</v>
      </c>
      <c r="AC122">
        <f t="shared" si="9"/>
        <v>0</v>
      </c>
      <c r="AD122" s="126">
        <f t="shared" si="10"/>
        <v>0</v>
      </c>
    </row>
    <row r="123" spans="1:30" x14ac:dyDescent="0.2">
      <c r="A123" s="128">
        <v>41320</v>
      </c>
      <c r="C123" s="119">
        <v>1000</v>
      </c>
      <c r="E123" s="119">
        <v>1000</v>
      </c>
      <c r="AB123" s="126">
        <f t="shared" si="8"/>
        <v>0</v>
      </c>
      <c r="AC123">
        <f t="shared" si="9"/>
        <v>0</v>
      </c>
      <c r="AD123" s="126">
        <f t="shared" si="10"/>
        <v>0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227"/>
  <sheetViews>
    <sheetView workbookViewId="0">
      <selection activeCell="B3" sqref="B3"/>
    </sheetView>
  </sheetViews>
  <sheetFormatPr defaultRowHeight="12.75" x14ac:dyDescent="0.2"/>
  <cols>
    <col min="1" max="1" width="10.140625" bestFit="1" customWidth="1"/>
    <col min="10" max="15" width="9.140625" style="124"/>
  </cols>
  <sheetData>
    <row r="1" spans="1:24" x14ac:dyDescent="0.2">
      <c r="A1" s="121" t="s">
        <v>120</v>
      </c>
      <c r="B1" s="121" t="s">
        <v>119</v>
      </c>
      <c r="C1" s="121" t="s">
        <v>39</v>
      </c>
      <c r="D1" s="121" t="s">
        <v>119</v>
      </c>
      <c r="E1" s="121" t="s">
        <v>118</v>
      </c>
      <c r="F1" s="121" t="s">
        <v>37</v>
      </c>
      <c r="H1" s="121"/>
      <c r="I1" s="123" t="s">
        <v>44</v>
      </c>
      <c r="J1" s="123" t="s">
        <v>39</v>
      </c>
      <c r="K1" s="123" t="s">
        <v>118</v>
      </c>
      <c r="L1" s="123" t="s">
        <v>38</v>
      </c>
      <c r="M1" s="123" t="s">
        <v>37</v>
      </c>
      <c r="N1" s="123" t="s">
        <v>36</v>
      </c>
    </row>
    <row r="2" spans="1:24" x14ac:dyDescent="0.2">
      <c r="A2" s="118">
        <v>37802</v>
      </c>
      <c r="B2">
        <v>48.785700000000006</v>
      </c>
      <c r="C2">
        <v>59.243500000000004</v>
      </c>
      <c r="D2">
        <v>103.84450000000001</v>
      </c>
      <c r="E2">
        <v>30.744800000000001</v>
      </c>
      <c r="F2">
        <v>97.4666</v>
      </c>
      <c r="H2" s="122">
        <f>Sheet1!A1</f>
        <v>34714</v>
      </c>
      <c r="I2">
        <v>7.6000000000000005</v>
      </c>
      <c r="J2">
        <v>11.790000000000001</v>
      </c>
      <c r="K2">
        <v>8.7900000000000009</v>
      </c>
      <c r="L2">
        <v>12.370000000000001</v>
      </c>
      <c r="M2">
        <v>19</v>
      </c>
      <c r="N2">
        <v>11.86</v>
      </c>
      <c r="S2">
        <v>7.6000000000000005</v>
      </c>
      <c r="T2">
        <v>11.790000000000001</v>
      </c>
      <c r="U2">
        <v>8.7900000000000009</v>
      </c>
      <c r="V2">
        <v>12.370000000000001</v>
      </c>
      <c r="W2">
        <v>19</v>
      </c>
      <c r="X2">
        <v>11.86</v>
      </c>
    </row>
    <row r="3" spans="1:24" x14ac:dyDescent="0.2">
      <c r="A3" s="118">
        <v>38168</v>
      </c>
      <c r="B3">
        <v>46.255200000000002</v>
      </c>
      <c r="C3">
        <v>61.926900000000003</v>
      </c>
      <c r="D3">
        <v>103.5501</v>
      </c>
      <c r="E3">
        <v>29.459000000000003</v>
      </c>
      <c r="F3">
        <v>98.900199999999998</v>
      </c>
      <c r="H3" s="122">
        <f>Sheet1!A2</f>
        <v>34745</v>
      </c>
      <c r="I3">
        <v>7.42</v>
      </c>
      <c r="J3">
        <v>11.700000000000001</v>
      </c>
      <c r="K3">
        <v>8.67</v>
      </c>
      <c r="L3">
        <v>12.39</v>
      </c>
      <c r="M3">
        <v>18.5</v>
      </c>
      <c r="N3">
        <v>11.6</v>
      </c>
      <c r="S3">
        <v>7.42</v>
      </c>
      <c r="T3">
        <v>11.700000000000001</v>
      </c>
      <c r="U3">
        <v>8.67</v>
      </c>
      <c r="V3">
        <v>12.39</v>
      </c>
      <c r="W3">
        <v>18.5</v>
      </c>
      <c r="X3">
        <v>11.6</v>
      </c>
    </row>
    <row r="4" spans="1:24" x14ac:dyDescent="0.2">
      <c r="A4" s="118">
        <v>38533</v>
      </c>
      <c r="B4">
        <v>43.1648</v>
      </c>
      <c r="C4">
        <v>67.6892</v>
      </c>
      <c r="D4">
        <v>105.3806</v>
      </c>
      <c r="E4">
        <v>27.257400000000001</v>
      </c>
      <c r="F4">
        <v>110.03320000000001</v>
      </c>
      <c r="H4" s="122">
        <f>Sheet1!A3</f>
        <v>34773</v>
      </c>
      <c r="I4">
        <v>7.28</v>
      </c>
      <c r="J4">
        <v>11.98</v>
      </c>
      <c r="K4">
        <v>8.8000000000000007</v>
      </c>
      <c r="L4">
        <v>13.450000000000001</v>
      </c>
      <c r="M4">
        <v>18.25</v>
      </c>
      <c r="N4">
        <v>12.26</v>
      </c>
      <c r="S4">
        <v>7.28</v>
      </c>
      <c r="T4">
        <v>11.98</v>
      </c>
      <c r="U4">
        <v>8.8000000000000007</v>
      </c>
      <c r="V4">
        <v>13.450000000000001</v>
      </c>
      <c r="W4">
        <v>18.25</v>
      </c>
      <c r="X4">
        <v>12.26</v>
      </c>
    </row>
    <row r="5" spans="1:24" x14ac:dyDescent="0.2">
      <c r="A5" s="118">
        <v>38898</v>
      </c>
      <c r="B5">
        <v>39.679000000000002</v>
      </c>
      <c r="C5">
        <v>69.296199999999999</v>
      </c>
      <c r="D5">
        <v>105.97590000000001</v>
      </c>
      <c r="E5">
        <v>24.617900000000002</v>
      </c>
      <c r="F5">
        <v>107.7924</v>
      </c>
      <c r="H5" s="122">
        <f>Sheet1!A4</f>
        <v>34804</v>
      </c>
      <c r="I5">
        <v>7.09</v>
      </c>
      <c r="J5">
        <v>12.17</v>
      </c>
      <c r="K5">
        <v>8.7000000000000011</v>
      </c>
      <c r="L5">
        <v>13.4</v>
      </c>
      <c r="M5">
        <v>18</v>
      </c>
      <c r="N5">
        <v>12.09</v>
      </c>
      <c r="S5">
        <v>7.09</v>
      </c>
      <c r="T5">
        <v>12.17</v>
      </c>
      <c r="U5">
        <v>8.7000000000000011</v>
      </c>
      <c r="V5">
        <v>13.4</v>
      </c>
      <c r="W5">
        <v>18</v>
      </c>
      <c r="X5">
        <v>12.09</v>
      </c>
    </row>
    <row r="6" spans="1:24" x14ac:dyDescent="0.2">
      <c r="A6" s="118">
        <v>39263</v>
      </c>
      <c r="B6">
        <v>36.300899999999999</v>
      </c>
      <c r="C6">
        <v>68.265799999999999</v>
      </c>
      <c r="D6">
        <v>103.1016</v>
      </c>
      <c r="E6">
        <v>24.9876</v>
      </c>
      <c r="F6">
        <v>107.31780000000001</v>
      </c>
      <c r="H6" s="122">
        <f>Sheet1!A5</f>
        <v>34834</v>
      </c>
      <c r="I6">
        <v>6.86</v>
      </c>
      <c r="J6">
        <v>11.92</v>
      </c>
      <c r="K6">
        <v>8.34</v>
      </c>
      <c r="L6">
        <v>12.3</v>
      </c>
      <c r="M6">
        <v>17.580000000000002</v>
      </c>
      <c r="N6">
        <v>11.41</v>
      </c>
      <c r="S6">
        <v>6.86</v>
      </c>
      <c r="T6">
        <v>11.92</v>
      </c>
      <c r="U6">
        <v>8.34</v>
      </c>
      <c r="V6">
        <v>12.3</v>
      </c>
      <c r="W6">
        <v>17.580000000000002</v>
      </c>
      <c r="X6">
        <v>11.41</v>
      </c>
    </row>
    <row r="7" spans="1:24" x14ac:dyDescent="0.2">
      <c r="A7" s="118">
        <v>39629</v>
      </c>
      <c r="B7">
        <v>40.171800000000005</v>
      </c>
      <c r="C7">
        <v>71.694299999999998</v>
      </c>
      <c r="D7">
        <v>106.10770000000001</v>
      </c>
      <c r="E7">
        <v>44.500900000000001</v>
      </c>
      <c r="F7">
        <v>112.9015</v>
      </c>
      <c r="H7" s="122">
        <f>Sheet1!A6</f>
        <v>34865</v>
      </c>
      <c r="I7">
        <v>6.78</v>
      </c>
      <c r="J7">
        <v>11.89</v>
      </c>
      <c r="K7">
        <v>8.26</v>
      </c>
      <c r="L7">
        <v>12.38</v>
      </c>
      <c r="M7">
        <v>17.240000000000002</v>
      </c>
      <c r="N7">
        <v>11.540000000000001</v>
      </c>
      <c r="S7">
        <v>6.78</v>
      </c>
      <c r="T7">
        <v>11.89</v>
      </c>
      <c r="U7">
        <v>8.26</v>
      </c>
      <c r="V7">
        <v>12.38</v>
      </c>
      <c r="W7">
        <v>17.240000000000002</v>
      </c>
      <c r="X7">
        <v>11.540000000000001</v>
      </c>
    </row>
    <row r="8" spans="1:24" x14ac:dyDescent="0.2">
      <c r="A8" s="118">
        <v>39994</v>
      </c>
      <c r="B8">
        <v>53.917000000000002</v>
      </c>
      <c r="C8">
        <v>83.21820000000001</v>
      </c>
      <c r="D8">
        <v>116.4555</v>
      </c>
      <c r="E8">
        <v>64.868499999999997</v>
      </c>
      <c r="F8">
        <v>129.68890000000002</v>
      </c>
      <c r="H8" s="122">
        <f>Sheet1!A7</f>
        <v>34895</v>
      </c>
      <c r="I8">
        <v>6.86</v>
      </c>
      <c r="J8">
        <v>11.69</v>
      </c>
      <c r="K8">
        <v>8.39</v>
      </c>
      <c r="L8">
        <v>12.21</v>
      </c>
      <c r="M8">
        <v>16.72</v>
      </c>
      <c r="N8">
        <v>11.33</v>
      </c>
      <c r="S8">
        <v>6.86</v>
      </c>
      <c r="T8">
        <v>11.69</v>
      </c>
      <c r="U8">
        <v>8.39</v>
      </c>
      <c r="V8">
        <v>12.21</v>
      </c>
      <c r="W8">
        <v>16.72</v>
      </c>
      <c r="X8">
        <v>11.33</v>
      </c>
    </row>
    <row r="9" spans="1:24" x14ac:dyDescent="0.2">
      <c r="A9" s="118">
        <v>40359</v>
      </c>
      <c r="B9">
        <v>61.464600000000004</v>
      </c>
      <c r="C9">
        <v>93.548500000000004</v>
      </c>
      <c r="D9">
        <v>119.2821</v>
      </c>
      <c r="E9">
        <v>92.144100000000009</v>
      </c>
      <c r="F9">
        <v>148.3381</v>
      </c>
      <c r="H9" s="122">
        <f>Sheet1!A8</f>
        <v>34926</v>
      </c>
      <c r="I9">
        <v>6.74</v>
      </c>
      <c r="J9">
        <v>11.31</v>
      </c>
      <c r="K9">
        <v>8.15</v>
      </c>
      <c r="L9">
        <v>11.66</v>
      </c>
      <c r="M9">
        <v>16.190000000000001</v>
      </c>
      <c r="N9">
        <v>10.97</v>
      </c>
      <c r="S9">
        <v>6.74</v>
      </c>
      <c r="T9">
        <v>11.31</v>
      </c>
      <c r="U9">
        <v>8.15</v>
      </c>
      <c r="V9">
        <v>11.66</v>
      </c>
      <c r="W9">
        <v>16.190000000000001</v>
      </c>
      <c r="X9">
        <v>10.97</v>
      </c>
    </row>
    <row r="10" spans="1:24" x14ac:dyDescent="0.2">
      <c r="A10" s="118">
        <v>40724</v>
      </c>
      <c r="B10">
        <v>69.258899999999997</v>
      </c>
      <c r="C10">
        <v>108.06880000000001</v>
      </c>
      <c r="D10">
        <v>120.64870000000001</v>
      </c>
      <c r="E10">
        <v>106.42400000000001</v>
      </c>
      <c r="F10">
        <v>170.53390000000002</v>
      </c>
      <c r="H10" s="122">
        <f>Sheet1!A9</f>
        <v>34957</v>
      </c>
      <c r="I10">
        <v>6.59</v>
      </c>
      <c r="J10">
        <v>11.14</v>
      </c>
      <c r="K10">
        <v>7.96</v>
      </c>
      <c r="L10">
        <v>11.540000000000001</v>
      </c>
      <c r="M10">
        <v>15.72</v>
      </c>
      <c r="N10">
        <v>10.8</v>
      </c>
      <c r="S10">
        <v>6.59</v>
      </c>
      <c r="T10">
        <v>11.14</v>
      </c>
      <c r="U10">
        <v>7.96</v>
      </c>
      <c r="V10">
        <v>11.540000000000001</v>
      </c>
      <c r="W10">
        <v>15.72</v>
      </c>
      <c r="X10">
        <v>10.8</v>
      </c>
    </row>
    <row r="11" spans="1:24" x14ac:dyDescent="0.2">
      <c r="A11" s="118">
        <v>41090</v>
      </c>
      <c r="B11">
        <v>86.085400000000007</v>
      </c>
      <c r="C11">
        <v>115.49630000000001</v>
      </c>
      <c r="D11">
        <v>127.83540000000001</v>
      </c>
      <c r="E11">
        <v>117.33640000000001</v>
      </c>
      <c r="F11">
        <v>176.6901</v>
      </c>
      <c r="H11" s="122">
        <f>Sheet1!A10</f>
        <v>34987</v>
      </c>
      <c r="I11">
        <v>6.57</v>
      </c>
      <c r="J11">
        <v>11.22</v>
      </c>
      <c r="K11">
        <v>7.99</v>
      </c>
      <c r="L11">
        <v>11.96</v>
      </c>
      <c r="M11">
        <v>15.56</v>
      </c>
      <c r="N11">
        <v>10.89</v>
      </c>
      <c r="S11">
        <v>6.57</v>
      </c>
      <c r="T11">
        <v>11.22</v>
      </c>
      <c r="U11">
        <v>7.99</v>
      </c>
      <c r="V11">
        <v>11.96</v>
      </c>
      <c r="W11">
        <v>15.56</v>
      </c>
      <c r="X11">
        <v>10.89</v>
      </c>
    </row>
    <row r="12" spans="1:24" x14ac:dyDescent="0.2">
      <c r="A12" s="118">
        <v>41455</v>
      </c>
      <c r="B12">
        <v>92.551900000000003</v>
      </c>
      <c r="C12">
        <v>123.03200000000001</v>
      </c>
      <c r="D12">
        <v>130.3749</v>
      </c>
      <c r="E12">
        <v>121.90020000000001</v>
      </c>
      <c r="F12">
        <v>188.5557</v>
      </c>
      <c r="H12" s="122">
        <f>Sheet1!A11</f>
        <v>35018</v>
      </c>
      <c r="I12">
        <v>6.34</v>
      </c>
      <c r="J12">
        <v>10.74</v>
      </c>
      <c r="K12">
        <v>7.63</v>
      </c>
      <c r="L12">
        <v>11.63</v>
      </c>
      <c r="M12">
        <v>15.4</v>
      </c>
      <c r="N12">
        <v>10.540000000000001</v>
      </c>
      <c r="S12">
        <v>6.34</v>
      </c>
      <c r="T12">
        <v>10.74</v>
      </c>
      <c r="U12">
        <v>7.63</v>
      </c>
      <c r="V12">
        <v>11.63</v>
      </c>
      <c r="W12">
        <v>15.4</v>
      </c>
      <c r="X12">
        <v>10.540000000000001</v>
      </c>
    </row>
    <row r="13" spans="1:24" x14ac:dyDescent="0.2">
      <c r="H13" s="122">
        <f>Sheet1!A12</f>
        <v>35048</v>
      </c>
      <c r="I13">
        <v>6.07</v>
      </c>
      <c r="J13">
        <v>10.029999999999999</v>
      </c>
      <c r="K13">
        <v>7.38</v>
      </c>
      <c r="L13">
        <v>11.17</v>
      </c>
      <c r="M13">
        <v>15.35</v>
      </c>
      <c r="N13">
        <v>9.9500000000000011</v>
      </c>
      <c r="S13">
        <v>6.07</v>
      </c>
      <c r="T13">
        <v>10.029999999999999</v>
      </c>
      <c r="U13">
        <v>7.38</v>
      </c>
      <c r="V13">
        <v>11.17</v>
      </c>
      <c r="W13">
        <v>15.35</v>
      </c>
      <c r="X13">
        <v>9.9500000000000011</v>
      </c>
    </row>
    <row r="14" spans="1:24" x14ac:dyDescent="0.2">
      <c r="H14" s="122">
        <f>Sheet1!A13</f>
        <v>35079</v>
      </c>
      <c r="I14">
        <v>5.89</v>
      </c>
      <c r="J14">
        <v>9.44</v>
      </c>
      <c r="K14">
        <v>7.23</v>
      </c>
      <c r="L14">
        <v>10.43</v>
      </c>
      <c r="M14">
        <v>15.3</v>
      </c>
      <c r="N14">
        <v>9.4600000000000009</v>
      </c>
      <c r="S14">
        <v>5.89</v>
      </c>
      <c r="T14">
        <v>9.44</v>
      </c>
      <c r="U14">
        <v>7.23</v>
      </c>
      <c r="V14">
        <v>10.43</v>
      </c>
      <c r="W14">
        <v>15.3</v>
      </c>
      <c r="X14">
        <v>9.4600000000000009</v>
      </c>
    </row>
    <row r="15" spans="1:24" x14ac:dyDescent="0.2">
      <c r="H15" s="122">
        <f>Sheet1!A14</f>
        <v>35110</v>
      </c>
      <c r="I15">
        <v>6.2</v>
      </c>
      <c r="J15">
        <v>9.4500000000000011</v>
      </c>
      <c r="K15">
        <v>7.49</v>
      </c>
      <c r="L15">
        <v>10.52</v>
      </c>
      <c r="M15">
        <v>15.3</v>
      </c>
      <c r="N15">
        <v>9.7100000000000009</v>
      </c>
      <c r="S15">
        <v>6.2</v>
      </c>
      <c r="T15">
        <v>9.4500000000000011</v>
      </c>
      <c r="U15">
        <v>7.49</v>
      </c>
      <c r="V15">
        <v>10.52</v>
      </c>
      <c r="W15">
        <v>15.3</v>
      </c>
      <c r="X15">
        <v>9.7100000000000009</v>
      </c>
    </row>
    <row r="16" spans="1:24" x14ac:dyDescent="0.2">
      <c r="H16" s="122">
        <f>Sheet1!A15</f>
        <v>35139</v>
      </c>
      <c r="I16">
        <v>6.44</v>
      </c>
      <c r="J16">
        <v>9.4600000000000009</v>
      </c>
      <c r="K16">
        <v>7.82</v>
      </c>
      <c r="L16">
        <v>10.69</v>
      </c>
      <c r="M16">
        <v>14.9</v>
      </c>
      <c r="N16">
        <v>9.89</v>
      </c>
      <c r="S16">
        <v>6.44</v>
      </c>
      <c r="T16">
        <v>9.4600000000000009</v>
      </c>
      <c r="U16">
        <v>7.82</v>
      </c>
      <c r="V16">
        <v>10.69</v>
      </c>
      <c r="W16">
        <v>14.9</v>
      </c>
      <c r="X16">
        <v>9.89</v>
      </c>
    </row>
    <row r="17" spans="8:24" x14ac:dyDescent="0.2">
      <c r="H17" s="122">
        <f>Sheet1!A16</f>
        <v>35170</v>
      </c>
      <c r="I17">
        <v>6.38</v>
      </c>
      <c r="J17">
        <v>9.06</v>
      </c>
      <c r="K17">
        <v>7.61</v>
      </c>
      <c r="L17">
        <v>10.34</v>
      </c>
      <c r="M17">
        <v>14.8</v>
      </c>
      <c r="N17">
        <v>9.33</v>
      </c>
      <c r="S17">
        <v>6.38</v>
      </c>
      <c r="T17">
        <v>9.06</v>
      </c>
      <c r="U17">
        <v>7.61</v>
      </c>
      <c r="V17">
        <v>10.34</v>
      </c>
      <c r="W17">
        <v>14.8</v>
      </c>
      <c r="X17">
        <v>9.33</v>
      </c>
    </row>
    <row r="18" spans="8:24" x14ac:dyDescent="0.2">
      <c r="H18" s="122">
        <f>Sheet1!A17</f>
        <v>35200</v>
      </c>
      <c r="I18">
        <v>6.45</v>
      </c>
      <c r="J18">
        <v>8.9700000000000006</v>
      </c>
      <c r="K18">
        <v>7.5</v>
      </c>
      <c r="L18">
        <v>9.7000000000000011</v>
      </c>
      <c r="M18">
        <v>14.870000000000001</v>
      </c>
      <c r="N18">
        <v>9.17</v>
      </c>
      <c r="S18">
        <v>6.45</v>
      </c>
      <c r="T18">
        <v>8.9700000000000006</v>
      </c>
      <c r="U18">
        <v>7.5</v>
      </c>
      <c r="V18">
        <v>9.7000000000000011</v>
      </c>
      <c r="W18">
        <v>14.870000000000001</v>
      </c>
      <c r="X18">
        <v>9.17</v>
      </c>
    </row>
    <row r="19" spans="8:24" x14ac:dyDescent="0.2">
      <c r="H19" s="122">
        <f>Sheet1!A18</f>
        <v>35231</v>
      </c>
      <c r="I19">
        <v>6.5600000000000005</v>
      </c>
      <c r="J19">
        <v>8.8800000000000008</v>
      </c>
      <c r="K19">
        <v>7.62</v>
      </c>
      <c r="L19">
        <v>9.57</v>
      </c>
      <c r="M19">
        <v>14.950000000000001</v>
      </c>
      <c r="N19">
        <v>9.11</v>
      </c>
      <c r="S19">
        <v>6.5600000000000005</v>
      </c>
      <c r="T19">
        <v>8.8800000000000008</v>
      </c>
      <c r="U19">
        <v>7.62</v>
      </c>
      <c r="V19">
        <v>9.57</v>
      </c>
      <c r="W19">
        <v>14.950000000000001</v>
      </c>
      <c r="X19">
        <v>9.11</v>
      </c>
    </row>
    <row r="20" spans="8:24" x14ac:dyDescent="0.2">
      <c r="H20" s="122">
        <f>Sheet1!A19</f>
        <v>35261</v>
      </c>
      <c r="I20">
        <v>6.48</v>
      </c>
      <c r="J20">
        <v>8.7100000000000009</v>
      </c>
      <c r="K20">
        <v>7.49</v>
      </c>
      <c r="L20">
        <v>9.43</v>
      </c>
      <c r="M20">
        <v>14.61</v>
      </c>
      <c r="N20">
        <v>8.7799999999999994</v>
      </c>
      <c r="S20">
        <v>6.48</v>
      </c>
      <c r="T20">
        <v>8.7100000000000009</v>
      </c>
      <c r="U20">
        <v>7.49</v>
      </c>
      <c r="V20">
        <v>9.43</v>
      </c>
      <c r="W20">
        <v>14.61</v>
      </c>
      <c r="X20">
        <v>8.7799999999999994</v>
      </c>
    </row>
    <row r="21" spans="8:24" x14ac:dyDescent="0.2">
      <c r="H21" s="122">
        <f>Sheet1!A20</f>
        <v>35292</v>
      </c>
      <c r="I21">
        <v>6.3</v>
      </c>
      <c r="J21">
        <v>8.7100000000000009</v>
      </c>
      <c r="K21">
        <v>7.43</v>
      </c>
      <c r="L21">
        <v>9.48</v>
      </c>
      <c r="M21">
        <v>14.46</v>
      </c>
      <c r="N21">
        <v>8.86</v>
      </c>
      <c r="S21">
        <v>6.3</v>
      </c>
      <c r="T21">
        <v>8.7100000000000009</v>
      </c>
      <c r="U21">
        <v>7.43</v>
      </c>
      <c r="V21">
        <v>9.48</v>
      </c>
      <c r="W21">
        <v>14.46</v>
      </c>
      <c r="X21">
        <v>8.86</v>
      </c>
    </row>
    <row r="22" spans="8:24" x14ac:dyDescent="0.2">
      <c r="H22" s="122">
        <f>Sheet1!A21</f>
        <v>35323</v>
      </c>
      <c r="I22">
        <v>6.23</v>
      </c>
      <c r="J22">
        <v>8.32</v>
      </c>
      <c r="K22">
        <v>7.21</v>
      </c>
      <c r="L22">
        <v>9.17</v>
      </c>
      <c r="M22">
        <v>14.23</v>
      </c>
      <c r="N22">
        <v>8.43</v>
      </c>
      <c r="S22">
        <v>6.23</v>
      </c>
      <c r="T22">
        <v>8.32</v>
      </c>
      <c r="U22">
        <v>7.21</v>
      </c>
      <c r="V22">
        <v>9.17</v>
      </c>
      <c r="W22">
        <v>14.23</v>
      </c>
      <c r="X22">
        <v>8.43</v>
      </c>
    </row>
    <row r="23" spans="8:24" x14ac:dyDescent="0.2">
      <c r="H23" s="122">
        <f>Sheet1!A22</f>
        <v>35353</v>
      </c>
      <c r="I23">
        <v>6.01</v>
      </c>
      <c r="J23">
        <v>7.59</v>
      </c>
      <c r="K23">
        <v>6.78</v>
      </c>
      <c r="L23">
        <v>8.23</v>
      </c>
      <c r="M23">
        <v>14</v>
      </c>
      <c r="N23">
        <v>7.76</v>
      </c>
      <c r="S23">
        <v>6.01</v>
      </c>
      <c r="T23">
        <v>7.59</v>
      </c>
      <c r="U23">
        <v>6.78</v>
      </c>
      <c r="V23">
        <v>8.23</v>
      </c>
      <c r="W23">
        <v>14</v>
      </c>
      <c r="X23">
        <v>7.76</v>
      </c>
    </row>
    <row r="24" spans="8:24" x14ac:dyDescent="0.2">
      <c r="H24" s="122">
        <f>Sheet1!A23</f>
        <v>35384</v>
      </c>
      <c r="I24">
        <v>5.86</v>
      </c>
      <c r="J24">
        <v>7.17</v>
      </c>
      <c r="K24">
        <v>6.68</v>
      </c>
      <c r="L24">
        <v>7.69</v>
      </c>
      <c r="M24">
        <v>13.36</v>
      </c>
      <c r="N24">
        <v>7.34</v>
      </c>
      <c r="S24">
        <v>5.86</v>
      </c>
      <c r="T24">
        <v>7.17</v>
      </c>
      <c r="U24">
        <v>6.68</v>
      </c>
      <c r="V24">
        <v>7.69</v>
      </c>
      <c r="W24">
        <v>13.36</v>
      </c>
      <c r="X24">
        <v>7.34</v>
      </c>
    </row>
    <row r="25" spans="8:24" x14ac:dyDescent="0.2">
      <c r="H25" s="122">
        <f>Sheet1!A24</f>
        <v>35414</v>
      </c>
      <c r="I25">
        <v>5.79</v>
      </c>
      <c r="J25">
        <v>6.95</v>
      </c>
      <c r="K25">
        <v>6.61</v>
      </c>
      <c r="L25">
        <v>7.5600000000000005</v>
      </c>
      <c r="M25">
        <v>12.42</v>
      </c>
      <c r="N25">
        <v>7</v>
      </c>
      <c r="S25">
        <v>5.79</v>
      </c>
      <c r="T25">
        <v>6.95</v>
      </c>
      <c r="U25">
        <v>6.61</v>
      </c>
      <c r="V25">
        <v>7.5600000000000005</v>
      </c>
      <c r="W25">
        <v>12.42</v>
      </c>
      <c r="X25">
        <v>7</v>
      </c>
    </row>
    <row r="26" spans="8:24" x14ac:dyDescent="0.2">
      <c r="H26" s="122">
        <f>Sheet1!A25</f>
        <v>35445</v>
      </c>
      <c r="I26">
        <v>5.8</v>
      </c>
      <c r="J26">
        <v>6.72</v>
      </c>
      <c r="K26">
        <v>6.59</v>
      </c>
      <c r="L26">
        <v>7.38</v>
      </c>
      <c r="M26">
        <v>12.290000000000001</v>
      </c>
      <c r="N26">
        <v>6.83</v>
      </c>
      <c r="S26">
        <v>5.8</v>
      </c>
      <c r="T26">
        <v>6.72</v>
      </c>
      <c r="U26">
        <v>6.59</v>
      </c>
      <c r="V26">
        <v>7.38</v>
      </c>
      <c r="W26">
        <v>12.290000000000001</v>
      </c>
      <c r="X26">
        <v>6.83</v>
      </c>
    </row>
    <row r="27" spans="8:24" x14ac:dyDescent="0.2">
      <c r="H27" s="122">
        <f>Sheet1!A26</f>
        <v>35476</v>
      </c>
      <c r="I27">
        <v>5.55</v>
      </c>
      <c r="J27">
        <v>6.66</v>
      </c>
      <c r="K27">
        <v>6.32</v>
      </c>
      <c r="L27">
        <v>7.36</v>
      </c>
      <c r="M27">
        <v>10.870000000000001</v>
      </c>
      <c r="N27">
        <v>6.74</v>
      </c>
      <c r="S27">
        <v>5.55</v>
      </c>
      <c r="T27">
        <v>6.66</v>
      </c>
      <c r="U27">
        <v>6.32</v>
      </c>
      <c r="V27">
        <v>7.36</v>
      </c>
      <c r="W27">
        <v>10.870000000000001</v>
      </c>
      <c r="X27">
        <v>6.74</v>
      </c>
    </row>
    <row r="28" spans="8:24" x14ac:dyDescent="0.2">
      <c r="H28" s="122">
        <f>Sheet1!A27</f>
        <v>35504</v>
      </c>
      <c r="I28">
        <v>5.71</v>
      </c>
      <c r="J28">
        <v>6.87</v>
      </c>
      <c r="K28">
        <v>6.62</v>
      </c>
      <c r="L28">
        <v>7.87</v>
      </c>
      <c r="M28">
        <v>9.4500000000000011</v>
      </c>
      <c r="N28">
        <v>7.03</v>
      </c>
      <c r="S28">
        <v>5.71</v>
      </c>
      <c r="T28">
        <v>6.87</v>
      </c>
      <c r="U28">
        <v>6.62</v>
      </c>
      <c r="V28">
        <v>7.87</v>
      </c>
      <c r="W28">
        <v>9.4500000000000011</v>
      </c>
      <c r="X28">
        <v>7.03</v>
      </c>
    </row>
    <row r="29" spans="8:24" x14ac:dyDescent="0.2">
      <c r="H29" s="122">
        <f>Sheet1!A28</f>
        <v>35535</v>
      </c>
      <c r="I29">
        <v>5.87</v>
      </c>
      <c r="J29">
        <v>6.8</v>
      </c>
      <c r="K29">
        <v>6.69</v>
      </c>
      <c r="L29">
        <v>7.74</v>
      </c>
      <c r="M29">
        <v>9.33</v>
      </c>
      <c r="N29">
        <v>6.95</v>
      </c>
      <c r="S29">
        <v>5.87</v>
      </c>
      <c r="T29">
        <v>6.8</v>
      </c>
      <c r="U29">
        <v>6.69</v>
      </c>
      <c r="V29">
        <v>7.74</v>
      </c>
      <c r="W29">
        <v>9.33</v>
      </c>
      <c r="X29">
        <v>6.95</v>
      </c>
    </row>
    <row r="30" spans="8:24" x14ac:dyDescent="0.2">
      <c r="H30" s="122">
        <f>Sheet1!A29</f>
        <v>35565</v>
      </c>
      <c r="I30">
        <v>5.76</v>
      </c>
      <c r="J30">
        <v>6.49</v>
      </c>
      <c r="K30">
        <v>6.54</v>
      </c>
      <c r="L30">
        <v>7.32</v>
      </c>
      <c r="M30">
        <v>8.92</v>
      </c>
      <c r="N30">
        <v>6.61</v>
      </c>
      <c r="S30">
        <v>5.76</v>
      </c>
      <c r="T30">
        <v>6.49</v>
      </c>
      <c r="U30">
        <v>6.54</v>
      </c>
      <c r="V30">
        <v>7.32</v>
      </c>
      <c r="W30">
        <v>8.92</v>
      </c>
      <c r="X30">
        <v>6.61</v>
      </c>
    </row>
    <row r="31" spans="8:24" x14ac:dyDescent="0.2">
      <c r="H31" s="122">
        <f>Sheet1!A30</f>
        <v>35596</v>
      </c>
      <c r="I31">
        <v>5.72</v>
      </c>
      <c r="J31">
        <v>6.41</v>
      </c>
      <c r="K31">
        <v>6.49</v>
      </c>
      <c r="L31">
        <v>7.07</v>
      </c>
      <c r="M31">
        <v>9.15</v>
      </c>
      <c r="N31">
        <v>6.47</v>
      </c>
      <c r="S31">
        <v>5.72</v>
      </c>
      <c r="T31">
        <v>6.41</v>
      </c>
      <c r="U31">
        <v>6.49</v>
      </c>
      <c r="V31">
        <v>7.07</v>
      </c>
      <c r="W31">
        <v>9.15</v>
      </c>
      <c r="X31">
        <v>6.47</v>
      </c>
    </row>
    <row r="32" spans="8:24" x14ac:dyDescent="0.2">
      <c r="H32" s="122">
        <f>Sheet1!A31</f>
        <v>35626</v>
      </c>
      <c r="I32">
        <v>5.5600000000000005</v>
      </c>
      <c r="J32">
        <v>6.26</v>
      </c>
      <c r="K32">
        <v>6.26</v>
      </c>
      <c r="L32">
        <v>6.5200000000000005</v>
      </c>
      <c r="M32">
        <v>9.42</v>
      </c>
      <c r="N32">
        <v>6.21</v>
      </c>
      <c r="S32">
        <v>5.5600000000000005</v>
      </c>
      <c r="T32">
        <v>6.26</v>
      </c>
      <c r="U32">
        <v>6.26</v>
      </c>
      <c r="V32">
        <v>6.5200000000000005</v>
      </c>
      <c r="W32">
        <v>9.42</v>
      </c>
      <c r="X32">
        <v>6.21</v>
      </c>
    </row>
    <row r="33" spans="8:24" x14ac:dyDescent="0.2">
      <c r="H33" s="122">
        <f>Sheet1!A32</f>
        <v>35657</v>
      </c>
      <c r="I33">
        <v>5.66</v>
      </c>
      <c r="J33">
        <v>6.3500000000000005</v>
      </c>
      <c r="K33">
        <v>6.33</v>
      </c>
      <c r="L33">
        <v>6.66</v>
      </c>
      <c r="M33">
        <v>9.6300000000000008</v>
      </c>
      <c r="N33">
        <v>6.3100000000000005</v>
      </c>
      <c r="S33">
        <v>5.66</v>
      </c>
      <c r="T33">
        <v>6.3500000000000005</v>
      </c>
      <c r="U33">
        <v>6.33</v>
      </c>
      <c r="V33">
        <v>6.66</v>
      </c>
      <c r="W33">
        <v>9.6300000000000008</v>
      </c>
      <c r="X33">
        <v>6.3100000000000005</v>
      </c>
    </row>
    <row r="34" spans="8:24" x14ac:dyDescent="0.2">
      <c r="H34" s="122">
        <f>Sheet1!A33</f>
        <v>35688</v>
      </c>
      <c r="I34">
        <v>5.59</v>
      </c>
      <c r="J34">
        <v>6.13</v>
      </c>
      <c r="K34">
        <v>6.1000000000000005</v>
      </c>
      <c r="L34">
        <v>6.36</v>
      </c>
      <c r="M34">
        <v>9.43</v>
      </c>
      <c r="N34">
        <v>6.09</v>
      </c>
      <c r="S34">
        <v>5.59</v>
      </c>
      <c r="T34">
        <v>6.13</v>
      </c>
      <c r="U34">
        <v>6.1000000000000005</v>
      </c>
      <c r="V34">
        <v>6.36</v>
      </c>
      <c r="W34">
        <v>9.43</v>
      </c>
      <c r="X34">
        <v>6.09</v>
      </c>
    </row>
    <row r="35" spans="8:24" x14ac:dyDescent="0.2">
      <c r="H35" s="122">
        <f>Sheet1!A34</f>
        <v>35718</v>
      </c>
      <c r="I35">
        <v>5.58</v>
      </c>
      <c r="J35">
        <v>5.98</v>
      </c>
      <c r="K35">
        <v>5.99</v>
      </c>
      <c r="L35">
        <v>6.2</v>
      </c>
      <c r="M35">
        <v>9.3000000000000007</v>
      </c>
      <c r="N35">
        <v>5.98</v>
      </c>
      <c r="S35">
        <v>5.58</v>
      </c>
      <c r="T35">
        <v>5.98</v>
      </c>
      <c r="U35">
        <v>5.99</v>
      </c>
      <c r="V35">
        <v>6.2</v>
      </c>
      <c r="W35">
        <v>9.3000000000000007</v>
      </c>
      <c r="X35">
        <v>5.98</v>
      </c>
    </row>
    <row r="36" spans="8:24" x14ac:dyDescent="0.2">
      <c r="H36" s="122">
        <f>Sheet1!A35</f>
        <v>35749</v>
      </c>
      <c r="I36">
        <v>5.5600000000000005</v>
      </c>
      <c r="J36">
        <v>5.96</v>
      </c>
      <c r="K36">
        <v>5.98</v>
      </c>
      <c r="L36">
        <v>6.13</v>
      </c>
      <c r="M36">
        <v>10.76</v>
      </c>
      <c r="N36">
        <v>5.96</v>
      </c>
      <c r="S36">
        <v>5.5600000000000005</v>
      </c>
      <c r="T36">
        <v>5.96</v>
      </c>
      <c r="U36">
        <v>5.98</v>
      </c>
      <c r="V36">
        <v>6.13</v>
      </c>
      <c r="W36">
        <v>10.76</v>
      </c>
      <c r="X36">
        <v>5.96</v>
      </c>
    </row>
    <row r="37" spans="8:24" x14ac:dyDescent="0.2">
      <c r="H37" s="122">
        <f>Sheet1!A36</f>
        <v>35779</v>
      </c>
      <c r="I37">
        <v>5.33</v>
      </c>
      <c r="J37">
        <v>5.67</v>
      </c>
      <c r="K37">
        <v>5.61</v>
      </c>
      <c r="L37">
        <v>5.74</v>
      </c>
      <c r="M37">
        <v>10.48</v>
      </c>
      <c r="N37">
        <v>5.64</v>
      </c>
      <c r="S37">
        <v>5.33</v>
      </c>
      <c r="T37">
        <v>5.67</v>
      </c>
      <c r="U37">
        <v>5.61</v>
      </c>
      <c r="V37">
        <v>5.74</v>
      </c>
      <c r="W37">
        <v>10.48</v>
      </c>
      <c r="X37">
        <v>5.64</v>
      </c>
    </row>
    <row r="38" spans="8:24" x14ac:dyDescent="0.2">
      <c r="H38" s="122">
        <f>Sheet1!A37</f>
        <v>35810</v>
      </c>
      <c r="I38">
        <v>5.1100000000000003</v>
      </c>
      <c r="J38">
        <v>5.4</v>
      </c>
      <c r="K38">
        <v>5.3500000000000005</v>
      </c>
      <c r="L38">
        <v>5.43</v>
      </c>
      <c r="M38">
        <v>11.03</v>
      </c>
      <c r="N38">
        <v>5.4</v>
      </c>
      <c r="S38">
        <v>5.1100000000000003</v>
      </c>
      <c r="T38">
        <v>5.4</v>
      </c>
      <c r="U38">
        <v>5.3500000000000005</v>
      </c>
      <c r="V38">
        <v>5.43</v>
      </c>
      <c r="W38">
        <v>11.03</v>
      </c>
      <c r="X38">
        <v>5.4</v>
      </c>
    </row>
    <row r="39" spans="8:24" x14ac:dyDescent="0.2">
      <c r="H39" s="122">
        <f>Sheet1!A38</f>
        <v>35841</v>
      </c>
      <c r="I39">
        <v>4.99</v>
      </c>
      <c r="J39">
        <v>5.32</v>
      </c>
      <c r="K39">
        <v>5.23</v>
      </c>
      <c r="L39">
        <v>5.38</v>
      </c>
      <c r="M39">
        <v>11.040000000000001</v>
      </c>
      <c r="N39">
        <v>5.24</v>
      </c>
      <c r="S39">
        <v>4.99</v>
      </c>
      <c r="T39">
        <v>5.32</v>
      </c>
      <c r="U39">
        <v>5.23</v>
      </c>
      <c r="V39">
        <v>5.38</v>
      </c>
      <c r="W39">
        <v>11.040000000000001</v>
      </c>
      <c r="X39">
        <v>5.24</v>
      </c>
    </row>
    <row r="40" spans="8:24" x14ac:dyDescent="0.2">
      <c r="H40" s="122">
        <f>Sheet1!A39</f>
        <v>35869</v>
      </c>
      <c r="I40">
        <v>4.9000000000000004</v>
      </c>
      <c r="J40">
        <v>5.25</v>
      </c>
      <c r="K40">
        <v>5.08</v>
      </c>
      <c r="L40">
        <v>5.2</v>
      </c>
      <c r="M40">
        <v>9.27</v>
      </c>
      <c r="N40">
        <v>5.09</v>
      </c>
      <c r="S40">
        <v>4.9000000000000004</v>
      </c>
      <c r="T40">
        <v>5.25</v>
      </c>
      <c r="U40">
        <v>5.08</v>
      </c>
      <c r="V40">
        <v>5.2</v>
      </c>
      <c r="W40">
        <v>9.27</v>
      </c>
      <c r="X40">
        <v>5.09</v>
      </c>
    </row>
    <row r="41" spans="8:24" x14ac:dyDescent="0.2">
      <c r="H41" s="122">
        <f>Sheet1!A40</f>
        <v>35900</v>
      </c>
      <c r="I41">
        <v>4.9000000000000004</v>
      </c>
      <c r="J41">
        <v>5.17</v>
      </c>
      <c r="K41">
        <v>5.05</v>
      </c>
      <c r="L41">
        <v>5.15</v>
      </c>
      <c r="M41">
        <v>8.11</v>
      </c>
      <c r="N41">
        <v>5.0600000000000005</v>
      </c>
      <c r="S41">
        <v>4.9000000000000004</v>
      </c>
      <c r="T41">
        <v>5.17</v>
      </c>
      <c r="U41">
        <v>5.05</v>
      </c>
      <c r="V41">
        <v>5.15</v>
      </c>
      <c r="W41">
        <v>8.11</v>
      </c>
      <c r="X41">
        <v>5.0600000000000005</v>
      </c>
    </row>
    <row r="42" spans="8:24" x14ac:dyDescent="0.2">
      <c r="H42" s="122">
        <f>Sheet1!A41</f>
        <v>35930</v>
      </c>
      <c r="I42">
        <v>4.96</v>
      </c>
      <c r="J42">
        <v>5.18</v>
      </c>
      <c r="K42">
        <v>5.14</v>
      </c>
      <c r="L42">
        <v>5.21</v>
      </c>
      <c r="M42">
        <v>7.8500000000000005</v>
      </c>
      <c r="N42">
        <v>5.13</v>
      </c>
      <c r="S42">
        <v>4.96</v>
      </c>
      <c r="T42">
        <v>5.18</v>
      </c>
      <c r="U42">
        <v>5.14</v>
      </c>
      <c r="V42">
        <v>5.21</v>
      </c>
      <c r="W42">
        <v>7.8500000000000005</v>
      </c>
      <c r="X42">
        <v>5.13</v>
      </c>
    </row>
    <row r="43" spans="8:24" x14ac:dyDescent="0.2">
      <c r="H43" s="122">
        <f>Sheet1!A42</f>
        <v>35961</v>
      </c>
      <c r="I43">
        <v>4.8</v>
      </c>
      <c r="J43">
        <v>5.0600000000000005</v>
      </c>
      <c r="K43">
        <v>5.03</v>
      </c>
      <c r="L43">
        <v>5.08</v>
      </c>
      <c r="M43">
        <v>7.74</v>
      </c>
      <c r="N43">
        <v>5.0200000000000005</v>
      </c>
      <c r="S43">
        <v>4.8</v>
      </c>
      <c r="T43">
        <v>5.0600000000000005</v>
      </c>
      <c r="U43">
        <v>5.03</v>
      </c>
      <c r="V43">
        <v>5.08</v>
      </c>
      <c r="W43">
        <v>7.74</v>
      </c>
      <c r="X43">
        <v>5.0200000000000005</v>
      </c>
    </row>
    <row r="44" spans="8:24" x14ac:dyDescent="0.2">
      <c r="H44" s="122">
        <f>Sheet1!A43</f>
        <v>35991</v>
      </c>
      <c r="I44">
        <v>4.68</v>
      </c>
      <c r="J44">
        <v>4.95</v>
      </c>
      <c r="K44">
        <v>4.93</v>
      </c>
      <c r="L44">
        <v>4.97</v>
      </c>
      <c r="M44">
        <v>7.67</v>
      </c>
      <c r="N44">
        <v>4.9400000000000004</v>
      </c>
      <c r="S44">
        <v>4.68</v>
      </c>
      <c r="T44">
        <v>4.95</v>
      </c>
      <c r="U44">
        <v>4.93</v>
      </c>
      <c r="V44">
        <v>4.97</v>
      </c>
      <c r="W44">
        <v>7.67</v>
      </c>
      <c r="X44">
        <v>4.9400000000000004</v>
      </c>
    </row>
    <row r="45" spans="8:24" x14ac:dyDescent="0.2">
      <c r="H45" s="122">
        <f>Sheet1!A44</f>
        <v>36022</v>
      </c>
      <c r="I45">
        <v>4.42</v>
      </c>
      <c r="J45">
        <v>4.76</v>
      </c>
      <c r="K45">
        <v>4.68</v>
      </c>
      <c r="L45">
        <v>4.79</v>
      </c>
      <c r="M45">
        <v>7.5600000000000005</v>
      </c>
      <c r="N45">
        <v>4.74</v>
      </c>
      <c r="S45">
        <v>4.42</v>
      </c>
      <c r="T45">
        <v>4.76</v>
      </c>
      <c r="U45">
        <v>4.68</v>
      </c>
      <c r="V45">
        <v>4.79</v>
      </c>
      <c r="W45">
        <v>7.5600000000000005</v>
      </c>
      <c r="X45">
        <v>4.74</v>
      </c>
    </row>
    <row r="46" spans="8:24" x14ac:dyDescent="0.2">
      <c r="H46" s="122">
        <f>Sheet1!A45</f>
        <v>36053</v>
      </c>
      <c r="I46">
        <v>4.0600000000000005</v>
      </c>
      <c r="J46">
        <v>4.46</v>
      </c>
      <c r="K46">
        <v>4.38</v>
      </c>
      <c r="L46">
        <v>4.53</v>
      </c>
      <c r="M46">
        <v>8.25</v>
      </c>
      <c r="N46">
        <v>4.4800000000000004</v>
      </c>
      <c r="S46">
        <v>4.0600000000000005</v>
      </c>
      <c r="T46">
        <v>4.46</v>
      </c>
      <c r="U46">
        <v>4.38</v>
      </c>
      <c r="V46">
        <v>4.53</v>
      </c>
      <c r="W46">
        <v>8.25</v>
      </c>
      <c r="X46">
        <v>4.4800000000000004</v>
      </c>
    </row>
    <row r="47" spans="8:24" x14ac:dyDescent="0.2">
      <c r="H47" s="122">
        <f>Sheet1!A46</f>
        <v>36083</v>
      </c>
      <c r="I47">
        <v>4.0600000000000005</v>
      </c>
      <c r="J47">
        <v>4.4400000000000004</v>
      </c>
      <c r="K47">
        <v>4.3500000000000005</v>
      </c>
      <c r="L47">
        <v>4.49</v>
      </c>
      <c r="M47">
        <v>8.4499999999999993</v>
      </c>
      <c r="N47">
        <v>4.43</v>
      </c>
      <c r="S47">
        <v>4.0600000000000005</v>
      </c>
      <c r="T47">
        <v>4.4400000000000004</v>
      </c>
      <c r="U47">
        <v>4.3500000000000005</v>
      </c>
      <c r="V47">
        <v>4.49</v>
      </c>
      <c r="W47">
        <v>8.4499999999999993</v>
      </c>
      <c r="X47">
        <v>4.43</v>
      </c>
    </row>
    <row r="48" spans="8:24" x14ac:dyDescent="0.2">
      <c r="H48" s="122">
        <f>Sheet1!A47</f>
        <v>36114</v>
      </c>
      <c r="I48">
        <v>4.12</v>
      </c>
      <c r="J48">
        <v>4.42</v>
      </c>
      <c r="K48">
        <v>4.32</v>
      </c>
      <c r="L48">
        <v>4.38</v>
      </c>
      <c r="M48">
        <v>7.65</v>
      </c>
      <c r="N48">
        <v>4.4000000000000004</v>
      </c>
      <c r="S48">
        <v>4.12</v>
      </c>
      <c r="T48">
        <v>4.42</v>
      </c>
      <c r="U48">
        <v>4.32</v>
      </c>
      <c r="V48">
        <v>4.38</v>
      </c>
      <c r="W48">
        <v>7.65</v>
      </c>
      <c r="X48">
        <v>4.4000000000000004</v>
      </c>
    </row>
    <row r="49" spans="8:24" x14ac:dyDescent="0.2">
      <c r="H49" s="122">
        <f>Sheet1!A48</f>
        <v>36144</v>
      </c>
      <c r="I49">
        <v>3.86</v>
      </c>
      <c r="J49">
        <v>4.12</v>
      </c>
      <c r="K49">
        <v>4.0200000000000005</v>
      </c>
      <c r="L49">
        <v>4</v>
      </c>
      <c r="M49">
        <v>7.17</v>
      </c>
      <c r="N49">
        <v>4.07</v>
      </c>
      <c r="S49">
        <v>3.86</v>
      </c>
      <c r="T49">
        <v>4.12</v>
      </c>
      <c r="U49">
        <v>4.0200000000000005</v>
      </c>
      <c r="V49">
        <v>4</v>
      </c>
      <c r="W49">
        <v>7.17</v>
      </c>
      <c r="X49">
        <v>4.07</v>
      </c>
    </row>
    <row r="50" spans="8:24" x14ac:dyDescent="0.2">
      <c r="H50" s="122">
        <f>Sheet1!A49</f>
        <v>36175</v>
      </c>
      <c r="I50">
        <v>3.7</v>
      </c>
      <c r="J50">
        <v>3.9</v>
      </c>
      <c r="K50">
        <v>3.89</v>
      </c>
      <c r="L50">
        <v>3.92</v>
      </c>
      <c r="M50">
        <v>6.32</v>
      </c>
      <c r="N50">
        <v>3.88</v>
      </c>
      <c r="S50">
        <v>3.7</v>
      </c>
      <c r="T50">
        <v>3.9</v>
      </c>
      <c r="U50">
        <v>3.89</v>
      </c>
      <c r="V50">
        <v>3.92</v>
      </c>
      <c r="W50">
        <v>6.32</v>
      </c>
      <c r="X50">
        <v>3.88</v>
      </c>
    </row>
    <row r="51" spans="8:24" x14ac:dyDescent="0.2">
      <c r="H51" s="122">
        <f>Sheet1!A50</f>
        <v>36206</v>
      </c>
      <c r="I51">
        <v>3.85</v>
      </c>
      <c r="J51">
        <v>4.0200000000000005</v>
      </c>
      <c r="K51">
        <v>4.0200000000000005</v>
      </c>
      <c r="L51">
        <v>4.05</v>
      </c>
      <c r="M51">
        <v>5.96</v>
      </c>
      <c r="N51">
        <v>4.0200000000000005</v>
      </c>
      <c r="S51">
        <v>3.85</v>
      </c>
      <c r="T51">
        <v>4.0200000000000005</v>
      </c>
      <c r="U51">
        <v>4.0200000000000005</v>
      </c>
      <c r="V51">
        <v>4.05</v>
      </c>
      <c r="W51">
        <v>5.96</v>
      </c>
      <c r="X51">
        <v>4.0200000000000005</v>
      </c>
    </row>
    <row r="52" spans="8:24" x14ac:dyDescent="0.2">
      <c r="H52" s="122">
        <f>Sheet1!A51</f>
        <v>36234</v>
      </c>
      <c r="I52">
        <v>4.04</v>
      </c>
      <c r="J52">
        <v>4.24</v>
      </c>
      <c r="K52">
        <v>4.1900000000000004</v>
      </c>
      <c r="L52">
        <v>4.2700000000000005</v>
      </c>
      <c r="M52">
        <v>5.97</v>
      </c>
      <c r="N52">
        <v>4.26</v>
      </c>
      <c r="S52">
        <v>4.04</v>
      </c>
      <c r="T52">
        <v>4.24</v>
      </c>
      <c r="U52">
        <v>4.1900000000000004</v>
      </c>
      <c r="V52">
        <v>4.2700000000000005</v>
      </c>
      <c r="W52">
        <v>5.97</v>
      </c>
      <c r="X52">
        <v>4.26</v>
      </c>
    </row>
    <row r="53" spans="8:24" x14ac:dyDescent="0.2">
      <c r="H53" s="122">
        <f>Sheet1!A52</f>
        <v>36265</v>
      </c>
      <c r="I53">
        <v>3.85</v>
      </c>
      <c r="J53">
        <v>4.13</v>
      </c>
      <c r="K53">
        <v>3.95</v>
      </c>
      <c r="L53">
        <v>4.1100000000000003</v>
      </c>
      <c r="M53">
        <v>5.8500000000000005</v>
      </c>
      <c r="N53">
        <v>4.08</v>
      </c>
      <c r="S53">
        <v>3.85</v>
      </c>
      <c r="T53">
        <v>4.13</v>
      </c>
      <c r="U53">
        <v>3.95</v>
      </c>
      <c r="V53">
        <v>4.1100000000000003</v>
      </c>
      <c r="W53">
        <v>5.8500000000000005</v>
      </c>
      <c r="X53">
        <v>4.08</v>
      </c>
    </row>
    <row r="54" spans="8:24" x14ac:dyDescent="0.2">
      <c r="H54" s="122">
        <f>Sheet1!A53</f>
        <v>36295</v>
      </c>
      <c r="I54">
        <v>4.01</v>
      </c>
      <c r="J54">
        <v>4.32</v>
      </c>
      <c r="K54">
        <v>4.18</v>
      </c>
      <c r="L54">
        <v>4.28</v>
      </c>
      <c r="M54">
        <v>5.75</v>
      </c>
      <c r="N54">
        <v>4.28</v>
      </c>
      <c r="S54">
        <v>4.01</v>
      </c>
      <c r="T54">
        <v>4.32</v>
      </c>
      <c r="U54">
        <v>4.18</v>
      </c>
      <c r="V54">
        <v>4.28</v>
      </c>
      <c r="W54">
        <v>5.75</v>
      </c>
      <c r="X54">
        <v>4.28</v>
      </c>
    </row>
    <row r="55" spans="8:24" x14ac:dyDescent="0.2">
      <c r="H55" s="122">
        <f>Sheet1!A54</f>
        <v>36326</v>
      </c>
      <c r="I55">
        <v>4.3600000000000003</v>
      </c>
      <c r="J55">
        <v>4.66</v>
      </c>
      <c r="K55">
        <v>4.59</v>
      </c>
      <c r="L55">
        <v>4.62</v>
      </c>
      <c r="M55">
        <v>6.0200000000000005</v>
      </c>
      <c r="N55">
        <v>4.6000000000000005</v>
      </c>
      <c r="S55">
        <v>4.3600000000000003</v>
      </c>
      <c r="T55">
        <v>4.66</v>
      </c>
      <c r="U55">
        <v>4.59</v>
      </c>
      <c r="V55">
        <v>4.62</v>
      </c>
      <c r="W55">
        <v>6.0200000000000005</v>
      </c>
      <c r="X55">
        <v>4.6000000000000005</v>
      </c>
    </row>
    <row r="56" spans="8:24" x14ac:dyDescent="0.2">
      <c r="H56" s="122">
        <f>Sheet1!A55</f>
        <v>36356</v>
      </c>
      <c r="I56">
        <v>4.68</v>
      </c>
      <c r="J56">
        <v>4.99</v>
      </c>
      <c r="K56">
        <v>4.9400000000000004</v>
      </c>
      <c r="L56">
        <v>4.9400000000000004</v>
      </c>
      <c r="M56">
        <v>6.37</v>
      </c>
      <c r="N56">
        <v>4.91</v>
      </c>
      <c r="S56">
        <v>4.68</v>
      </c>
      <c r="T56">
        <v>4.99</v>
      </c>
      <c r="U56">
        <v>4.9400000000000004</v>
      </c>
      <c r="V56">
        <v>4.9400000000000004</v>
      </c>
      <c r="W56">
        <v>6.37</v>
      </c>
      <c r="X56">
        <v>4.91</v>
      </c>
    </row>
    <row r="57" spans="8:24" x14ac:dyDescent="0.2">
      <c r="H57" s="122">
        <f>Sheet1!A56</f>
        <v>36387</v>
      </c>
      <c r="I57">
        <v>4.88</v>
      </c>
      <c r="J57">
        <v>5.22</v>
      </c>
      <c r="K57">
        <v>5.16</v>
      </c>
      <c r="L57">
        <v>5.13</v>
      </c>
      <c r="M57">
        <v>6.66</v>
      </c>
      <c r="N57">
        <v>5.17</v>
      </c>
      <c r="S57">
        <v>4.88</v>
      </c>
      <c r="T57">
        <v>5.22</v>
      </c>
      <c r="U57">
        <v>5.16</v>
      </c>
      <c r="V57">
        <v>5.13</v>
      </c>
      <c r="W57">
        <v>6.66</v>
      </c>
      <c r="X57">
        <v>5.17</v>
      </c>
    </row>
    <row r="58" spans="8:24" x14ac:dyDescent="0.2">
      <c r="H58" s="122">
        <f>Sheet1!A57</f>
        <v>36418</v>
      </c>
      <c r="I58">
        <v>5.04</v>
      </c>
      <c r="J58">
        <v>5.41</v>
      </c>
      <c r="K58">
        <v>5.34</v>
      </c>
      <c r="L58">
        <v>5.28</v>
      </c>
      <c r="M58">
        <v>6.6400000000000006</v>
      </c>
      <c r="N58">
        <v>5.32</v>
      </c>
      <c r="S58">
        <v>5.04</v>
      </c>
      <c r="T58">
        <v>5.41</v>
      </c>
      <c r="U58">
        <v>5.34</v>
      </c>
      <c r="V58">
        <v>5.28</v>
      </c>
      <c r="W58">
        <v>6.6400000000000006</v>
      </c>
      <c r="X58">
        <v>5.32</v>
      </c>
    </row>
    <row r="59" spans="8:24" x14ac:dyDescent="0.2">
      <c r="H59" s="122">
        <f>Sheet1!A58</f>
        <v>36448</v>
      </c>
      <c r="I59">
        <v>5.29</v>
      </c>
      <c r="J59">
        <v>5.62</v>
      </c>
      <c r="K59">
        <v>5.57</v>
      </c>
      <c r="L59">
        <v>5.5200000000000005</v>
      </c>
      <c r="M59">
        <v>7.03</v>
      </c>
      <c r="N59">
        <v>5.5600000000000005</v>
      </c>
      <c r="S59">
        <v>5.29</v>
      </c>
      <c r="T59">
        <v>5.62</v>
      </c>
      <c r="U59">
        <v>5.57</v>
      </c>
      <c r="V59">
        <v>5.5200000000000005</v>
      </c>
      <c r="W59">
        <v>7.03</v>
      </c>
      <c r="X59">
        <v>5.5600000000000005</v>
      </c>
    </row>
    <row r="60" spans="8:24" x14ac:dyDescent="0.2">
      <c r="H60" s="122">
        <f>Sheet1!A59</f>
        <v>36479</v>
      </c>
      <c r="I60">
        <v>5.04</v>
      </c>
      <c r="J60">
        <v>5.36</v>
      </c>
      <c r="K60">
        <v>5.3100000000000005</v>
      </c>
      <c r="L60">
        <v>5.25</v>
      </c>
      <c r="M60">
        <v>6.61</v>
      </c>
      <c r="N60">
        <v>5.28</v>
      </c>
      <c r="S60">
        <v>5.04</v>
      </c>
      <c r="T60">
        <v>5.36</v>
      </c>
      <c r="U60">
        <v>5.3100000000000005</v>
      </c>
      <c r="V60">
        <v>5.25</v>
      </c>
      <c r="W60">
        <v>6.61</v>
      </c>
      <c r="X60">
        <v>5.28</v>
      </c>
    </row>
    <row r="61" spans="8:24" x14ac:dyDescent="0.2">
      <c r="H61" s="122">
        <f>Sheet1!A60</f>
        <v>36509</v>
      </c>
      <c r="I61">
        <v>5.15</v>
      </c>
      <c r="J61">
        <v>5.46</v>
      </c>
      <c r="K61">
        <v>5.39</v>
      </c>
      <c r="L61">
        <v>5.36</v>
      </c>
      <c r="M61">
        <v>6.3900000000000006</v>
      </c>
      <c r="N61">
        <v>5.37</v>
      </c>
      <c r="S61">
        <v>5.15</v>
      </c>
      <c r="T61">
        <v>5.46</v>
      </c>
      <c r="U61">
        <v>5.39</v>
      </c>
      <c r="V61">
        <v>5.36</v>
      </c>
      <c r="W61">
        <v>6.3900000000000006</v>
      </c>
      <c r="X61">
        <v>5.37</v>
      </c>
    </row>
    <row r="62" spans="8:24" x14ac:dyDescent="0.2">
      <c r="H62" s="122">
        <f>Sheet1!A61</f>
        <v>36540</v>
      </c>
      <c r="I62">
        <v>5.54</v>
      </c>
      <c r="J62">
        <v>5.8100000000000005</v>
      </c>
      <c r="K62">
        <v>5.8</v>
      </c>
      <c r="L62">
        <v>5.75</v>
      </c>
      <c r="M62">
        <v>6.6000000000000005</v>
      </c>
      <c r="N62">
        <v>5.76</v>
      </c>
      <c r="S62">
        <v>5.54</v>
      </c>
      <c r="T62">
        <v>5.8100000000000005</v>
      </c>
      <c r="U62">
        <v>5.8</v>
      </c>
      <c r="V62">
        <v>5.75</v>
      </c>
      <c r="W62">
        <v>6.6000000000000005</v>
      </c>
      <c r="X62">
        <v>5.76</v>
      </c>
    </row>
    <row r="63" spans="8:24" x14ac:dyDescent="0.2">
      <c r="H63" s="122">
        <f>Sheet1!A62</f>
        <v>36571</v>
      </c>
      <c r="I63">
        <v>5.51</v>
      </c>
      <c r="J63">
        <v>5.78</v>
      </c>
      <c r="K63">
        <v>5.76</v>
      </c>
      <c r="L63">
        <v>5.73</v>
      </c>
      <c r="M63">
        <v>6.48</v>
      </c>
      <c r="N63">
        <v>5.73</v>
      </c>
      <c r="S63">
        <v>5.51</v>
      </c>
      <c r="T63">
        <v>5.78</v>
      </c>
      <c r="U63">
        <v>5.76</v>
      </c>
      <c r="V63">
        <v>5.73</v>
      </c>
      <c r="W63">
        <v>6.48</v>
      </c>
      <c r="X63">
        <v>5.73</v>
      </c>
    </row>
    <row r="64" spans="8:24" x14ac:dyDescent="0.2">
      <c r="H64" s="122">
        <f>Sheet1!A63</f>
        <v>36600</v>
      </c>
      <c r="I64">
        <v>5.33</v>
      </c>
      <c r="J64">
        <v>5.61</v>
      </c>
      <c r="K64">
        <v>5.58</v>
      </c>
      <c r="L64">
        <v>5.58</v>
      </c>
      <c r="M64">
        <v>6.24</v>
      </c>
      <c r="N64">
        <v>5.55</v>
      </c>
      <c r="S64">
        <v>5.33</v>
      </c>
      <c r="T64">
        <v>5.61</v>
      </c>
      <c r="U64">
        <v>5.58</v>
      </c>
      <c r="V64">
        <v>5.58</v>
      </c>
      <c r="W64">
        <v>6.24</v>
      </c>
      <c r="X64">
        <v>5.55</v>
      </c>
    </row>
    <row r="65" spans="8:24" x14ac:dyDescent="0.2">
      <c r="H65" s="122">
        <f>Sheet1!A64</f>
        <v>36631</v>
      </c>
      <c r="I65">
        <v>5.22</v>
      </c>
      <c r="J65">
        <v>5.5200000000000005</v>
      </c>
      <c r="K65">
        <v>5.46</v>
      </c>
      <c r="L65">
        <v>5.47</v>
      </c>
      <c r="M65">
        <v>6.09</v>
      </c>
      <c r="N65">
        <v>5.45</v>
      </c>
      <c r="S65">
        <v>5.22</v>
      </c>
      <c r="T65">
        <v>5.5200000000000005</v>
      </c>
      <c r="U65">
        <v>5.46</v>
      </c>
      <c r="V65">
        <v>5.47</v>
      </c>
      <c r="W65">
        <v>6.09</v>
      </c>
      <c r="X65">
        <v>5.45</v>
      </c>
    </row>
    <row r="66" spans="8:24" x14ac:dyDescent="0.2">
      <c r="H66" s="122">
        <f>Sheet1!A65</f>
        <v>36661</v>
      </c>
      <c r="I66">
        <v>5.38</v>
      </c>
      <c r="J66">
        <v>5.68</v>
      </c>
      <c r="K66">
        <v>5.61</v>
      </c>
      <c r="L66">
        <v>5.66</v>
      </c>
      <c r="M66">
        <v>6.18</v>
      </c>
      <c r="N66">
        <v>5.63</v>
      </c>
      <c r="S66">
        <v>5.38</v>
      </c>
      <c r="T66">
        <v>5.68</v>
      </c>
      <c r="U66">
        <v>5.61</v>
      </c>
      <c r="V66">
        <v>5.66</v>
      </c>
      <c r="W66">
        <v>6.18</v>
      </c>
      <c r="X66">
        <v>5.63</v>
      </c>
    </row>
    <row r="67" spans="8:24" x14ac:dyDescent="0.2">
      <c r="H67" s="122">
        <f>Sheet1!A66</f>
        <v>36692</v>
      </c>
      <c r="I67">
        <v>5.19</v>
      </c>
      <c r="J67">
        <v>5.54</v>
      </c>
      <c r="K67">
        <v>5.43</v>
      </c>
      <c r="L67">
        <v>5.51</v>
      </c>
      <c r="M67">
        <v>6.0600000000000005</v>
      </c>
      <c r="N67">
        <v>5.45</v>
      </c>
      <c r="S67">
        <v>5.19</v>
      </c>
      <c r="T67">
        <v>5.54</v>
      </c>
      <c r="U67">
        <v>5.43</v>
      </c>
      <c r="V67">
        <v>5.51</v>
      </c>
      <c r="W67">
        <v>6.0600000000000005</v>
      </c>
      <c r="X67">
        <v>5.45</v>
      </c>
    </row>
    <row r="68" spans="8:24" x14ac:dyDescent="0.2">
      <c r="H68" s="122">
        <f>Sheet1!A67</f>
        <v>36722</v>
      </c>
      <c r="I68">
        <v>5.2700000000000005</v>
      </c>
      <c r="J68">
        <v>5.61</v>
      </c>
      <c r="K68">
        <v>5.5200000000000005</v>
      </c>
      <c r="L68">
        <v>5.59</v>
      </c>
      <c r="M68">
        <v>6.08</v>
      </c>
      <c r="N68">
        <v>5.53</v>
      </c>
      <c r="S68">
        <v>5.2700000000000005</v>
      </c>
      <c r="T68">
        <v>5.61</v>
      </c>
      <c r="U68">
        <v>5.5200000000000005</v>
      </c>
      <c r="V68">
        <v>5.59</v>
      </c>
      <c r="W68">
        <v>6.08</v>
      </c>
      <c r="X68">
        <v>5.53</v>
      </c>
    </row>
    <row r="69" spans="8:24" x14ac:dyDescent="0.2">
      <c r="H69" s="122">
        <f>Sheet1!A68</f>
        <v>36753</v>
      </c>
      <c r="I69">
        <v>5.21</v>
      </c>
      <c r="J69">
        <v>5.57</v>
      </c>
      <c r="K69">
        <v>5.47</v>
      </c>
      <c r="L69">
        <v>5.5600000000000005</v>
      </c>
      <c r="M69">
        <v>6.04</v>
      </c>
      <c r="N69">
        <v>5.5</v>
      </c>
      <c r="S69">
        <v>5.21</v>
      </c>
      <c r="T69">
        <v>5.57</v>
      </c>
      <c r="U69">
        <v>5.47</v>
      </c>
      <c r="V69">
        <v>5.5600000000000005</v>
      </c>
      <c r="W69">
        <v>6.04</v>
      </c>
      <c r="X69">
        <v>5.5</v>
      </c>
    </row>
    <row r="70" spans="8:24" x14ac:dyDescent="0.2">
      <c r="H70" s="122">
        <f>Sheet1!A69</f>
        <v>36784</v>
      </c>
      <c r="I70">
        <v>5.26</v>
      </c>
      <c r="J70">
        <v>5.63</v>
      </c>
      <c r="K70">
        <v>5.5200000000000005</v>
      </c>
      <c r="L70">
        <v>5.63</v>
      </c>
      <c r="M70">
        <v>6.05</v>
      </c>
      <c r="N70">
        <v>5.5600000000000005</v>
      </c>
      <c r="S70">
        <v>5.26</v>
      </c>
      <c r="T70">
        <v>5.63</v>
      </c>
      <c r="U70">
        <v>5.5200000000000005</v>
      </c>
      <c r="V70">
        <v>5.63</v>
      </c>
      <c r="W70">
        <v>6.05</v>
      </c>
      <c r="X70">
        <v>5.5600000000000005</v>
      </c>
    </row>
    <row r="71" spans="8:24" x14ac:dyDescent="0.2">
      <c r="H71" s="122">
        <f>Sheet1!A70</f>
        <v>36814</v>
      </c>
      <c r="I71">
        <v>5.21</v>
      </c>
      <c r="J71">
        <v>5.58</v>
      </c>
      <c r="K71">
        <v>5.46</v>
      </c>
      <c r="L71">
        <v>5.58</v>
      </c>
      <c r="M71">
        <v>5.97</v>
      </c>
      <c r="N71">
        <v>5.5</v>
      </c>
      <c r="S71">
        <v>5.21</v>
      </c>
      <c r="T71">
        <v>5.58</v>
      </c>
      <c r="U71">
        <v>5.46</v>
      </c>
      <c r="V71">
        <v>5.58</v>
      </c>
      <c r="W71">
        <v>5.97</v>
      </c>
      <c r="X71">
        <v>5.5</v>
      </c>
    </row>
    <row r="72" spans="8:24" x14ac:dyDescent="0.2">
      <c r="H72" s="122">
        <f>Sheet1!A71</f>
        <v>36845</v>
      </c>
      <c r="I72">
        <v>5.15</v>
      </c>
      <c r="J72">
        <v>5.53</v>
      </c>
      <c r="K72">
        <v>5.4</v>
      </c>
      <c r="L72">
        <v>5.55</v>
      </c>
      <c r="M72">
        <v>5.87</v>
      </c>
      <c r="N72">
        <v>5.45</v>
      </c>
      <c r="S72">
        <v>5.15</v>
      </c>
      <c r="T72">
        <v>5.53</v>
      </c>
      <c r="U72">
        <v>5.4</v>
      </c>
      <c r="V72">
        <v>5.55</v>
      </c>
      <c r="W72">
        <v>5.87</v>
      </c>
      <c r="X72">
        <v>5.45</v>
      </c>
    </row>
    <row r="73" spans="8:24" x14ac:dyDescent="0.2">
      <c r="H73" s="122">
        <f>Sheet1!A72</f>
        <v>36875</v>
      </c>
      <c r="I73">
        <v>4.8899999999999997</v>
      </c>
      <c r="J73">
        <v>5.28</v>
      </c>
      <c r="K73">
        <v>5.14</v>
      </c>
      <c r="L73">
        <v>5.3</v>
      </c>
      <c r="M73">
        <v>5.54</v>
      </c>
      <c r="N73">
        <v>5.2</v>
      </c>
      <c r="S73">
        <v>4.8899999999999997</v>
      </c>
      <c r="T73">
        <v>5.28</v>
      </c>
      <c r="U73">
        <v>5.14</v>
      </c>
      <c r="V73">
        <v>5.3</v>
      </c>
      <c r="W73">
        <v>5.54</v>
      </c>
      <c r="X73">
        <v>5.2</v>
      </c>
    </row>
    <row r="74" spans="8:24" x14ac:dyDescent="0.2">
      <c r="H74" s="122">
        <f>Sheet1!A73</f>
        <v>36906</v>
      </c>
      <c r="I74">
        <v>4.8</v>
      </c>
      <c r="J74">
        <v>5.16</v>
      </c>
      <c r="K74">
        <v>5.03</v>
      </c>
      <c r="L74">
        <v>5.18</v>
      </c>
      <c r="M74">
        <v>5.3500000000000005</v>
      </c>
      <c r="N74">
        <v>5.08</v>
      </c>
      <c r="S74">
        <v>4.8</v>
      </c>
      <c r="T74">
        <v>5.16</v>
      </c>
      <c r="U74">
        <v>5.03</v>
      </c>
      <c r="V74">
        <v>5.18</v>
      </c>
      <c r="W74">
        <v>5.3500000000000005</v>
      </c>
      <c r="X74">
        <v>5.08</v>
      </c>
    </row>
    <row r="75" spans="8:24" x14ac:dyDescent="0.2">
      <c r="H75" s="122">
        <f>Sheet1!A74</f>
        <v>36937</v>
      </c>
      <c r="I75">
        <v>4.78</v>
      </c>
      <c r="J75">
        <v>5.14</v>
      </c>
      <c r="K75">
        <v>5.01</v>
      </c>
      <c r="L75">
        <v>5.18</v>
      </c>
      <c r="M75">
        <v>5.3500000000000005</v>
      </c>
      <c r="N75">
        <v>5.12</v>
      </c>
      <c r="S75">
        <v>4.78</v>
      </c>
      <c r="T75">
        <v>5.14</v>
      </c>
      <c r="U75">
        <v>5.01</v>
      </c>
      <c r="V75">
        <v>5.18</v>
      </c>
      <c r="W75">
        <v>5.3500000000000005</v>
      </c>
      <c r="X75">
        <v>5.12</v>
      </c>
    </row>
    <row r="76" spans="8:24" x14ac:dyDescent="0.2">
      <c r="H76" s="122">
        <f>Sheet1!A75</f>
        <v>36965</v>
      </c>
      <c r="I76">
        <v>4.67</v>
      </c>
      <c r="J76">
        <v>5.09</v>
      </c>
      <c r="K76">
        <v>4.92</v>
      </c>
      <c r="L76">
        <v>5.13</v>
      </c>
      <c r="M76">
        <v>5.28</v>
      </c>
      <c r="N76">
        <v>5.04</v>
      </c>
      <c r="S76">
        <v>4.67</v>
      </c>
      <c r="T76">
        <v>5.09</v>
      </c>
      <c r="U76">
        <v>4.92</v>
      </c>
      <c r="V76">
        <v>5.13</v>
      </c>
      <c r="W76">
        <v>5.28</v>
      </c>
      <c r="X76">
        <v>5.04</v>
      </c>
    </row>
    <row r="77" spans="8:24" x14ac:dyDescent="0.2">
      <c r="H77" s="122">
        <f>Sheet1!A76</f>
        <v>36996</v>
      </c>
      <c r="I77">
        <v>4.83</v>
      </c>
      <c r="J77">
        <v>5.26</v>
      </c>
      <c r="K77">
        <v>5.09</v>
      </c>
      <c r="L77">
        <v>5.28</v>
      </c>
      <c r="M77">
        <v>5.39</v>
      </c>
      <c r="N77">
        <v>5.18</v>
      </c>
      <c r="S77">
        <v>4.83</v>
      </c>
      <c r="T77">
        <v>5.26</v>
      </c>
      <c r="U77">
        <v>5.09</v>
      </c>
      <c r="V77">
        <v>5.28</v>
      </c>
      <c r="W77">
        <v>5.39</v>
      </c>
      <c r="X77">
        <v>5.18</v>
      </c>
    </row>
    <row r="78" spans="8:24" x14ac:dyDescent="0.2">
      <c r="H78" s="122">
        <f>Sheet1!A77</f>
        <v>37026</v>
      </c>
      <c r="I78">
        <v>5.05</v>
      </c>
      <c r="J78">
        <v>5.42</v>
      </c>
      <c r="K78">
        <v>5.28</v>
      </c>
      <c r="L78">
        <v>5.45</v>
      </c>
      <c r="M78">
        <v>5.54</v>
      </c>
      <c r="N78">
        <v>5.36</v>
      </c>
      <c r="S78">
        <v>5.05</v>
      </c>
      <c r="T78">
        <v>5.42</v>
      </c>
      <c r="U78">
        <v>5.28</v>
      </c>
      <c r="V78">
        <v>5.45</v>
      </c>
      <c r="W78">
        <v>5.54</v>
      </c>
      <c r="X78">
        <v>5.36</v>
      </c>
    </row>
    <row r="79" spans="8:24" x14ac:dyDescent="0.2">
      <c r="H79" s="122">
        <f>Sheet1!A78</f>
        <v>37057</v>
      </c>
      <c r="I79">
        <v>5</v>
      </c>
      <c r="J79">
        <v>5.38</v>
      </c>
      <c r="K79">
        <v>5.23</v>
      </c>
      <c r="L79">
        <v>5.4</v>
      </c>
      <c r="M79">
        <v>5.48</v>
      </c>
      <c r="N79">
        <v>5.33</v>
      </c>
      <c r="S79">
        <v>5</v>
      </c>
      <c r="T79">
        <v>5.38</v>
      </c>
      <c r="U79">
        <v>5.23</v>
      </c>
      <c r="V79">
        <v>5.4</v>
      </c>
      <c r="W79">
        <v>5.48</v>
      </c>
      <c r="X79">
        <v>5.33</v>
      </c>
    </row>
    <row r="80" spans="8:24" x14ac:dyDescent="0.2">
      <c r="H80" s="122">
        <f>Sheet1!A79</f>
        <v>37087</v>
      </c>
      <c r="I80">
        <v>5.0200000000000005</v>
      </c>
      <c r="J80">
        <v>5.39</v>
      </c>
      <c r="K80">
        <v>5.23</v>
      </c>
      <c r="L80">
        <v>5.42</v>
      </c>
      <c r="M80">
        <v>5.51</v>
      </c>
      <c r="N80">
        <v>5.3500000000000005</v>
      </c>
      <c r="S80">
        <v>5.0200000000000005</v>
      </c>
      <c r="T80">
        <v>5.39</v>
      </c>
      <c r="U80">
        <v>5.23</v>
      </c>
      <c r="V80">
        <v>5.42</v>
      </c>
      <c r="W80">
        <v>5.51</v>
      </c>
      <c r="X80">
        <v>5.3500000000000005</v>
      </c>
    </row>
    <row r="81" spans="8:24" x14ac:dyDescent="0.2">
      <c r="H81" s="122">
        <f>Sheet1!A80</f>
        <v>37118</v>
      </c>
      <c r="I81">
        <v>4.82</v>
      </c>
      <c r="J81">
        <v>5.19</v>
      </c>
      <c r="K81">
        <v>5.01</v>
      </c>
      <c r="L81">
        <v>5.22</v>
      </c>
      <c r="M81">
        <v>5.33</v>
      </c>
      <c r="N81">
        <v>5.16</v>
      </c>
      <c r="S81">
        <v>4.82</v>
      </c>
      <c r="T81">
        <v>5.19</v>
      </c>
      <c r="U81">
        <v>5.01</v>
      </c>
      <c r="V81">
        <v>5.22</v>
      </c>
      <c r="W81">
        <v>5.33</v>
      </c>
      <c r="X81">
        <v>5.16</v>
      </c>
    </row>
    <row r="82" spans="8:24" x14ac:dyDescent="0.2">
      <c r="H82" s="122">
        <f>Sheet1!A81</f>
        <v>37149</v>
      </c>
      <c r="I82">
        <v>4.8100000000000005</v>
      </c>
      <c r="J82">
        <v>5.17</v>
      </c>
      <c r="K82">
        <v>5.01</v>
      </c>
      <c r="L82">
        <v>5.2</v>
      </c>
      <c r="M82">
        <v>5.3100000000000005</v>
      </c>
      <c r="N82">
        <v>5.14</v>
      </c>
      <c r="S82">
        <v>4.8100000000000005</v>
      </c>
      <c r="T82">
        <v>5.17</v>
      </c>
      <c r="U82">
        <v>5.01</v>
      </c>
      <c r="V82">
        <v>5.2</v>
      </c>
      <c r="W82">
        <v>5.3100000000000005</v>
      </c>
      <c r="X82">
        <v>5.14</v>
      </c>
    </row>
    <row r="83" spans="8:24" x14ac:dyDescent="0.2">
      <c r="H83" s="122">
        <f>Sheet1!A82</f>
        <v>37179</v>
      </c>
      <c r="I83">
        <v>4.6000000000000005</v>
      </c>
      <c r="J83">
        <v>4.92</v>
      </c>
      <c r="K83">
        <v>4.7700000000000005</v>
      </c>
      <c r="L83">
        <v>4.96</v>
      </c>
      <c r="M83">
        <v>5.07</v>
      </c>
      <c r="N83">
        <v>4.91</v>
      </c>
      <c r="S83">
        <v>4.6000000000000005</v>
      </c>
      <c r="T83">
        <v>4.92</v>
      </c>
      <c r="U83">
        <v>4.7700000000000005</v>
      </c>
      <c r="V83">
        <v>4.96</v>
      </c>
      <c r="W83">
        <v>5.07</v>
      </c>
      <c r="X83">
        <v>4.91</v>
      </c>
    </row>
    <row r="84" spans="8:24" x14ac:dyDescent="0.2">
      <c r="H84" s="122">
        <f>Sheet1!A83</f>
        <v>37210</v>
      </c>
      <c r="I84">
        <v>4.45</v>
      </c>
      <c r="J84">
        <v>4.76</v>
      </c>
      <c r="K84">
        <v>4.63</v>
      </c>
      <c r="L84">
        <v>4.8</v>
      </c>
      <c r="M84">
        <v>4.9000000000000004</v>
      </c>
      <c r="N84">
        <v>4.76</v>
      </c>
      <c r="S84">
        <v>4.45</v>
      </c>
      <c r="T84">
        <v>4.76</v>
      </c>
      <c r="U84">
        <v>4.63</v>
      </c>
      <c r="V84">
        <v>4.8</v>
      </c>
      <c r="W84">
        <v>4.9000000000000004</v>
      </c>
      <c r="X84">
        <v>4.76</v>
      </c>
    </row>
    <row r="85" spans="8:24" x14ac:dyDescent="0.2">
      <c r="H85" s="122">
        <f>Sheet1!A84</f>
        <v>37240</v>
      </c>
      <c r="I85">
        <v>4.74</v>
      </c>
      <c r="J85">
        <v>5.01</v>
      </c>
      <c r="K85">
        <v>4.93</v>
      </c>
      <c r="L85">
        <v>5.05</v>
      </c>
      <c r="M85">
        <v>5.13</v>
      </c>
      <c r="N85">
        <v>4.97</v>
      </c>
      <c r="S85">
        <v>4.74</v>
      </c>
      <c r="T85">
        <v>5.01</v>
      </c>
      <c r="U85">
        <v>4.93</v>
      </c>
      <c r="V85">
        <v>5.05</v>
      </c>
      <c r="W85">
        <v>5.13</v>
      </c>
      <c r="X85">
        <v>4.97</v>
      </c>
    </row>
    <row r="86" spans="8:24" x14ac:dyDescent="0.2">
      <c r="H86" s="122">
        <f>Sheet1!A85</f>
        <v>37271</v>
      </c>
      <c r="I86">
        <v>4.8600000000000003</v>
      </c>
      <c r="J86">
        <v>5.08</v>
      </c>
      <c r="K86">
        <v>5.0200000000000005</v>
      </c>
      <c r="L86">
        <v>5.14</v>
      </c>
      <c r="M86">
        <v>5.24</v>
      </c>
      <c r="N86">
        <v>5.05</v>
      </c>
      <c r="S86">
        <v>4.8600000000000003</v>
      </c>
      <c r="T86">
        <v>5.08</v>
      </c>
      <c r="U86">
        <v>5.0200000000000005</v>
      </c>
      <c r="V86">
        <v>5.14</v>
      </c>
      <c r="W86">
        <v>5.24</v>
      </c>
      <c r="X86">
        <v>5.05</v>
      </c>
    </row>
    <row r="87" spans="8:24" x14ac:dyDescent="0.2">
      <c r="H87" s="122">
        <f>Sheet1!A86</f>
        <v>37302</v>
      </c>
      <c r="I87">
        <v>4.92</v>
      </c>
      <c r="J87">
        <v>5.15</v>
      </c>
      <c r="K87">
        <v>5.2</v>
      </c>
      <c r="L87">
        <v>5.2</v>
      </c>
      <c r="M87">
        <v>5.3100000000000005</v>
      </c>
      <c r="N87">
        <v>5.1100000000000003</v>
      </c>
      <c r="S87">
        <v>4.92</v>
      </c>
      <c r="T87">
        <v>5.15</v>
      </c>
      <c r="U87">
        <v>5.2</v>
      </c>
      <c r="V87">
        <v>5.2</v>
      </c>
      <c r="W87">
        <v>5.3100000000000005</v>
      </c>
      <c r="X87">
        <v>5.1100000000000003</v>
      </c>
    </row>
    <row r="88" spans="8:24" x14ac:dyDescent="0.2">
      <c r="H88" s="122">
        <f>Sheet1!A87</f>
        <v>37330</v>
      </c>
      <c r="I88">
        <v>5.16</v>
      </c>
      <c r="J88">
        <v>5.39</v>
      </c>
      <c r="K88">
        <v>5.42</v>
      </c>
      <c r="L88">
        <v>5.41</v>
      </c>
      <c r="M88">
        <v>5.5</v>
      </c>
      <c r="N88">
        <v>5.34</v>
      </c>
      <c r="S88">
        <v>5.16</v>
      </c>
      <c r="T88">
        <v>5.39</v>
      </c>
      <c r="U88">
        <v>5.42</v>
      </c>
      <c r="V88">
        <v>5.41</v>
      </c>
      <c r="W88">
        <v>5.5</v>
      </c>
      <c r="X88">
        <v>5.34</v>
      </c>
    </row>
    <row r="89" spans="8:24" x14ac:dyDescent="0.2">
      <c r="H89" s="122">
        <f>Sheet1!A88</f>
        <v>37361</v>
      </c>
      <c r="I89">
        <v>5.15</v>
      </c>
      <c r="J89">
        <v>5.39</v>
      </c>
      <c r="K89">
        <v>5.41</v>
      </c>
      <c r="L89">
        <v>5.4</v>
      </c>
      <c r="M89">
        <v>5.51</v>
      </c>
      <c r="N89">
        <v>5.34</v>
      </c>
      <c r="S89">
        <v>5.15</v>
      </c>
      <c r="T89">
        <v>5.39</v>
      </c>
      <c r="U89">
        <v>5.41</v>
      </c>
      <c r="V89">
        <v>5.4</v>
      </c>
      <c r="W89">
        <v>5.51</v>
      </c>
      <c r="X89">
        <v>5.34</v>
      </c>
    </row>
    <row r="90" spans="8:24" x14ac:dyDescent="0.2">
      <c r="H90" s="122">
        <f>Sheet1!A89</f>
        <v>37391</v>
      </c>
      <c r="I90">
        <v>5.17</v>
      </c>
      <c r="J90">
        <v>5.4</v>
      </c>
      <c r="K90">
        <v>5.41</v>
      </c>
      <c r="L90">
        <v>5.41</v>
      </c>
      <c r="M90">
        <v>5.5200000000000005</v>
      </c>
      <c r="N90">
        <v>5.36</v>
      </c>
      <c r="S90">
        <v>5.17</v>
      </c>
      <c r="T90">
        <v>5.4</v>
      </c>
      <c r="U90">
        <v>5.41</v>
      </c>
      <c r="V90">
        <v>5.41</v>
      </c>
      <c r="W90">
        <v>5.5200000000000005</v>
      </c>
      <c r="X90">
        <v>5.36</v>
      </c>
    </row>
    <row r="91" spans="8:24" x14ac:dyDescent="0.2">
      <c r="H91" s="122">
        <f>Sheet1!A90</f>
        <v>37422</v>
      </c>
      <c r="I91">
        <v>5.0200000000000005</v>
      </c>
      <c r="J91">
        <v>5.26</v>
      </c>
      <c r="K91">
        <v>5.25</v>
      </c>
      <c r="L91">
        <v>5.26</v>
      </c>
      <c r="M91">
        <v>5.37</v>
      </c>
      <c r="N91">
        <v>5.23</v>
      </c>
      <c r="S91">
        <v>5.0200000000000005</v>
      </c>
      <c r="T91">
        <v>5.26</v>
      </c>
      <c r="U91">
        <v>5.25</v>
      </c>
      <c r="V91">
        <v>5.26</v>
      </c>
      <c r="W91">
        <v>5.37</v>
      </c>
      <c r="X91">
        <v>5.23</v>
      </c>
    </row>
    <row r="92" spans="8:24" x14ac:dyDescent="0.2">
      <c r="H92" s="122">
        <f>Sheet1!A91</f>
        <v>37452</v>
      </c>
      <c r="I92">
        <v>4.87</v>
      </c>
      <c r="J92">
        <v>5.12</v>
      </c>
      <c r="K92">
        <v>5.1100000000000003</v>
      </c>
      <c r="L92">
        <v>5.1100000000000003</v>
      </c>
      <c r="M92">
        <v>5.21</v>
      </c>
      <c r="N92">
        <v>5.07</v>
      </c>
      <c r="S92">
        <v>4.87</v>
      </c>
      <c r="T92">
        <v>5.12</v>
      </c>
      <c r="U92">
        <v>5.1100000000000003</v>
      </c>
      <c r="V92">
        <v>5.1100000000000003</v>
      </c>
      <c r="W92">
        <v>5.21</v>
      </c>
      <c r="X92">
        <v>5.07</v>
      </c>
    </row>
    <row r="93" spans="8:24" x14ac:dyDescent="0.2">
      <c r="H93" s="122">
        <f>Sheet1!A92</f>
        <v>37483</v>
      </c>
      <c r="I93">
        <v>4.59</v>
      </c>
      <c r="J93">
        <v>4.8500000000000005</v>
      </c>
      <c r="K93">
        <v>4.84</v>
      </c>
      <c r="L93">
        <v>4.83</v>
      </c>
      <c r="M93">
        <v>4.95</v>
      </c>
      <c r="N93">
        <v>4.78</v>
      </c>
      <c r="S93">
        <v>4.59</v>
      </c>
      <c r="T93">
        <v>4.8500000000000005</v>
      </c>
      <c r="U93">
        <v>4.84</v>
      </c>
      <c r="V93">
        <v>4.83</v>
      </c>
      <c r="W93">
        <v>4.95</v>
      </c>
      <c r="X93">
        <v>4.78</v>
      </c>
    </row>
    <row r="94" spans="8:24" x14ac:dyDescent="0.2">
      <c r="H94" s="122">
        <f>Sheet1!A93</f>
        <v>37514</v>
      </c>
      <c r="I94">
        <v>4.38</v>
      </c>
      <c r="J94">
        <v>4.63</v>
      </c>
      <c r="K94">
        <v>4.63</v>
      </c>
      <c r="L94">
        <v>4.62</v>
      </c>
      <c r="M94">
        <v>4.7300000000000004</v>
      </c>
      <c r="N94">
        <v>4.57</v>
      </c>
      <c r="S94">
        <v>4.38</v>
      </c>
      <c r="T94">
        <v>4.63</v>
      </c>
      <c r="U94">
        <v>4.63</v>
      </c>
      <c r="V94">
        <v>4.62</v>
      </c>
      <c r="W94">
        <v>4.7300000000000004</v>
      </c>
      <c r="X94">
        <v>4.57</v>
      </c>
    </row>
    <row r="95" spans="8:24" x14ac:dyDescent="0.2">
      <c r="H95" s="122">
        <f>Sheet1!A94</f>
        <v>37544</v>
      </c>
      <c r="I95">
        <v>4.46</v>
      </c>
      <c r="J95">
        <v>4.7</v>
      </c>
      <c r="K95">
        <v>4.7</v>
      </c>
      <c r="L95">
        <v>4.76</v>
      </c>
      <c r="M95">
        <v>4.79</v>
      </c>
      <c r="N95">
        <v>4.63</v>
      </c>
      <c r="S95">
        <v>4.46</v>
      </c>
      <c r="T95">
        <v>4.7</v>
      </c>
      <c r="U95">
        <v>4.7</v>
      </c>
      <c r="V95">
        <v>4.76</v>
      </c>
      <c r="W95">
        <v>4.79</v>
      </c>
      <c r="X95">
        <v>4.63</v>
      </c>
    </row>
    <row r="96" spans="8:24" x14ac:dyDescent="0.2">
      <c r="H96" s="122">
        <f>Sheet1!A95</f>
        <v>37575</v>
      </c>
      <c r="I96">
        <v>4.4800000000000004</v>
      </c>
      <c r="J96">
        <v>4.66</v>
      </c>
      <c r="K96">
        <v>4.67</v>
      </c>
      <c r="L96">
        <v>4.74</v>
      </c>
      <c r="M96">
        <v>4.76</v>
      </c>
      <c r="N96">
        <v>4.6000000000000005</v>
      </c>
      <c r="S96">
        <v>4.4800000000000004</v>
      </c>
      <c r="T96">
        <v>4.66</v>
      </c>
      <c r="U96">
        <v>4.67</v>
      </c>
      <c r="V96">
        <v>4.74</v>
      </c>
      <c r="W96">
        <v>4.76</v>
      </c>
      <c r="X96">
        <v>4.6000000000000005</v>
      </c>
    </row>
    <row r="97" spans="8:24" x14ac:dyDescent="0.2">
      <c r="H97" s="122">
        <f>Sheet1!A96</f>
        <v>37605</v>
      </c>
      <c r="I97">
        <v>4.33</v>
      </c>
      <c r="J97">
        <v>4.45</v>
      </c>
      <c r="K97">
        <v>4.46</v>
      </c>
      <c r="L97">
        <v>4.55</v>
      </c>
      <c r="M97">
        <v>4.58</v>
      </c>
      <c r="N97">
        <v>4.42</v>
      </c>
      <c r="S97">
        <v>4.33</v>
      </c>
      <c r="T97">
        <v>4.45</v>
      </c>
      <c r="U97">
        <v>4.46</v>
      </c>
      <c r="V97">
        <v>4.55</v>
      </c>
      <c r="W97">
        <v>4.58</v>
      </c>
      <c r="X97">
        <v>4.42</v>
      </c>
    </row>
    <row r="98" spans="8:24" x14ac:dyDescent="0.2">
      <c r="H98" s="122">
        <f>Sheet1!A97</f>
        <v>37636</v>
      </c>
      <c r="I98">
        <v>4.18</v>
      </c>
      <c r="J98">
        <v>4.2700000000000005</v>
      </c>
      <c r="K98">
        <v>4.2700000000000005</v>
      </c>
      <c r="L98">
        <v>4.38</v>
      </c>
      <c r="M98">
        <v>4.43</v>
      </c>
      <c r="N98">
        <v>4.24</v>
      </c>
      <c r="S98">
        <v>4.18</v>
      </c>
      <c r="T98">
        <v>4.2700000000000005</v>
      </c>
      <c r="U98">
        <v>4.2700000000000005</v>
      </c>
      <c r="V98">
        <v>4.38</v>
      </c>
      <c r="W98">
        <v>4.43</v>
      </c>
      <c r="X98">
        <v>4.24</v>
      </c>
    </row>
    <row r="99" spans="8:24" x14ac:dyDescent="0.2">
      <c r="H99" s="122">
        <f>Sheet1!A98</f>
        <v>37667</v>
      </c>
      <c r="I99">
        <v>3.95</v>
      </c>
      <c r="J99">
        <v>4.04</v>
      </c>
      <c r="K99">
        <v>4.0600000000000005</v>
      </c>
      <c r="L99">
        <v>4.16</v>
      </c>
      <c r="M99">
        <v>4.24</v>
      </c>
      <c r="N99">
        <v>4.01</v>
      </c>
      <c r="S99">
        <v>3.95</v>
      </c>
      <c r="T99">
        <v>4.04</v>
      </c>
      <c r="U99">
        <v>4.0600000000000005</v>
      </c>
      <c r="V99">
        <v>4.16</v>
      </c>
      <c r="W99">
        <v>4.24</v>
      </c>
      <c r="X99">
        <v>4.01</v>
      </c>
    </row>
    <row r="100" spans="8:24" x14ac:dyDescent="0.2">
      <c r="H100" s="122">
        <f>Sheet1!A99</f>
        <v>37695</v>
      </c>
      <c r="I100">
        <v>4</v>
      </c>
      <c r="J100">
        <v>4.08</v>
      </c>
      <c r="K100">
        <v>4.09</v>
      </c>
      <c r="L100">
        <v>4.18</v>
      </c>
      <c r="M100">
        <v>4.26</v>
      </c>
      <c r="N100">
        <v>4.04</v>
      </c>
      <c r="S100">
        <v>4</v>
      </c>
      <c r="T100">
        <v>4.08</v>
      </c>
      <c r="U100">
        <v>4.09</v>
      </c>
      <c r="V100">
        <v>4.18</v>
      </c>
      <c r="W100">
        <v>4.26</v>
      </c>
      <c r="X100">
        <v>4.04</v>
      </c>
    </row>
    <row r="101" spans="8:24" x14ac:dyDescent="0.2">
      <c r="H101" s="122">
        <f>Sheet1!A100</f>
        <v>37726</v>
      </c>
      <c r="I101">
        <v>4.1500000000000004</v>
      </c>
      <c r="J101">
        <v>4.18</v>
      </c>
      <c r="K101">
        <v>4.22</v>
      </c>
      <c r="L101">
        <v>4.3100000000000005</v>
      </c>
      <c r="M101">
        <v>4.38</v>
      </c>
      <c r="N101">
        <v>4.1900000000000004</v>
      </c>
      <c r="S101">
        <v>4.1500000000000004</v>
      </c>
      <c r="T101">
        <v>4.18</v>
      </c>
      <c r="U101">
        <v>4.22</v>
      </c>
      <c r="V101">
        <v>4.3100000000000005</v>
      </c>
      <c r="W101">
        <v>4.38</v>
      </c>
      <c r="X101">
        <v>4.1900000000000004</v>
      </c>
    </row>
    <row r="102" spans="8:24" x14ac:dyDescent="0.2">
      <c r="H102" s="122">
        <f>Sheet1!A101</f>
        <v>37756</v>
      </c>
      <c r="I102">
        <v>3.8200000000000003</v>
      </c>
      <c r="J102">
        <v>3.91</v>
      </c>
      <c r="K102">
        <v>3.89</v>
      </c>
      <c r="L102">
        <v>4.04</v>
      </c>
      <c r="M102">
        <v>4.0200000000000005</v>
      </c>
      <c r="N102">
        <v>3.88</v>
      </c>
      <c r="S102">
        <v>3.8200000000000003</v>
      </c>
      <c r="T102">
        <v>3.91</v>
      </c>
      <c r="U102">
        <v>3.89</v>
      </c>
      <c r="V102">
        <v>4.04</v>
      </c>
      <c r="W102">
        <v>4.0200000000000005</v>
      </c>
      <c r="X102">
        <v>3.88</v>
      </c>
    </row>
    <row r="103" spans="8:24" x14ac:dyDescent="0.2">
      <c r="H103" s="122">
        <f>Sheet1!A102</f>
        <v>37787</v>
      </c>
      <c r="I103">
        <v>3.62</v>
      </c>
      <c r="J103">
        <v>3.77</v>
      </c>
      <c r="K103">
        <v>3.69</v>
      </c>
      <c r="L103">
        <v>3.8200000000000003</v>
      </c>
      <c r="M103">
        <v>3.81</v>
      </c>
      <c r="N103">
        <v>3.69</v>
      </c>
      <c r="S103">
        <v>3.62</v>
      </c>
      <c r="T103">
        <v>3.77</v>
      </c>
      <c r="U103">
        <v>3.69</v>
      </c>
      <c r="V103">
        <v>3.8200000000000003</v>
      </c>
      <c r="W103">
        <v>3.81</v>
      </c>
      <c r="X103">
        <v>3.69</v>
      </c>
    </row>
    <row r="104" spans="8:24" x14ac:dyDescent="0.2">
      <c r="H104" s="122">
        <f>Sheet1!A103</f>
        <v>37817</v>
      </c>
      <c r="I104">
        <v>3.97</v>
      </c>
      <c r="J104">
        <v>4.0999999999999996</v>
      </c>
      <c r="K104">
        <v>4.01</v>
      </c>
      <c r="L104">
        <v>4.13</v>
      </c>
      <c r="M104">
        <v>4.12</v>
      </c>
      <c r="N104">
        <v>4.03</v>
      </c>
      <c r="S104">
        <v>3.97</v>
      </c>
      <c r="T104">
        <v>4.0999999999999996</v>
      </c>
      <c r="U104">
        <v>4.01</v>
      </c>
      <c r="V104">
        <v>4.13</v>
      </c>
      <c r="W104">
        <v>4.12</v>
      </c>
      <c r="X104">
        <v>4.03</v>
      </c>
    </row>
    <row r="105" spans="8:24" x14ac:dyDescent="0.2">
      <c r="H105" s="122">
        <f>Sheet1!A104</f>
        <v>37848</v>
      </c>
      <c r="I105">
        <v>4.13</v>
      </c>
      <c r="J105">
        <v>4.26</v>
      </c>
      <c r="K105">
        <v>4.17</v>
      </c>
      <c r="L105">
        <v>4.29</v>
      </c>
      <c r="M105">
        <v>4.29</v>
      </c>
      <c r="N105">
        <v>4.1900000000000004</v>
      </c>
      <c r="S105">
        <v>4.13</v>
      </c>
      <c r="T105">
        <v>4.26</v>
      </c>
      <c r="U105">
        <v>4.17</v>
      </c>
      <c r="V105">
        <v>4.29</v>
      </c>
      <c r="W105">
        <v>4.29</v>
      </c>
      <c r="X105">
        <v>4.1900000000000004</v>
      </c>
    </row>
    <row r="106" spans="8:24" x14ac:dyDescent="0.2">
      <c r="H106" s="122">
        <f>Sheet1!A105</f>
        <v>37879</v>
      </c>
      <c r="I106">
        <v>4.17</v>
      </c>
      <c r="J106">
        <v>4.29</v>
      </c>
      <c r="K106">
        <v>4.1900000000000004</v>
      </c>
      <c r="L106">
        <v>4.3100000000000005</v>
      </c>
      <c r="M106">
        <v>4.32</v>
      </c>
      <c r="N106">
        <v>4.21</v>
      </c>
      <c r="S106">
        <v>4.17</v>
      </c>
      <c r="T106">
        <v>4.29</v>
      </c>
      <c r="U106">
        <v>4.1900000000000004</v>
      </c>
      <c r="V106">
        <v>4.3100000000000005</v>
      </c>
      <c r="W106">
        <v>4.32</v>
      </c>
      <c r="X106">
        <v>4.21</v>
      </c>
    </row>
    <row r="107" spans="8:24" x14ac:dyDescent="0.2">
      <c r="H107" s="122">
        <f>Sheet1!A106</f>
        <v>37909</v>
      </c>
      <c r="I107">
        <v>4.22</v>
      </c>
      <c r="J107">
        <v>4.3600000000000003</v>
      </c>
      <c r="K107">
        <v>4.25</v>
      </c>
      <c r="L107">
        <v>4.38</v>
      </c>
      <c r="M107">
        <v>4.38</v>
      </c>
      <c r="N107">
        <v>4.2700000000000005</v>
      </c>
      <c r="S107">
        <v>4.22</v>
      </c>
      <c r="T107">
        <v>4.3600000000000003</v>
      </c>
      <c r="U107">
        <v>4.25</v>
      </c>
      <c r="V107">
        <v>4.38</v>
      </c>
      <c r="W107">
        <v>4.38</v>
      </c>
      <c r="X107">
        <v>4.2700000000000005</v>
      </c>
    </row>
    <row r="108" spans="8:24" x14ac:dyDescent="0.2">
      <c r="H108" s="122">
        <f>Sheet1!A107</f>
        <v>37940</v>
      </c>
      <c r="I108">
        <v>4.3500000000000005</v>
      </c>
      <c r="J108">
        <v>4.4800000000000004</v>
      </c>
      <c r="K108">
        <v>4.3899999999999997</v>
      </c>
      <c r="L108">
        <v>4.51</v>
      </c>
      <c r="M108">
        <v>4.51</v>
      </c>
      <c r="N108">
        <v>4.4000000000000004</v>
      </c>
      <c r="S108">
        <v>4.3500000000000005</v>
      </c>
      <c r="T108">
        <v>4.4800000000000004</v>
      </c>
      <c r="U108">
        <v>4.3899999999999997</v>
      </c>
      <c r="V108">
        <v>4.51</v>
      </c>
      <c r="W108">
        <v>4.51</v>
      </c>
      <c r="X108">
        <v>4.4000000000000004</v>
      </c>
    </row>
    <row r="109" spans="8:24" x14ac:dyDescent="0.2">
      <c r="H109" s="122">
        <f>Sheet1!A108</f>
        <v>37970</v>
      </c>
      <c r="I109">
        <v>4.29</v>
      </c>
      <c r="J109">
        <v>4.4000000000000004</v>
      </c>
      <c r="K109">
        <v>4.3600000000000003</v>
      </c>
      <c r="L109">
        <v>4.46</v>
      </c>
      <c r="M109">
        <v>4.45</v>
      </c>
      <c r="N109">
        <v>4.34</v>
      </c>
      <c r="S109">
        <v>4.29</v>
      </c>
      <c r="T109">
        <v>4.4000000000000004</v>
      </c>
      <c r="U109">
        <v>4.3600000000000003</v>
      </c>
      <c r="V109">
        <v>4.46</v>
      </c>
      <c r="W109">
        <v>4.45</v>
      </c>
      <c r="X109">
        <v>4.34</v>
      </c>
    </row>
    <row r="110" spans="8:24" x14ac:dyDescent="0.2">
      <c r="H110" s="122">
        <f>Sheet1!A109</f>
        <v>38001</v>
      </c>
      <c r="I110">
        <v>4.17</v>
      </c>
      <c r="J110">
        <v>4.25</v>
      </c>
      <c r="K110">
        <v>4.2</v>
      </c>
      <c r="L110">
        <v>4.32</v>
      </c>
      <c r="M110">
        <v>4.37</v>
      </c>
      <c r="N110">
        <v>4.1900000000000004</v>
      </c>
      <c r="S110">
        <v>4.17</v>
      </c>
      <c r="T110">
        <v>4.25</v>
      </c>
      <c r="U110">
        <v>4.2</v>
      </c>
      <c r="V110">
        <v>4.32</v>
      </c>
      <c r="W110">
        <v>4.37</v>
      </c>
      <c r="X110">
        <v>4.1900000000000004</v>
      </c>
    </row>
    <row r="111" spans="8:24" x14ac:dyDescent="0.2">
      <c r="H111" s="122">
        <f>Sheet1!A110</f>
        <v>38032</v>
      </c>
      <c r="I111">
        <v>4.1100000000000003</v>
      </c>
      <c r="J111">
        <v>4.1900000000000004</v>
      </c>
      <c r="K111">
        <v>4.1500000000000004</v>
      </c>
      <c r="L111">
        <v>4.34</v>
      </c>
      <c r="M111">
        <v>4.3500000000000005</v>
      </c>
      <c r="N111">
        <v>4.1399999999999997</v>
      </c>
      <c r="S111">
        <v>4.1100000000000003</v>
      </c>
      <c r="T111">
        <v>4.1900000000000004</v>
      </c>
      <c r="U111">
        <v>4.1500000000000004</v>
      </c>
      <c r="V111">
        <v>4.34</v>
      </c>
      <c r="W111">
        <v>4.3500000000000005</v>
      </c>
      <c r="X111">
        <v>4.1399999999999997</v>
      </c>
    </row>
    <row r="112" spans="8:24" x14ac:dyDescent="0.2">
      <c r="H112" s="122">
        <f>Sheet1!A111</f>
        <v>38061</v>
      </c>
      <c r="I112">
        <v>3.91</v>
      </c>
      <c r="J112">
        <v>4</v>
      </c>
      <c r="K112">
        <v>3.97</v>
      </c>
      <c r="L112">
        <v>4.17</v>
      </c>
      <c r="M112">
        <v>4.17</v>
      </c>
      <c r="N112">
        <v>4.01</v>
      </c>
      <c r="S112">
        <v>3.91</v>
      </c>
      <c r="T112">
        <v>4</v>
      </c>
      <c r="U112">
        <v>3.97</v>
      </c>
      <c r="V112">
        <v>4.17</v>
      </c>
      <c r="W112">
        <v>4.17</v>
      </c>
      <c r="X112">
        <v>4.01</v>
      </c>
    </row>
    <row r="113" spans="8:24" x14ac:dyDescent="0.2">
      <c r="H113" s="122">
        <f>Sheet1!A112</f>
        <v>38092</v>
      </c>
      <c r="I113">
        <v>4.0999999999999996</v>
      </c>
      <c r="J113">
        <v>4.25</v>
      </c>
      <c r="K113">
        <v>4.17</v>
      </c>
      <c r="L113">
        <v>4.3500000000000005</v>
      </c>
      <c r="M113">
        <v>4.3500000000000005</v>
      </c>
      <c r="N113">
        <v>4.2</v>
      </c>
      <c r="S113">
        <v>4.0999999999999996</v>
      </c>
      <c r="T113">
        <v>4.25</v>
      </c>
      <c r="U113">
        <v>4.17</v>
      </c>
      <c r="V113">
        <v>4.3500000000000005</v>
      </c>
      <c r="W113">
        <v>4.3500000000000005</v>
      </c>
      <c r="X113">
        <v>4.2</v>
      </c>
    </row>
    <row r="114" spans="8:24" x14ac:dyDescent="0.2">
      <c r="H114" s="122">
        <f>Sheet1!A113</f>
        <v>38122</v>
      </c>
      <c r="I114">
        <v>4.25</v>
      </c>
      <c r="J114">
        <v>4.42</v>
      </c>
      <c r="K114">
        <v>4.3100000000000005</v>
      </c>
      <c r="L114">
        <v>4.49</v>
      </c>
      <c r="M114">
        <v>4.49</v>
      </c>
      <c r="N114">
        <v>4.33</v>
      </c>
      <c r="S114">
        <v>4.25</v>
      </c>
      <c r="T114">
        <v>4.42</v>
      </c>
      <c r="U114">
        <v>4.3100000000000005</v>
      </c>
      <c r="V114">
        <v>4.49</v>
      </c>
      <c r="W114">
        <v>4.49</v>
      </c>
      <c r="X114">
        <v>4.33</v>
      </c>
    </row>
    <row r="115" spans="8:24" x14ac:dyDescent="0.2">
      <c r="H115" s="122">
        <f>Sheet1!A114</f>
        <v>38153</v>
      </c>
      <c r="I115">
        <v>4.3100000000000005</v>
      </c>
      <c r="J115">
        <v>4.47</v>
      </c>
      <c r="K115">
        <v>4.38</v>
      </c>
      <c r="L115">
        <v>4.54</v>
      </c>
      <c r="M115">
        <v>4.55</v>
      </c>
      <c r="N115">
        <v>4.3899999999999997</v>
      </c>
      <c r="S115">
        <v>4.3100000000000005</v>
      </c>
      <c r="T115">
        <v>4.47</v>
      </c>
      <c r="U115">
        <v>4.38</v>
      </c>
      <c r="V115">
        <v>4.54</v>
      </c>
      <c r="W115">
        <v>4.55</v>
      </c>
      <c r="X115">
        <v>4.3899999999999997</v>
      </c>
    </row>
    <row r="116" spans="8:24" x14ac:dyDescent="0.2">
      <c r="H116" s="122">
        <f>Sheet1!A115</f>
        <v>38183</v>
      </c>
      <c r="I116">
        <v>4.24</v>
      </c>
      <c r="J116">
        <v>4.3500000000000005</v>
      </c>
      <c r="K116">
        <v>4.2700000000000005</v>
      </c>
      <c r="L116">
        <v>4.4400000000000004</v>
      </c>
      <c r="M116">
        <v>4.4400000000000004</v>
      </c>
      <c r="N116">
        <v>4.28</v>
      </c>
      <c r="S116">
        <v>4.24</v>
      </c>
      <c r="T116">
        <v>4.3500000000000005</v>
      </c>
      <c r="U116">
        <v>4.2700000000000005</v>
      </c>
      <c r="V116">
        <v>4.4400000000000004</v>
      </c>
      <c r="W116">
        <v>4.4400000000000004</v>
      </c>
      <c r="X116">
        <v>4.28</v>
      </c>
    </row>
    <row r="117" spans="8:24" x14ac:dyDescent="0.2">
      <c r="H117" s="122">
        <f>Sheet1!A116</f>
        <v>38214</v>
      </c>
      <c r="I117">
        <v>4.08</v>
      </c>
      <c r="J117">
        <v>4.18</v>
      </c>
      <c r="K117">
        <v>4.09</v>
      </c>
      <c r="L117">
        <v>4.28</v>
      </c>
      <c r="M117">
        <v>4.28</v>
      </c>
      <c r="N117">
        <v>4.1500000000000004</v>
      </c>
      <c r="S117">
        <v>4.08</v>
      </c>
      <c r="T117">
        <v>4.18</v>
      </c>
      <c r="U117">
        <v>4.09</v>
      </c>
      <c r="V117">
        <v>4.28</v>
      </c>
      <c r="W117">
        <v>4.28</v>
      </c>
      <c r="X117">
        <v>4.1500000000000004</v>
      </c>
    </row>
    <row r="118" spans="8:24" x14ac:dyDescent="0.2">
      <c r="H118" s="122">
        <f>Sheet1!A117</f>
        <v>38245</v>
      </c>
      <c r="I118">
        <v>4.0200000000000005</v>
      </c>
      <c r="J118">
        <v>4.12</v>
      </c>
      <c r="K118">
        <v>4.04</v>
      </c>
      <c r="L118">
        <v>4.25</v>
      </c>
      <c r="M118">
        <v>4.22</v>
      </c>
      <c r="N118">
        <v>4.08</v>
      </c>
      <c r="S118">
        <v>4.0200000000000005</v>
      </c>
      <c r="T118">
        <v>4.12</v>
      </c>
      <c r="U118">
        <v>4.04</v>
      </c>
      <c r="V118">
        <v>4.25</v>
      </c>
      <c r="W118">
        <v>4.22</v>
      </c>
      <c r="X118">
        <v>4.08</v>
      </c>
    </row>
    <row r="119" spans="8:24" x14ac:dyDescent="0.2">
      <c r="H119" s="122">
        <f>Sheet1!A118</f>
        <v>38275</v>
      </c>
      <c r="I119">
        <v>3.89</v>
      </c>
      <c r="J119">
        <v>3.99</v>
      </c>
      <c r="K119">
        <v>3.92</v>
      </c>
      <c r="L119">
        <v>4.13</v>
      </c>
      <c r="M119">
        <v>4.1100000000000003</v>
      </c>
      <c r="N119">
        <v>3.97</v>
      </c>
      <c r="S119">
        <v>3.89</v>
      </c>
      <c r="T119">
        <v>3.99</v>
      </c>
      <c r="U119">
        <v>3.92</v>
      </c>
      <c r="V119">
        <v>4.13</v>
      </c>
      <c r="W119">
        <v>4.1100000000000003</v>
      </c>
      <c r="X119">
        <v>3.97</v>
      </c>
    </row>
    <row r="120" spans="8:24" x14ac:dyDescent="0.2">
      <c r="H120" s="122">
        <f>Sheet1!A119</f>
        <v>38306</v>
      </c>
      <c r="I120">
        <v>3.7800000000000002</v>
      </c>
      <c r="J120">
        <v>3.86</v>
      </c>
      <c r="K120">
        <v>3.8000000000000003</v>
      </c>
      <c r="L120">
        <v>4</v>
      </c>
      <c r="M120">
        <v>3.97</v>
      </c>
      <c r="N120">
        <v>3.85</v>
      </c>
      <c r="S120">
        <v>3.7800000000000002</v>
      </c>
      <c r="T120">
        <v>3.86</v>
      </c>
      <c r="U120">
        <v>3.8000000000000003</v>
      </c>
      <c r="V120">
        <v>4</v>
      </c>
      <c r="W120">
        <v>3.97</v>
      </c>
      <c r="X120">
        <v>3.85</v>
      </c>
    </row>
    <row r="121" spans="8:24" x14ac:dyDescent="0.2">
      <c r="H121" s="122">
        <f>Sheet1!A120</f>
        <v>38336</v>
      </c>
      <c r="I121">
        <v>3.58</v>
      </c>
      <c r="J121">
        <v>3.64</v>
      </c>
      <c r="K121">
        <v>3.62</v>
      </c>
      <c r="L121">
        <v>3.79</v>
      </c>
      <c r="M121">
        <v>3.77</v>
      </c>
      <c r="N121">
        <v>3.64</v>
      </c>
      <c r="S121">
        <v>3.58</v>
      </c>
      <c r="T121">
        <v>3.64</v>
      </c>
      <c r="U121">
        <v>3.62</v>
      </c>
      <c r="V121">
        <v>3.79</v>
      </c>
      <c r="W121">
        <v>3.77</v>
      </c>
      <c r="X121">
        <v>3.64</v>
      </c>
    </row>
    <row r="122" spans="8:24" x14ac:dyDescent="0.2">
      <c r="H122" s="122">
        <f>Sheet1!A121</f>
        <v>38367</v>
      </c>
      <c r="I122">
        <v>3.56</v>
      </c>
      <c r="J122">
        <v>3.56</v>
      </c>
      <c r="K122">
        <v>3.52</v>
      </c>
      <c r="L122">
        <v>3.71</v>
      </c>
      <c r="M122">
        <v>3.69</v>
      </c>
      <c r="N122">
        <v>3.59</v>
      </c>
      <c r="S122">
        <v>3.56</v>
      </c>
      <c r="T122">
        <v>3.56</v>
      </c>
      <c r="U122">
        <v>3.52</v>
      </c>
      <c r="V122">
        <v>3.71</v>
      </c>
      <c r="W122">
        <v>3.69</v>
      </c>
      <c r="X122">
        <v>3.59</v>
      </c>
    </row>
    <row r="123" spans="8:24" x14ac:dyDescent="0.2">
      <c r="H123" s="122">
        <f>Sheet1!A122</f>
        <v>38398</v>
      </c>
      <c r="I123">
        <v>3.54</v>
      </c>
      <c r="J123">
        <v>3.5500000000000003</v>
      </c>
      <c r="K123">
        <v>3.5100000000000002</v>
      </c>
      <c r="L123">
        <v>3.68</v>
      </c>
      <c r="M123">
        <v>3.69</v>
      </c>
      <c r="N123">
        <v>3.58</v>
      </c>
      <c r="S123">
        <v>3.54</v>
      </c>
      <c r="T123">
        <v>3.5500000000000003</v>
      </c>
      <c r="U123">
        <v>3.5100000000000002</v>
      </c>
      <c r="V123">
        <v>3.68</v>
      </c>
      <c r="W123">
        <v>3.69</v>
      </c>
      <c r="X123">
        <v>3.58</v>
      </c>
    </row>
    <row r="124" spans="8:24" x14ac:dyDescent="0.2">
      <c r="H124" s="122">
        <f>Sheet1!A123</f>
        <v>38426</v>
      </c>
      <c r="I124">
        <v>3.7</v>
      </c>
      <c r="J124">
        <v>3.7</v>
      </c>
      <c r="K124">
        <v>3.66</v>
      </c>
      <c r="L124">
        <v>3.84</v>
      </c>
      <c r="M124">
        <v>3.92</v>
      </c>
      <c r="N124">
        <v>3.74</v>
      </c>
      <c r="S124">
        <v>3.7</v>
      </c>
      <c r="T124">
        <v>3.7</v>
      </c>
      <c r="U124">
        <v>3.66</v>
      </c>
      <c r="V124">
        <v>3.84</v>
      </c>
      <c r="W124">
        <v>3.92</v>
      </c>
      <c r="X124">
        <v>3.74</v>
      </c>
    </row>
    <row r="125" spans="8:24" x14ac:dyDescent="0.2">
      <c r="H125" s="122">
        <f>Sheet1!A124</f>
        <v>38457</v>
      </c>
      <c r="I125">
        <v>3.48</v>
      </c>
      <c r="J125">
        <v>3.5</v>
      </c>
      <c r="K125">
        <v>3.46</v>
      </c>
      <c r="L125">
        <v>3.65</v>
      </c>
      <c r="M125">
        <v>3.7600000000000002</v>
      </c>
      <c r="N125">
        <v>3.5300000000000002</v>
      </c>
      <c r="S125">
        <v>3.48</v>
      </c>
      <c r="T125">
        <v>3.5</v>
      </c>
      <c r="U125">
        <v>3.46</v>
      </c>
      <c r="V125">
        <v>3.65</v>
      </c>
      <c r="W125">
        <v>3.7600000000000002</v>
      </c>
      <c r="X125">
        <v>3.5300000000000002</v>
      </c>
    </row>
    <row r="126" spans="8:24" x14ac:dyDescent="0.2">
      <c r="H126" s="122">
        <f>Sheet1!A125</f>
        <v>38487</v>
      </c>
      <c r="I126">
        <v>3.3000000000000003</v>
      </c>
      <c r="J126">
        <v>3.35</v>
      </c>
      <c r="K126">
        <v>3.2800000000000002</v>
      </c>
      <c r="L126">
        <v>3.5500000000000003</v>
      </c>
      <c r="M126">
        <v>3.6</v>
      </c>
      <c r="N126">
        <v>3.36</v>
      </c>
      <c r="S126">
        <v>3.3000000000000003</v>
      </c>
      <c r="T126">
        <v>3.35</v>
      </c>
      <c r="U126">
        <v>3.2800000000000002</v>
      </c>
      <c r="V126">
        <v>3.5500000000000003</v>
      </c>
      <c r="W126">
        <v>3.6</v>
      </c>
      <c r="X126">
        <v>3.36</v>
      </c>
    </row>
    <row r="127" spans="8:24" x14ac:dyDescent="0.2">
      <c r="H127" s="122">
        <f>Sheet1!A126</f>
        <v>38518</v>
      </c>
      <c r="I127">
        <v>3.13</v>
      </c>
      <c r="J127">
        <v>3.19</v>
      </c>
      <c r="K127">
        <v>3.13</v>
      </c>
      <c r="L127">
        <v>3.4</v>
      </c>
      <c r="M127">
        <v>3.44</v>
      </c>
      <c r="N127">
        <v>3.18</v>
      </c>
      <c r="S127">
        <v>3.13</v>
      </c>
      <c r="T127">
        <v>3.19</v>
      </c>
      <c r="U127">
        <v>3.13</v>
      </c>
      <c r="V127">
        <v>3.4</v>
      </c>
      <c r="W127">
        <v>3.44</v>
      </c>
      <c r="X127">
        <v>3.18</v>
      </c>
    </row>
    <row r="128" spans="8:24" x14ac:dyDescent="0.2">
      <c r="H128" s="122">
        <f>Sheet1!A127</f>
        <v>38548</v>
      </c>
      <c r="I128">
        <v>3.2</v>
      </c>
      <c r="J128">
        <v>3.35</v>
      </c>
      <c r="K128">
        <v>3.18</v>
      </c>
      <c r="L128">
        <v>3.44</v>
      </c>
      <c r="M128">
        <v>3.46</v>
      </c>
      <c r="N128">
        <v>3.22</v>
      </c>
      <c r="S128">
        <v>3.2</v>
      </c>
      <c r="T128">
        <v>3.35</v>
      </c>
      <c r="U128">
        <v>3.18</v>
      </c>
      <c r="V128">
        <v>3.44</v>
      </c>
      <c r="W128">
        <v>3.46</v>
      </c>
      <c r="X128">
        <v>3.22</v>
      </c>
    </row>
    <row r="129" spans="8:24" x14ac:dyDescent="0.2">
      <c r="H129" s="122">
        <f>Sheet1!A128</f>
        <v>38579</v>
      </c>
      <c r="I129">
        <v>3.23</v>
      </c>
      <c r="J129">
        <v>3.39</v>
      </c>
      <c r="K129">
        <v>3.22</v>
      </c>
      <c r="L129">
        <v>3.45</v>
      </c>
      <c r="M129">
        <v>3.47</v>
      </c>
      <c r="N129">
        <v>3.23</v>
      </c>
      <c r="S129">
        <v>3.23</v>
      </c>
      <c r="T129">
        <v>3.39</v>
      </c>
      <c r="U129">
        <v>3.22</v>
      </c>
      <c r="V129">
        <v>3.45</v>
      </c>
      <c r="W129">
        <v>3.47</v>
      </c>
      <c r="X129">
        <v>3.23</v>
      </c>
    </row>
    <row r="130" spans="8:24" x14ac:dyDescent="0.2">
      <c r="H130" s="122">
        <f>Sheet1!A129</f>
        <v>38610</v>
      </c>
      <c r="I130">
        <v>3.0700000000000003</v>
      </c>
      <c r="J130">
        <v>3.23</v>
      </c>
      <c r="K130">
        <v>3.04</v>
      </c>
      <c r="L130">
        <v>3.29</v>
      </c>
      <c r="M130">
        <v>3.3000000000000003</v>
      </c>
      <c r="N130">
        <v>3.09</v>
      </c>
      <c r="S130">
        <v>3.0700000000000003</v>
      </c>
      <c r="T130">
        <v>3.23</v>
      </c>
      <c r="U130">
        <v>3.04</v>
      </c>
      <c r="V130">
        <v>3.29</v>
      </c>
      <c r="W130">
        <v>3.3000000000000003</v>
      </c>
      <c r="X130">
        <v>3.09</v>
      </c>
    </row>
    <row r="131" spans="8:24" x14ac:dyDescent="0.2">
      <c r="H131" s="122">
        <f>Sheet1!A130</f>
        <v>38640</v>
      </c>
      <c r="I131">
        <v>3.24</v>
      </c>
      <c r="J131">
        <v>3.39</v>
      </c>
      <c r="K131">
        <v>3.19</v>
      </c>
      <c r="L131">
        <v>3.44</v>
      </c>
      <c r="M131">
        <v>3.45</v>
      </c>
      <c r="N131">
        <v>3.2800000000000002</v>
      </c>
      <c r="S131">
        <v>3.24</v>
      </c>
      <c r="T131">
        <v>3.39</v>
      </c>
      <c r="U131">
        <v>3.19</v>
      </c>
      <c r="V131">
        <v>3.44</v>
      </c>
      <c r="W131">
        <v>3.45</v>
      </c>
      <c r="X131">
        <v>3.2800000000000002</v>
      </c>
    </row>
    <row r="132" spans="8:24" x14ac:dyDescent="0.2">
      <c r="H132" s="122">
        <f>Sheet1!A131</f>
        <v>38671</v>
      </c>
      <c r="I132">
        <v>3.45</v>
      </c>
      <c r="J132">
        <v>3.58</v>
      </c>
      <c r="K132">
        <v>3.4</v>
      </c>
      <c r="L132">
        <v>3.66</v>
      </c>
      <c r="M132">
        <v>3.67</v>
      </c>
      <c r="N132">
        <v>3.48</v>
      </c>
      <c r="S132">
        <v>3.45</v>
      </c>
      <c r="T132">
        <v>3.58</v>
      </c>
      <c r="U132">
        <v>3.4</v>
      </c>
      <c r="V132">
        <v>3.66</v>
      </c>
      <c r="W132">
        <v>3.67</v>
      </c>
      <c r="X132">
        <v>3.48</v>
      </c>
    </row>
    <row r="133" spans="8:24" x14ac:dyDescent="0.2">
      <c r="H133" s="122">
        <f>Sheet1!A132</f>
        <v>38701</v>
      </c>
      <c r="I133">
        <v>3.34</v>
      </c>
      <c r="J133">
        <v>3.46</v>
      </c>
      <c r="K133">
        <v>3.36</v>
      </c>
      <c r="L133">
        <v>3.5500000000000003</v>
      </c>
      <c r="M133">
        <v>3.5700000000000003</v>
      </c>
      <c r="N133">
        <v>3.37</v>
      </c>
      <c r="S133">
        <v>3.34</v>
      </c>
      <c r="T133">
        <v>3.46</v>
      </c>
      <c r="U133">
        <v>3.36</v>
      </c>
      <c r="V133">
        <v>3.5500000000000003</v>
      </c>
      <c r="W133">
        <v>3.5700000000000003</v>
      </c>
      <c r="X133">
        <v>3.37</v>
      </c>
    </row>
    <row r="134" spans="8:24" x14ac:dyDescent="0.2">
      <c r="H134" s="122">
        <f>Sheet1!A133</f>
        <v>38732</v>
      </c>
      <c r="I134">
        <v>3.3200000000000003</v>
      </c>
      <c r="J134">
        <v>3.45</v>
      </c>
      <c r="K134">
        <v>3.3200000000000003</v>
      </c>
      <c r="L134">
        <v>3.54</v>
      </c>
      <c r="M134">
        <v>3.6</v>
      </c>
      <c r="N134">
        <v>3.33</v>
      </c>
      <c r="S134">
        <v>3.3200000000000003</v>
      </c>
      <c r="T134">
        <v>3.45</v>
      </c>
      <c r="U134">
        <v>3.3200000000000003</v>
      </c>
      <c r="V134">
        <v>3.54</v>
      </c>
      <c r="W134">
        <v>3.6</v>
      </c>
      <c r="X134">
        <v>3.33</v>
      </c>
    </row>
    <row r="135" spans="8:24" x14ac:dyDescent="0.2">
      <c r="H135" s="122">
        <f>Sheet1!A134</f>
        <v>38763</v>
      </c>
      <c r="I135">
        <v>3.47</v>
      </c>
      <c r="J135">
        <v>3.6</v>
      </c>
      <c r="K135">
        <v>3.47</v>
      </c>
      <c r="L135">
        <v>3.7</v>
      </c>
      <c r="M135">
        <v>3.77</v>
      </c>
      <c r="N135">
        <v>3.48</v>
      </c>
      <c r="S135">
        <v>3.47</v>
      </c>
      <c r="T135">
        <v>3.6</v>
      </c>
      <c r="U135">
        <v>3.47</v>
      </c>
      <c r="V135">
        <v>3.7</v>
      </c>
      <c r="W135">
        <v>3.77</v>
      </c>
      <c r="X135">
        <v>3.48</v>
      </c>
    </row>
    <row r="136" spans="8:24" x14ac:dyDescent="0.2">
      <c r="H136" s="122">
        <f>Sheet1!A135</f>
        <v>38791</v>
      </c>
      <c r="I136">
        <v>3.64</v>
      </c>
      <c r="J136">
        <v>3.77</v>
      </c>
      <c r="K136">
        <v>3.65</v>
      </c>
      <c r="L136">
        <v>3.92</v>
      </c>
      <c r="M136">
        <v>3.95</v>
      </c>
      <c r="N136">
        <v>3.66</v>
      </c>
      <c r="S136">
        <v>3.64</v>
      </c>
      <c r="T136">
        <v>3.77</v>
      </c>
      <c r="U136">
        <v>3.65</v>
      </c>
      <c r="V136">
        <v>3.92</v>
      </c>
      <c r="W136">
        <v>3.95</v>
      </c>
      <c r="X136">
        <v>3.66</v>
      </c>
    </row>
    <row r="137" spans="8:24" x14ac:dyDescent="0.2">
      <c r="H137" s="122">
        <f>Sheet1!A136</f>
        <v>38822</v>
      </c>
      <c r="I137">
        <v>3.89</v>
      </c>
      <c r="J137">
        <v>4.03</v>
      </c>
      <c r="K137">
        <v>3.9</v>
      </c>
      <c r="L137">
        <v>4.22</v>
      </c>
      <c r="M137">
        <v>4.2300000000000004</v>
      </c>
      <c r="N137">
        <v>3.92</v>
      </c>
      <c r="S137">
        <v>3.89</v>
      </c>
      <c r="T137">
        <v>4.03</v>
      </c>
      <c r="U137">
        <v>3.9</v>
      </c>
      <c r="V137">
        <v>4.22</v>
      </c>
      <c r="W137">
        <v>4.2300000000000004</v>
      </c>
      <c r="X137">
        <v>3.92</v>
      </c>
    </row>
    <row r="138" spans="8:24" x14ac:dyDescent="0.2">
      <c r="H138" s="122">
        <f>Sheet1!A137</f>
        <v>38852</v>
      </c>
      <c r="I138">
        <v>3.96</v>
      </c>
      <c r="J138">
        <v>4.07</v>
      </c>
      <c r="K138">
        <v>3.96</v>
      </c>
      <c r="L138">
        <v>4.28</v>
      </c>
      <c r="M138">
        <v>4.3</v>
      </c>
      <c r="N138">
        <v>3.99</v>
      </c>
      <c r="S138">
        <v>3.96</v>
      </c>
      <c r="T138">
        <v>4.07</v>
      </c>
      <c r="U138">
        <v>3.96</v>
      </c>
      <c r="V138">
        <v>4.28</v>
      </c>
      <c r="W138">
        <v>4.3</v>
      </c>
      <c r="X138">
        <v>3.99</v>
      </c>
    </row>
    <row r="139" spans="8:24" x14ac:dyDescent="0.2">
      <c r="H139" s="122">
        <f>Sheet1!A138</f>
        <v>38883</v>
      </c>
      <c r="I139">
        <v>3.96</v>
      </c>
      <c r="J139">
        <v>4.0999999999999996</v>
      </c>
      <c r="K139">
        <v>3.98</v>
      </c>
      <c r="L139">
        <v>4.3</v>
      </c>
      <c r="M139">
        <v>4.3100000000000005</v>
      </c>
      <c r="N139">
        <v>3.99</v>
      </c>
      <c r="S139">
        <v>3.96</v>
      </c>
      <c r="T139">
        <v>4.0999999999999996</v>
      </c>
      <c r="U139">
        <v>3.98</v>
      </c>
      <c r="V139">
        <v>4.3</v>
      </c>
      <c r="W139">
        <v>4.3100000000000005</v>
      </c>
      <c r="X139">
        <v>3.99</v>
      </c>
    </row>
    <row r="140" spans="8:24" x14ac:dyDescent="0.2">
      <c r="H140" s="122">
        <f>Sheet1!A139</f>
        <v>38913</v>
      </c>
      <c r="I140">
        <v>4.01</v>
      </c>
      <c r="J140">
        <v>4.1399999999999997</v>
      </c>
      <c r="K140">
        <v>4</v>
      </c>
      <c r="L140">
        <v>4.3100000000000005</v>
      </c>
      <c r="M140">
        <v>4.33</v>
      </c>
      <c r="N140">
        <v>4.0200000000000005</v>
      </c>
      <c r="S140">
        <v>4.01</v>
      </c>
      <c r="T140">
        <v>4.1399999999999997</v>
      </c>
      <c r="U140">
        <v>4</v>
      </c>
      <c r="V140">
        <v>4.3100000000000005</v>
      </c>
      <c r="W140">
        <v>4.33</v>
      </c>
      <c r="X140">
        <v>4.0200000000000005</v>
      </c>
    </row>
    <row r="141" spans="8:24" x14ac:dyDescent="0.2">
      <c r="H141" s="122">
        <f>Sheet1!A140</f>
        <v>38944</v>
      </c>
      <c r="I141">
        <v>3.88</v>
      </c>
      <c r="J141">
        <v>4.0600000000000005</v>
      </c>
      <c r="K141">
        <v>3.88</v>
      </c>
      <c r="L141">
        <v>4.17</v>
      </c>
      <c r="M141">
        <v>4.1900000000000004</v>
      </c>
      <c r="N141">
        <v>3.89</v>
      </c>
      <c r="S141">
        <v>3.88</v>
      </c>
      <c r="T141">
        <v>4.0600000000000005</v>
      </c>
      <c r="U141">
        <v>3.88</v>
      </c>
      <c r="V141">
        <v>4.17</v>
      </c>
      <c r="W141">
        <v>4.1900000000000004</v>
      </c>
      <c r="X141">
        <v>3.89</v>
      </c>
    </row>
    <row r="142" spans="8:24" x14ac:dyDescent="0.2">
      <c r="H142" s="122">
        <f>Sheet1!A141</f>
        <v>38975</v>
      </c>
      <c r="I142">
        <v>3.75</v>
      </c>
      <c r="J142">
        <v>3.93</v>
      </c>
      <c r="K142">
        <v>3.7600000000000002</v>
      </c>
      <c r="L142">
        <v>4.04</v>
      </c>
      <c r="M142">
        <v>4.0600000000000005</v>
      </c>
      <c r="N142">
        <v>3.7600000000000002</v>
      </c>
      <c r="S142">
        <v>3.75</v>
      </c>
      <c r="T142">
        <v>3.93</v>
      </c>
      <c r="U142">
        <v>3.7600000000000002</v>
      </c>
      <c r="V142">
        <v>4.04</v>
      </c>
      <c r="W142">
        <v>4.0600000000000005</v>
      </c>
      <c r="X142">
        <v>3.7600000000000002</v>
      </c>
    </row>
    <row r="143" spans="8:24" x14ac:dyDescent="0.2">
      <c r="H143" s="122">
        <f>Sheet1!A142</f>
        <v>39005</v>
      </c>
      <c r="I143">
        <v>3.79</v>
      </c>
      <c r="J143">
        <v>3.98</v>
      </c>
      <c r="K143">
        <v>3.7800000000000002</v>
      </c>
      <c r="L143">
        <v>4.07</v>
      </c>
      <c r="M143">
        <v>4.08</v>
      </c>
      <c r="N143">
        <v>3.81</v>
      </c>
      <c r="S143">
        <v>3.79</v>
      </c>
      <c r="T143">
        <v>3.98</v>
      </c>
      <c r="U143">
        <v>3.7800000000000002</v>
      </c>
      <c r="V143">
        <v>4.07</v>
      </c>
      <c r="W143">
        <v>4.08</v>
      </c>
      <c r="X143">
        <v>3.81</v>
      </c>
    </row>
    <row r="144" spans="8:24" x14ac:dyDescent="0.2">
      <c r="H144" s="122">
        <f>Sheet1!A143</f>
        <v>39036</v>
      </c>
      <c r="I144">
        <v>3.71</v>
      </c>
      <c r="J144">
        <v>3.89</v>
      </c>
      <c r="K144">
        <v>3.72</v>
      </c>
      <c r="L144">
        <v>3.97</v>
      </c>
      <c r="M144">
        <v>3.98</v>
      </c>
      <c r="N144">
        <v>3.75</v>
      </c>
      <c r="S144">
        <v>3.71</v>
      </c>
      <c r="T144">
        <v>3.89</v>
      </c>
      <c r="U144">
        <v>3.72</v>
      </c>
      <c r="V144">
        <v>3.97</v>
      </c>
      <c r="W144">
        <v>3.98</v>
      </c>
      <c r="X144">
        <v>3.75</v>
      </c>
    </row>
    <row r="145" spans="8:24" x14ac:dyDescent="0.2">
      <c r="H145" s="122">
        <f>Sheet1!A144</f>
        <v>39066</v>
      </c>
      <c r="I145">
        <v>3.77</v>
      </c>
      <c r="J145">
        <v>3.96</v>
      </c>
      <c r="K145">
        <v>3.7600000000000002</v>
      </c>
      <c r="L145">
        <v>4.04</v>
      </c>
      <c r="M145">
        <v>4.04</v>
      </c>
      <c r="N145">
        <v>3.8200000000000003</v>
      </c>
      <c r="S145">
        <v>3.77</v>
      </c>
      <c r="T145">
        <v>3.96</v>
      </c>
      <c r="U145">
        <v>3.7600000000000002</v>
      </c>
      <c r="V145">
        <v>4.04</v>
      </c>
      <c r="W145">
        <v>4.04</v>
      </c>
      <c r="X145">
        <v>3.8200000000000003</v>
      </c>
    </row>
    <row r="146" spans="8:24" x14ac:dyDescent="0.2">
      <c r="H146" s="122">
        <f>Sheet1!A145</f>
        <v>39097</v>
      </c>
      <c r="I146">
        <v>4.0200000000000005</v>
      </c>
      <c r="J146">
        <v>4.18</v>
      </c>
      <c r="K146">
        <v>4.04</v>
      </c>
      <c r="L146">
        <v>4.26</v>
      </c>
      <c r="M146">
        <v>4.28</v>
      </c>
      <c r="N146">
        <v>4.07</v>
      </c>
      <c r="S146">
        <v>4.0200000000000005</v>
      </c>
      <c r="T146">
        <v>4.18</v>
      </c>
      <c r="U146">
        <v>4.04</v>
      </c>
      <c r="V146">
        <v>4.26</v>
      </c>
      <c r="W146">
        <v>4.28</v>
      </c>
      <c r="X146">
        <v>4.07</v>
      </c>
    </row>
    <row r="147" spans="8:24" x14ac:dyDescent="0.2">
      <c r="H147" s="122">
        <f>Sheet1!A146</f>
        <v>39128</v>
      </c>
      <c r="I147">
        <v>4.05</v>
      </c>
      <c r="J147">
        <v>4.1900000000000004</v>
      </c>
      <c r="K147">
        <v>4.07</v>
      </c>
      <c r="L147">
        <v>4.28</v>
      </c>
      <c r="M147">
        <v>4.3</v>
      </c>
      <c r="N147">
        <v>4.0999999999999996</v>
      </c>
      <c r="S147">
        <v>4.05</v>
      </c>
      <c r="T147">
        <v>4.1900000000000004</v>
      </c>
      <c r="U147">
        <v>4.07</v>
      </c>
      <c r="V147">
        <v>4.28</v>
      </c>
      <c r="W147">
        <v>4.3</v>
      </c>
      <c r="X147">
        <v>4.0999999999999996</v>
      </c>
    </row>
    <row r="148" spans="8:24" x14ac:dyDescent="0.2">
      <c r="H148" s="122">
        <f>Sheet1!A147</f>
        <v>39156</v>
      </c>
      <c r="I148">
        <v>3.94</v>
      </c>
      <c r="J148">
        <v>4.0999999999999996</v>
      </c>
      <c r="K148">
        <v>3.97</v>
      </c>
      <c r="L148">
        <v>4.18</v>
      </c>
      <c r="M148">
        <v>4.2</v>
      </c>
      <c r="N148">
        <v>4.01</v>
      </c>
      <c r="S148">
        <v>3.94</v>
      </c>
      <c r="T148">
        <v>4.0999999999999996</v>
      </c>
      <c r="U148">
        <v>3.97</v>
      </c>
      <c r="V148">
        <v>4.18</v>
      </c>
      <c r="W148">
        <v>4.2</v>
      </c>
      <c r="X148">
        <v>4.01</v>
      </c>
    </row>
    <row r="149" spans="8:24" x14ac:dyDescent="0.2">
      <c r="H149" s="122">
        <f>Sheet1!A148</f>
        <v>39187</v>
      </c>
      <c r="I149">
        <v>4.1500000000000004</v>
      </c>
      <c r="J149">
        <v>4.3</v>
      </c>
      <c r="K149">
        <v>4.1900000000000004</v>
      </c>
      <c r="L149">
        <v>4.37</v>
      </c>
      <c r="M149">
        <v>4.4000000000000004</v>
      </c>
      <c r="N149">
        <v>4.21</v>
      </c>
      <c r="S149">
        <v>4.1500000000000004</v>
      </c>
      <c r="T149">
        <v>4.3</v>
      </c>
      <c r="U149">
        <v>4.1900000000000004</v>
      </c>
      <c r="V149">
        <v>4.37</v>
      </c>
      <c r="W149">
        <v>4.4000000000000004</v>
      </c>
      <c r="X149">
        <v>4.21</v>
      </c>
    </row>
    <row r="150" spans="8:24" x14ac:dyDescent="0.2">
      <c r="H150" s="122">
        <f>Sheet1!A149</f>
        <v>39217</v>
      </c>
      <c r="I150">
        <v>4.28</v>
      </c>
      <c r="J150">
        <v>4.4400000000000004</v>
      </c>
      <c r="K150">
        <v>4.32</v>
      </c>
      <c r="L150">
        <v>4.49</v>
      </c>
      <c r="M150">
        <v>4.51</v>
      </c>
      <c r="N150">
        <v>4.34</v>
      </c>
      <c r="S150">
        <v>4.28</v>
      </c>
      <c r="T150">
        <v>4.4400000000000004</v>
      </c>
      <c r="U150">
        <v>4.32</v>
      </c>
      <c r="V150">
        <v>4.49</v>
      </c>
      <c r="W150">
        <v>4.51</v>
      </c>
      <c r="X150">
        <v>4.34</v>
      </c>
    </row>
    <row r="151" spans="8:24" x14ac:dyDescent="0.2">
      <c r="H151" s="122">
        <f>Sheet1!A150</f>
        <v>39248</v>
      </c>
      <c r="I151">
        <v>4.5600000000000005</v>
      </c>
      <c r="J151">
        <v>4.74</v>
      </c>
      <c r="K151">
        <v>4.62</v>
      </c>
      <c r="L151">
        <v>4.7700000000000005</v>
      </c>
      <c r="M151">
        <v>4.8</v>
      </c>
      <c r="N151">
        <v>4.62</v>
      </c>
      <c r="S151">
        <v>4.5600000000000005</v>
      </c>
      <c r="T151">
        <v>4.74</v>
      </c>
      <c r="U151">
        <v>4.62</v>
      </c>
      <c r="V151">
        <v>4.7700000000000005</v>
      </c>
      <c r="W151">
        <v>4.8</v>
      </c>
      <c r="X151">
        <v>4.62</v>
      </c>
    </row>
    <row r="152" spans="8:24" x14ac:dyDescent="0.2">
      <c r="H152" s="122">
        <f>Sheet1!A151</f>
        <v>39278</v>
      </c>
      <c r="I152">
        <v>4.5</v>
      </c>
      <c r="J152">
        <v>4.7300000000000004</v>
      </c>
      <c r="K152">
        <v>4.59</v>
      </c>
      <c r="L152">
        <v>4.76</v>
      </c>
      <c r="M152">
        <v>4.79</v>
      </c>
      <c r="N152">
        <v>4.6000000000000005</v>
      </c>
      <c r="S152">
        <v>4.5</v>
      </c>
      <c r="T152">
        <v>4.7300000000000004</v>
      </c>
      <c r="U152">
        <v>4.59</v>
      </c>
      <c r="V152">
        <v>4.76</v>
      </c>
      <c r="W152">
        <v>4.79</v>
      </c>
      <c r="X152">
        <v>4.6000000000000005</v>
      </c>
    </row>
    <row r="153" spans="8:24" x14ac:dyDescent="0.2">
      <c r="H153" s="122">
        <f>Sheet1!A152</f>
        <v>39309</v>
      </c>
      <c r="I153">
        <v>4.3</v>
      </c>
      <c r="J153">
        <v>4.5600000000000005</v>
      </c>
      <c r="K153">
        <v>4.4000000000000004</v>
      </c>
      <c r="L153">
        <v>4.58</v>
      </c>
      <c r="M153">
        <v>4.62</v>
      </c>
      <c r="N153">
        <v>4.4000000000000004</v>
      </c>
      <c r="S153">
        <v>4.3</v>
      </c>
      <c r="T153">
        <v>4.5600000000000005</v>
      </c>
      <c r="U153">
        <v>4.4000000000000004</v>
      </c>
      <c r="V153">
        <v>4.58</v>
      </c>
      <c r="W153">
        <v>4.62</v>
      </c>
      <c r="X153">
        <v>4.4000000000000004</v>
      </c>
    </row>
    <row r="154" spans="8:24" x14ac:dyDescent="0.2">
      <c r="H154" s="122">
        <f>Sheet1!A153</f>
        <v>39340</v>
      </c>
      <c r="I154">
        <v>4.22</v>
      </c>
      <c r="J154">
        <v>4.5</v>
      </c>
      <c r="K154">
        <v>4.32</v>
      </c>
      <c r="L154">
        <v>4.57</v>
      </c>
      <c r="M154">
        <v>4.5600000000000005</v>
      </c>
      <c r="N154">
        <v>4.3600000000000003</v>
      </c>
      <c r="S154">
        <v>4.22</v>
      </c>
      <c r="T154">
        <v>4.5</v>
      </c>
      <c r="U154">
        <v>4.32</v>
      </c>
      <c r="V154">
        <v>4.57</v>
      </c>
      <c r="W154">
        <v>4.5600000000000005</v>
      </c>
      <c r="X154">
        <v>4.3600000000000003</v>
      </c>
    </row>
    <row r="155" spans="8:24" x14ac:dyDescent="0.2">
      <c r="H155" s="122">
        <f>Sheet1!A154</f>
        <v>39370</v>
      </c>
      <c r="I155">
        <v>4.28</v>
      </c>
      <c r="J155">
        <v>4.5200000000000005</v>
      </c>
      <c r="K155">
        <v>4.3899999999999997</v>
      </c>
      <c r="L155">
        <v>4.59</v>
      </c>
      <c r="M155">
        <v>4.58</v>
      </c>
      <c r="N155">
        <v>4.38</v>
      </c>
      <c r="S155">
        <v>4.28</v>
      </c>
      <c r="T155">
        <v>4.5200000000000005</v>
      </c>
      <c r="U155">
        <v>4.3899999999999997</v>
      </c>
      <c r="V155">
        <v>4.59</v>
      </c>
      <c r="W155">
        <v>4.58</v>
      </c>
      <c r="X155">
        <v>4.38</v>
      </c>
    </row>
    <row r="156" spans="8:24" x14ac:dyDescent="0.2">
      <c r="H156" s="122">
        <f>Sheet1!A155</f>
        <v>39401</v>
      </c>
      <c r="I156">
        <v>4.09</v>
      </c>
      <c r="J156">
        <v>4.3600000000000003</v>
      </c>
      <c r="K156">
        <v>4.3100000000000005</v>
      </c>
      <c r="L156">
        <v>4.45</v>
      </c>
      <c r="M156">
        <v>4.43</v>
      </c>
      <c r="N156">
        <v>4.25</v>
      </c>
      <c r="S156">
        <v>4.09</v>
      </c>
      <c r="T156">
        <v>4.3600000000000003</v>
      </c>
      <c r="U156">
        <v>4.3100000000000005</v>
      </c>
      <c r="V156">
        <v>4.45</v>
      </c>
      <c r="W156">
        <v>4.43</v>
      </c>
      <c r="X156">
        <v>4.25</v>
      </c>
    </row>
    <row r="157" spans="8:24" x14ac:dyDescent="0.2">
      <c r="H157" s="122">
        <f>Sheet1!A156</f>
        <v>39431</v>
      </c>
      <c r="I157">
        <v>4.21</v>
      </c>
      <c r="J157">
        <v>4.47</v>
      </c>
      <c r="K157">
        <v>4.45</v>
      </c>
      <c r="L157">
        <v>4.54</v>
      </c>
      <c r="M157">
        <v>4.53</v>
      </c>
      <c r="N157">
        <v>4.3500000000000005</v>
      </c>
      <c r="S157">
        <v>4.21</v>
      </c>
      <c r="T157">
        <v>4.47</v>
      </c>
      <c r="U157">
        <v>4.45</v>
      </c>
      <c r="V157">
        <v>4.54</v>
      </c>
      <c r="W157">
        <v>4.53</v>
      </c>
      <c r="X157">
        <v>4.3500000000000005</v>
      </c>
    </row>
    <row r="158" spans="8:24" x14ac:dyDescent="0.2">
      <c r="H158" s="122">
        <f>Sheet1!A157</f>
        <v>39462</v>
      </c>
      <c r="I158">
        <v>4.03</v>
      </c>
      <c r="J158">
        <v>4.3100000000000005</v>
      </c>
      <c r="K158">
        <v>4.25</v>
      </c>
      <c r="L158">
        <v>4.4000000000000004</v>
      </c>
      <c r="M158">
        <v>4.4000000000000004</v>
      </c>
      <c r="N158">
        <v>4.18</v>
      </c>
      <c r="S158">
        <v>4.03</v>
      </c>
      <c r="T158">
        <v>4.3100000000000005</v>
      </c>
      <c r="U158">
        <v>4.25</v>
      </c>
      <c r="V158">
        <v>4.4000000000000004</v>
      </c>
      <c r="W158">
        <v>4.4000000000000004</v>
      </c>
      <c r="X158">
        <v>4.18</v>
      </c>
    </row>
    <row r="159" spans="8:24" x14ac:dyDescent="0.2">
      <c r="H159" s="122">
        <f>Sheet1!A158</f>
        <v>39493</v>
      </c>
      <c r="I159">
        <v>3.95</v>
      </c>
      <c r="J159">
        <v>4.2700000000000005</v>
      </c>
      <c r="K159">
        <v>4.21</v>
      </c>
      <c r="L159">
        <v>4.3500000000000005</v>
      </c>
      <c r="M159">
        <v>4.3600000000000003</v>
      </c>
      <c r="N159">
        <v>4.1500000000000004</v>
      </c>
      <c r="S159">
        <v>3.95</v>
      </c>
      <c r="T159">
        <v>4.2700000000000005</v>
      </c>
      <c r="U159">
        <v>4.21</v>
      </c>
      <c r="V159">
        <v>4.3500000000000005</v>
      </c>
      <c r="W159">
        <v>4.3600000000000003</v>
      </c>
      <c r="X159">
        <v>4.1500000000000004</v>
      </c>
    </row>
    <row r="160" spans="8:24" x14ac:dyDescent="0.2">
      <c r="H160" s="122">
        <f>Sheet1!A159</f>
        <v>39522</v>
      </c>
      <c r="I160">
        <v>3.8000000000000003</v>
      </c>
      <c r="J160">
        <v>4.3600000000000003</v>
      </c>
      <c r="K160">
        <v>4.17</v>
      </c>
      <c r="L160">
        <v>4.38</v>
      </c>
      <c r="M160">
        <v>4.42</v>
      </c>
      <c r="N160">
        <v>4.12</v>
      </c>
      <c r="S160">
        <v>3.8000000000000003</v>
      </c>
      <c r="T160">
        <v>4.3600000000000003</v>
      </c>
      <c r="U160">
        <v>4.17</v>
      </c>
      <c r="V160">
        <v>4.38</v>
      </c>
      <c r="W160">
        <v>4.42</v>
      </c>
      <c r="X160">
        <v>4.12</v>
      </c>
    </row>
    <row r="161" spans="8:24" x14ac:dyDescent="0.2">
      <c r="H161" s="122">
        <f>Sheet1!A160</f>
        <v>39553</v>
      </c>
      <c r="I161">
        <v>4.04</v>
      </c>
      <c r="J161">
        <v>4.5200000000000005</v>
      </c>
      <c r="K161">
        <v>4.4400000000000004</v>
      </c>
      <c r="L161">
        <v>4.53</v>
      </c>
      <c r="M161">
        <v>4.54</v>
      </c>
      <c r="N161">
        <v>4.32</v>
      </c>
      <c r="S161">
        <v>4.04</v>
      </c>
      <c r="T161">
        <v>4.5200000000000005</v>
      </c>
      <c r="U161">
        <v>4.4400000000000004</v>
      </c>
      <c r="V161">
        <v>4.53</v>
      </c>
      <c r="W161">
        <v>4.54</v>
      </c>
      <c r="X161">
        <v>4.32</v>
      </c>
    </row>
    <row r="162" spans="8:24" x14ac:dyDescent="0.2">
      <c r="H162" s="122">
        <f>Sheet1!A161</f>
        <v>39583</v>
      </c>
      <c r="I162">
        <v>4.2</v>
      </c>
      <c r="J162">
        <v>4.6000000000000005</v>
      </c>
      <c r="K162">
        <v>4.58</v>
      </c>
      <c r="L162">
        <v>4.7</v>
      </c>
      <c r="M162">
        <v>4.74</v>
      </c>
      <c r="N162">
        <v>4.43</v>
      </c>
      <c r="S162">
        <v>4.2</v>
      </c>
      <c r="T162">
        <v>4.6000000000000005</v>
      </c>
      <c r="U162">
        <v>4.58</v>
      </c>
      <c r="V162">
        <v>4.7</v>
      </c>
      <c r="W162">
        <v>4.74</v>
      </c>
      <c r="X162">
        <v>4.43</v>
      </c>
    </row>
    <row r="163" spans="8:24" x14ac:dyDescent="0.2">
      <c r="H163" s="122">
        <f>Sheet1!A162</f>
        <v>39614</v>
      </c>
      <c r="I163">
        <v>4.5200000000000005</v>
      </c>
      <c r="J163">
        <v>4.96</v>
      </c>
      <c r="K163">
        <v>4.91</v>
      </c>
      <c r="L163">
        <v>5.1100000000000003</v>
      </c>
      <c r="M163">
        <v>5.17</v>
      </c>
      <c r="N163">
        <v>4.79</v>
      </c>
      <c r="S163">
        <v>4.5200000000000005</v>
      </c>
      <c r="T163">
        <v>4.96</v>
      </c>
      <c r="U163">
        <v>4.91</v>
      </c>
      <c r="V163">
        <v>5.1100000000000003</v>
      </c>
      <c r="W163">
        <v>5.17</v>
      </c>
      <c r="X163">
        <v>4.79</v>
      </c>
    </row>
    <row r="164" spans="8:24" x14ac:dyDescent="0.2">
      <c r="H164" s="122">
        <f>Sheet1!A163</f>
        <v>39644</v>
      </c>
      <c r="I164">
        <v>4.49</v>
      </c>
      <c r="J164">
        <v>4.95</v>
      </c>
      <c r="K164">
        <v>4.92</v>
      </c>
      <c r="L164">
        <v>5.1000000000000005</v>
      </c>
      <c r="M164">
        <v>5.15</v>
      </c>
      <c r="N164">
        <v>4.8</v>
      </c>
      <c r="S164">
        <v>4.49</v>
      </c>
      <c r="T164">
        <v>4.95</v>
      </c>
      <c r="U164">
        <v>4.92</v>
      </c>
      <c r="V164">
        <v>5.1000000000000005</v>
      </c>
      <c r="W164">
        <v>5.15</v>
      </c>
      <c r="X164">
        <v>4.8</v>
      </c>
    </row>
    <row r="165" spans="8:24" x14ac:dyDescent="0.2">
      <c r="H165" s="122">
        <f>Sheet1!A164</f>
        <v>39675</v>
      </c>
      <c r="I165">
        <v>4.2</v>
      </c>
      <c r="J165">
        <v>4.6900000000000004</v>
      </c>
      <c r="K165">
        <v>4.59</v>
      </c>
      <c r="L165">
        <v>4.8100000000000005</v>
      </c>
      <c r="M165">
        <v>4.87</v>
      </c>
      <c r="N165">
        <v>4.5600000000000005</v>
      </c>
      <c r="S165">
        <v>4.2</v>
      </c>
      <c r="T165">
        <v>4.6900000000000004</v>
      </c>
      <c r="U165">
        <v>4.59</v>
      </c>
      <c r="V165">
        <v>4.8100000000000005</v>
      </c>
      <c r="W165">
        <v>4.87</v>
      </c>
      <c r="X165">
        <v>4.5600000000000005</v>
      </c>
    </row>
    <row r="166" spans="8:24" x14ac:dyDescent="0.2">
      <c r="H166" s="122">
        <f>Sheet1!A165</f>
        <v>39706</v>
      </c>
      <c r="I166">
        <v>4.09</v>
      </c>
      <c r="J166">
        <v>4.66</v>
      </c>
      <c r="K166">
        <v>4.5600000000000005</v>
      </c>
      <c r="L166">
        <v>4.8</v>
      </c>
      <c r="M166">
        <v>4.88</v>
      </c>
      <c r="N166">
        <v>4.57</v>
      </c>
      <c r="S166">
        <v>4.09</v>
      </c>
      <c r="T166">
        <v>4.66</v>
      </c>
      <c r="U166">
        <v>4.5600000000000005</v>
      </c>
      <c r="V166">
        <v>4.8</v>
      </c>
      <c r="W166">
        <v>4.88</v>
      </c>
      <c r="X166">
        <v>4.57</v>
      </c>
    </row>
    <row r="167" spans="8:24" x14ac:dyDescent="0.2">
      <c r="H167" s="122">
        <f>Sheet1!A166</f>
        <v>39736</v>
      </c>
      <c r="I167">
        <v>3.88</v>
      </c>
      <c r="J167">
        <v>4.5600000000000005</v>
      </c>
      <c r="K167">
        <v>4.55</v>
      </c>
      <c r="L167">
        <v>4.78</v>
      </c>
      <c r="M167">
        <v>4.93</v>
      </c>
      <c r="N167">
        <v>4.46</v>
      </c>
      <c r="S167">
        <v>3.88</v>
      </c>
      <c r="T167">
        <v>4.5600000000000005</v>
      </c>
      <c r="U167">
        <v>4.55</v>
      </c>
      <c r="V167">
        <v>4.78</v>
      </c>
      <c r="W167">
        <v>4.93</v>
      </c>
      <c r="X167">
        <v>4.46</v>
      </c>
    </row>
    <row r="168" spans="8:24" x14ac:dyDescent="0.2">
      <c r="H168" s="122">
        <f>Sheet1!A167</f>
        <v>39767</v>
      </c>
      <c r="I168">
        <v>3.56</v>
      </c>
      <c r="J168">
        <v>4.3500000000000005</v>
      </c>
      <c r="K168">
        <v>4.5600000000000005</v>
      </c>
      <c r="L168">
        <v>4.74</v>
      </c>
      <c r="M168">
        <v>5.09</v>
      </c>
      <c r="N168">
        <v>4.1500000000000004</v>
      </c>
      <c r="S168">
        <v>3.56</v>
      </c>
      <c r="T168">
        <v>4.3500000000000005</v>
      </c>
      <c r="U168">
        <v>4.5600000000000005</v>
      </c>
      <c r="V168">
        <v>4.74</v>
      </c>
      <c r="W168">
        <v>5.09</v>
      </c>
      <c r="X168">
        <v>4.1500000000000004</v>
      </c>
    </row>
    <row r="169" spans="8:24" x14ac:dyDescent="0.2">
      <c r="H169" s="122">
        <f>Sheet1!A168</f>
        <v>39797</v>
      </c>
      <c r="I169">
        <v>3.0500000000000003</v>
      </c>
      <c r="J169">
        <v>4</v>
      </c>
      <c r="K169">
        <v>4.57</v>
      </c>
      <c r="L169">
        <v>4.47</v>
      </c>
      <c r="M169">
        <v>5.08</v>
      </c>
      <c r="N169">
        <v>3.86</v>
      </c>
      <c r="S169">
        <v>3.0500000000000003</v>
      </c>
      <c r="T169">
        <v>4</v>
      </c>
      <c r="U169">
        <v>4.57</v>
      </c>
      <c r="V169">
        <v>4.47</v>
      </c>
      <c r="W169">
        <v>5.08</v>
      </c>
      <c r="X169">
        <v>3.86</v>
      </c>
    </row>
    <row r="170" spans="8:24" x14ac:dyDescent="0.2">
      <c r="H170" s="122">
        <f>Sheet1!A169</f>
        <v>39828</v>
      </c>
      <c r="I170">
        <v>3.0700000000000003</v>
      </c>
      <c r="J170">
        <v>4.32</v>
      </c>
      <c r="K170">
        <v>5.2</v>
      </c>
      <c r="L170">
        <v>4.62</v>
      </c>
      <c r="M170">
        <v>5.6000000000000005</v>
      </c>
      <c r="N170">
        <v>4.1500000000000004</v>
      </c>
      <c r="S170">
        <v>3.0700000000000003</v>
      </c>
      <c r="T170">
        <v>4.32</v>
      </c>
      <c r="U170">
        <v>5.2</v>
      </c>
      <c r="V170">
        <v>4.62</v>
      </c>
      <c r="W170">
        <v>5.6000000000000005</v>
      </c>
      <c r="X170">
        <v>4.1500000000000004</v>
      </c>
    </row>
    <row r="171" spans="8:24" x14ac:dyDescent="0.2">
      <c r="H171" s="122">
        <f>Sheet1!A170</f>
        <v>39859</v>
      </c>
      <c r="I171">
        <v>3.13</v>
      </c>
      <c r="J171">
        <v>4.5200000000000005</v>
      </c>
      <c r="K171">
        <v>5.65</v>
      </c>
      <c r="L171">
        <v>4.54</v>
      </c>
      <c r="M171">
        <v>5.7</v>
      </c>
      <c r="N171">
        <v>4.2300000000000004</v>
      </c>
      <c r="S171">
        <v>3.13</v>
      </c>
      <c r="T171">
        <v>4.5200000000000005</v>
      </c>
      <c r="U171">
        <v>5.65</v>
      </c>
      <c r="V171">
        <v>4.54</v>
      </c>
      <c r="W171">
        <v>5.7</v>
      </c>
      <c r="X171">
        <v>4.2300000000000004</v>
      </c>
    </row>
    <row r="172" spans="8:24" x14ac:dyDescent="0.2">
      <c r="H172" s="122">
        <f>Sheet1!A171</f>
        <v>39887</v>
      </c>
      <c r="I172">
        <v>3.02</v>
      </c>
      <c r="J172">
        <v>4.68</v>
      </c>
      <c r="K172">
        <v>5.76</v>
      </c>
      <c r="L172">
        <v>4.46</v>
      </c>
      <c r="M172">
        <v>5.87</v>
      </c>
      <c r="N172">
        <v>4.0600000000000005</v>
      </c>
      <c r="S172">
        <v>3.02</v>
      </c>
      <c r="T172">
        <v>4.68</v>
      </c>
      <c r="U172">
        <v>5.76</v>
      </c>
      <c r="V172">
        <v>4.46</v>
      </c>
      <c r="W172">
        <v>5.87</v>
      </c>
      <c r="X172">
        <v>4.0600000000000005</v>
      </c>
    </row>
    <row r="173" spans="8:24" x14ac:dyDescent="0.2">
      <c r="H173" s="122">
        <f>Sheet1!A172</f>
        <v>39918</v>
      </c>
      <c r="I173">
        <v>3.13</v>
      </c>
      <c r="J173">
        <v>4.53</v>
      </c>
      <c r="K173">
        <v>5.34</v>
      </c>
      <c r="L173">
        <v>4.3600000000000003</v>
      </c>
      <c r="M173">
        <v>5.5</v>
      </c>
      <c r="N173">
        <v>4.01</v>
      </c>
      <c r="S173">
        <v>3.13</v>
      </c>
      <c r="T173">
        <v>4.53</v>
      </c>
      <c r="U173">
        <v>5.34</v>
      </c>
      <c r="V173">
        <v>4.3600000000000003</v>
      </c>
      <c r="W173">
        <v>5.5</v>
      </c>
      <c r="X173">
        <v>4.01</v>
      </c>
    </row>
    <row r="174" spans="8:24" x14ac:dyDescent="0.2">
      <c r="H174" s="122">
        <f>Sheet1!A173</f>
        <v>39948</v>
      </c>
      <c r="I174">
        <v>3.37</v>
      </c>
      <c r="J174">
        <v>4.29</v>
      </c>
      <c r="K174">
        <v>5.2700000000000005</v>
      </c>
      <c r="L174">
        <v>4.42</v>
      </c>
      <c r="M174">
        <v>5.22</v>
      </c>
      <c r="N174">
        <v>4.0600000000000005</v>
      </c>
      <c r="S174">
        <v>3.37</v>
      </c>
      <c r="T174">
        <v>4.29</v>
      </c>
      <c r="U174">
        <v>5.2700000000000005</v>
      </c>
      <c r="V174">
        <v>4.42</v>
      </c>
      <c r="W174">
        <v>5.22</v>
      </c>
      <c r="X174">
        <v>4.0600000000000005</v>
      </c>
    </row>
    <row r="175" spans="8:24" x14ac:dyDescent="0.2">
      <c r="H175" s="122">
        <f>Sheet1!A174</f>
        <v>39979</v>
      </c>
      <c r="I175">
        <v>3.47</v>
      </c>
      <c r="J175">
        <v>4.5</v>
      </c>
      <c r="K175">
        <v>5.73</v>
      </c>
      <c r="L175">
        <v>4.6100000000000003</v>
      </c>
      <c r="M175">
        <v>5.33</v>
      </c>
      <c r="N175">
        <v>4.25</v>
      </c>
      <c r="S175">
        <v>3.47</v>
      </c>
      <c r="T175">
        <v>4.5</v>
      </c>
      <c r="U175">
        <v>5.73</v>
      </c>
      <c r="V175">
        <v>4.6100000000000003</v>
      </c>
      <c r="W175">
        <v>5.33</v>
      </c>
      <c r="X175">
        <v>4.25</v>
      </c>
    </row>
    <row r="176" spans="8:24" x14ac:dyDescent="0.2">
      <c r="H176" s="122">
        <f>Sheet1!A175</f>
        <v>40009</v>
      </c>
      <c r="I176">
        <v>3.34</v>
      </c>
      <c r="J176">
        <v>4.25</v>
      </c>
      <c r="K176">
        <v>5.45</v>
      </c>
      <c r="L176">
        <v>4.37</v>
      </c>
      <c r="M176">
        <v>4.8899999999999997</v>
      </c>
      <c r="N176">
        <v>4.01</v>
      </c>
      <c r="S176">
        <v>3.34</v>
      </c>
      <c r="T176">
        <v>4.25</v>
      </c>
      <c r="U176">
        <v>5.45</v>
      </c>
      <c r="V176">
        <v>4.37</v>
      </c>
      <c r="W176">
        <v>4.8899999999999997</v>
      </c>
      <c r="X176">
        <v>4.01</v>
      </c>
    </row>
    <row r="177" spans="8:24" x14ac:dyDescent="0.2">
      <c r="H177" s="122">
        <f>Sheet1!A176</f>
        <v>40040</v>
      </c>
      <c r="I177">
        <v>3.31</v>
      </c>
      <c r="J177">
        <v>3.95</v>
      </c>
      <c r="K177">
        <v>4.92</v>
      </c>
      <c r="L177">
        <v>4.12</v>
      </c>
      <c r="M177">
        <v>4.5200000000000005</v>
      </c>
      <c r="N177">
        <v>3.79</v>
      </c>
      <c r="S177">
        <v>3.31</v>
      </c>
      <c r="T177">
        <v>3.95</v>
      </c>
      <c r="U177">
        <v>4.92</v>
      </c>
      <c r="V177">
        <v>4.12</v>
      </c>
      <c r="W177">
        <v>4.5200000000000005</v>
      </c>
      <c r="X177">
        <v>3.79</v>
      </c>
    </row>
    <row r="178" spans="8:24" x14ac:dyDescent="0.2">
      <c r="H178" s="122">
        <f>Sheet1!A177</f>
        <v>40071</v>
      </c>
      <c r="I178">
        <v>3.2600000000000002</v>
      </c>
      <c r="J178">
        <v>3.94</v>
      </c>
      <c r="K178">
        <v>4.91</v>
      </c>
      <c r="L178">
        <v>4.09</v>
      </c>
      <c r="M178">
        <v>4.5600000000000005</v>
      </c>
      <c r="N178">
        <v>3.81</v>
      </c>
      <c r="S178">
        <v>3.2600000000000002</v>
      </c>
      <c r="T178">
        <v>3.94</v>
      </c>
      <c r="U178">
        <v>4.91</v>
      </c>
      <c r="V178">
        <v>4.09</v>
      </c>
      <c r="W178">
        <v>4.5600000000000005</v>
      </c>
      <c r="X178">
        <v>3.81</v>
      </c>
    </row>
    <row r="179" spans="8:24" x14ac:dyDescent="0.2">
      <c r="H179" s="122">
        <f>Sheet1!A178</f>
        <v>40101</v>
      </c>
      <c r="I179">
        <v>3.21</v>
      </c>
      <c r="J179">
        <v>3.85</v>
      </c>
      <c r="K179">
        <v>4.7700000000000005</v>
      </c>
      <c r="L179">
        <v>4.0999999999999996</v>
      </c>
      <c r="M179">
        <v>4.57</v>
      </c>
      <c r="N179">
        <v>3.7800000000000002</v>
      </c>
      <c r="S179">
        <v>3.21</v>
      </c>
      <c r="T179">
        <v>3.85</v>
      </c>
      <c r="U179">
        <v>4.7700000000000005</v>
      </c>
      <c r="V179">
        <v>4.0999999999999996</v>
      </c>
      <c r="W179">
        <v>4.57</v>
      </c>
      <c r="X179">
        <v>3.7800000000000002</v>
      </c>
    </row>
    <row r="180" spans="8:24" x14ac:dyDescent="0.2">
      <c r="H180" s="122">
        <f>Sheet1!A179</f>
        <v>40132</v>
      </c>
      <c r="I180">
        <v>3.22</v>
      </c>
      <c r="J180">
        <v>3.8000000000000003</v>
      </c>
      <c r="K180">
        <v>4.82</v>
      </c>
      <c r="L180">
        <v>4.0600000000000005</v>
      </c>
      <c r="M180">
        <v>4.84</v>
      </c>
      <c r="N180">
        <v>3.79</v>
      </c>
      <c r="S180">
        <v>3.22</v>
      </c>
      <c r="T180">
        <v>3.8000000000000003</v>
      </c>
      <c r="U180">
        <v>4.82</v>
      </c>
      <c r="V180">
        <v>4.0600000000000005</v>
      </c>
      <c r="W180">
        <v>4.84</v>
      </c>
      <c r="X180">
        <v>3.79</v>
      </c>
    </row>
    <row r="181" spans="8:24" x14ac:dyDescent="0.2">
      <c r="H181" s="122">
        <f>Sheet1!A180</f>
        <v>40162</v>
      </c>
      <c r="I181">
        <v>3.14</v>
      </c>
      <c r="J181">
        <v>3.91</v>
      </c>
      <c r="K181">
        <v>4.88</v>
      </c>
      <c r="L181">
        <v>4.01</v>
      </c>
      <c r="M181">
        <v>5.49</v>
      </c>
      <c r="N181">
        <v>3.81</v>
      </c>
      <c r="S181">
        <v>3.14</v>
      </c>
      <c r="T181">
        <v>3.91</v>
      </c>
      <c r="U181">
        <v>4.88</v>
      </c>
      <c r="V181">
        <v>4.01</v>
      </c>
      <c r="W181">
        <v>5.49</v>
      </c>
      <c r="X181">
        <v>3.81</v>
      </c>
    </row>
    <row r="182" spans="8:24" x14ac:dyDescent="0.2">
      <c r="H182" s="122">
        <f>Sheet1!A181</f>
        <v>40193</v>
      </c>
      <c r="I182">
        <v>3.2600000000000002</v>
      </c>
      <c r="J182">
        <v>4.17</v>
      </c>
      <c r="K182">
        <v>4.83</v>
      </c>
      <c r="L182">
        <v>4.08</v>
      </c>
      <c r="M182">
        <v>6.0200000000000005</v>
      </c>
      <c r="N182">
        <v>3.99</v>
      </c>
      <c r="S182">
        <v>3.2600000000000002</v>
      </c>
      <c r="T182">
        <v>4.17</v>
      </c>
      <c r="U182">
        <v>4.83</v>
      </c>
      <c r="V182">
        <v>4.08</v>
      </c>
      <c r="W182">
        <v>6.0200000000000005</v>
      </c>
      <c r="X182">
        <v>3.99</v>
      </c>
    </row>
    <row r="183" spans="8:24" x14ac:dyDescent="0.2">
      <c r="H183" s="122">
        <f>Sheet1!A182</f>
        <v>40224</v>
      </c>
      <c r="I183">
        <v>3.17</v>
      </c>
      <c r="J183">
        <v>4.5600000000000005</v>
      </c>
      <c r="K183">
        <v>4.7300000000000004</v>
      </c>
      <c r="L183">
        <v>4.05</v>
      </c>
      <c r="M183">
        <v>6.46</v>
      </c>
      <c r="N183">
        <v>3.98</v>
      </c>
      <c r="S183">
        <v>3.17</v>
      </c>
      <c r="T183">
        <v>4.5600000000000005</v>
      </c>
      <c r="U183">
        <v>4.7300000000000004</v>
      </c>
      <c r="V183">
        <v>4.05</v>
      </c>
      <c r="W183">
        <v>6.46</v>
      </c>
      <c r="X183">
        <v>3.98</v>
      </c>
    </row>
    <row r="184" spans="8:24" x14ac:dyDescent="0.2">
      <c r="H184" s="122">
        <f>Sheet1!A183</f>
        <v>40252</v>
      </c>
      <c r="I184">
        <v>3.1</v>
      </c>
      <c r="J184">
        <v>4.3100000000000005</v>
      </c>
      <c r="K184">
        <v>4.53</v>
      </c>
      <c r="L184">
        <v>3.94</v>
      </c>
      <c r="M184">
        <v>6.24</v>
      </c>
      <c r="N184">
        <v>3.83</v>
      </c>
      <c r="S184">
        <v>3.1</v>
      </c>
      <c r="T184">
        <v>4.3100000000000005</v>
      </c>
      <c r="U184">
        <v>4.53</v>
      </c>
      <c r="V184">
        <v>3.94</v>
      </c>
      <c r="W184">
        <v>6.24</v>
      </c>
      <c r="X184">
        <v>3.83</v>
      </c>
    </row>
    <row r="185" spans="8:24" x14ac:dyDescent="0.2">
      <c r="H185" s="122">
        <f>Sheet1!A184</f>
        <v>40283</v>
      </c>
      <c r="I185">
        <v>3.06</v>
      </c>
      <c r="J185">
        <v>4.78</v>
      </c>
      <c r="K185">
        <v>4.76</v>
      </c>
      <c r="L185">
        <v>4</v>
      </c>
      <c r="M185">
        <v>7.83</v>
      </c>
      <c r="N185">
        <v>3.9</v>
      </c>
      <c r="S185">
        <v>3.06</v>
      </c>
      <c r="T185">
        <v>4.78</v>
      </c>
      <c r="U185">
        <v>4.76</v>
      </c>
      <c r="V185">
        <v>4</v>
      </c>
      <c r="W185">
        <v>7.83</v>
      </c>
      <c r="X185">
        <v>3.9</v>
      </c>
    </row>
    <row r="186" spans="8:24" x14ac:dyDescent="0.2">
      <c r="H186" s="122">
        <f>Sheet1!A185</f>
        <v>40313</v>
      </c>
      <c r="I186">
        <v>2.73</v>
      </c>
      <c r="J186">
        <v>5.0200000000000005</v>
      </c>
      <c r="K186">
        <v>4.8600000000000003</v>
      </c>
      <c r="L186">
        <v>3.98</v>
      </c>
      <c r="M186">
        <v>7.97</v>
      </c>
      <c r="N186">
        <v>4.08</v>
      </c>
      <c r="S186">
        <v>2.73</v>
      </c>
      <c r="T186">
        <v>5.0200000000000005</v>
      </c>
      <c r="U186">
        <v>4.8600000000000003</v>
      </c>
      <c r="V186">
        <v>3.98</v>
      </c>
      <c r="W186">
        <v>7.97</v>
      </c>
      <c r="X186">
        <v>4.08</v>
      </c>
    </row>
    <row r="187" spans="8:24" x14ac:dyDescent="0.2">
      <c r="H187" s="122">
        <f>Sheet1!A186</f>
        <v>40344</v>
      </c>
      <c r="I187">
        <v>2.54</v>
      </c>
      <c r="J187">
        <v>5.54</v>
      </c>
      <c r="K187">
        <v>5.3100000000000005</v>
      </c>
      <c r="L187">
        <v>4.0999999999999996</v>
      </c>
      <c r="M187">
        <v>9.1</v>
      </c>
      <c r="N187">
        <v>4.5600000000000005</v>
      </c>
      <c r="S187">
        <v>2.54</v>
      </c>
      <c r="T187">
        <v>5.54</v>
      </c>
      <c r="U187">
        <v>5.3100000000000005</v>
      </c>
      <c r="V187">
        <v>4.0999999999999996</v>
      </c>
      <c r="W187">
        <v>9.1</v>
      </c>
      <c r="X187">
        <v>4.5600000000000005</v>
      </c>
    </row>
    <row r="188" spans="8:24" x14ac:dyDescent="0.2">
      <c r="H188" s="122">
        <f>Sheet1!A187</f>
        <v>40374</v>
      </c>
      <c r="I188">
        <v>2.62</v>
      </c>
      <c r="J188">
        <v>5.49</v>
      </c>
      <c r="K188">
        <v>5.32</v>
      </c>
      <c r="L188">
        <v>4.03</v>
      </c>
      <c r="M188">
        <v>10.34</v>
      </c>
      <c r="N188">
        <v>4.43</v>
      </c>
      <c r="S188">
        <v>2.62</v>
      </c>
      <c r="T188">
        <v>5.49</v>
      </c>
      <c r="U188">
        <v>5.32</v>
      </c>
      <c r="V188">
        <v>4.03</v>
      </c>
      <c r="W188">
        <v>10.34</v>
      </c>
      <c r="X188">
        <v>4.43</v>
      </c>
    </row>
    <row r="189" spans="8:24" x14ac:dyDescent="0.2">
      <c r="H189" s="122">
        <f>Sheet1!A188</f>
        <v>40405</v>
      </c>
      <c r="I189">
        <v>2.35</v>
      </c>
      <c r="J189">
        <v>5.3100000000000005</v>
      </c>
      <c r="K189">
        <v>5.3</v>
      </c>
      <c r="L189">
        <v>3.8000000000000003</v>
      </c>
      <c r="M189">
        <v>10.700000000000001</v>
      </c>
      <c r="N189">
        <v>4.04</v>
      </c>
      <c r="S189">
        <v>2.35</v>
      </c>
      <c r="T189">
        <v>5.3100000000000005</v>
      </c>
      <c r="U189">
        <v>5.3</v>
      </c>
      <c r="V189">
        <v>3.8000000000000003</v>
      </c>
      <c r="W189">
        <v>10.700000000000001</v>
      </c>
      <c r="X189">
        <v>4.04</v>
      </c>
    </row>
    <row r="190" spans="8:24" x14ac:dyDescent="0.2">
      <c r="H190" s="122">
        <f>Sheet1!A189</f>
        <v>40436</v>
      </c>
      <c r="I190">
        <v>2.3000000000000003</v>
      </c>
      <c r="J190">
        <v>6.08</v>
      </c>
      <c r="K190">
        <v>6.1400000000000006</v>
      </c>
      <c r="L190">
        <v>3.86</v>
      </c>
      <c r="M190">
        <v>11.34</v>
      </c>
      <c r="N190">
        <v>4.09</v>
      </c>
      <c r="S190">
        <v>2.3000000000000003</v>
      </c>
      <c r="T190">
        <v>6.08</v>
      </c>
      <c r="U190">
        <v>6.1400000000000006</v>
      </c>
      <c r="V190">
        <v>3.86</v>
      </c>
      <c r="W190">
        <v>11.34</v>
      </c>
      <c r="X190">
        <v>4.09</v>
      </c>
    </row>
    <row r="191" spans="8:24" x14ac:dyDescent="0.2">
      <c r="H191" s="122">
        <f>Sheet1!A190</f>
        <v>40466</v>
      </c>
      <c r="I191">
        <v>2.35</v>
      </c>
      <c r="J191">
        <v>6.05</v>
      </c>
      <c r="K191">
        <v>6.42</v>
      </c>
      <c r="L191">
        <v>3.8000000000000003</v>
      </c>
      <c r="M191">
        <v>9.57</v>
      </c>
      <c r="N191">
        <v>4.04</v>
      </c>
      <c r="S191">
        <v>2.35</v>
      </c>
      <c r="T191">
        <v>6.05</v>
      </c>
      <c r="U191">
        <v>6.42</v>
      </c>
      <c r="V191">
        <v>3.8000000000000003</v>
      </c>
      <c r="W191">
        <v>9.57</v>
      </c>
      <c r="X191">
        <v>4.04</v>
      </c>
    </row>
    <row r="192" spans="8:24" x14ac:dyDescent="0.2">
      <c r="H192" s="122">
        <f>Sheet1!A191</f>
        <v>40497</v>
      </c>
      <c r="I192">
        <v>2.5300000000000002</v>
      </c>
      <c r="J192">
        <v>6.91</v>
      </c>
      <c r="K192">
        <v>8.2200000000000006</v>
      </c>
      <c r="L192">
        <v>4.18</v>
      </c>
      <c r="M192">
        <v>11.52</v>
      </c>
      <c r="N192">
        <v>4.6900000000000004</v>
      </c>
      <c r="S192">
        <v>2.5300000000000002</v>
      </c>
      <c r="T192">
        <v>6.91</v>
      </c>
      <c r="U192">
        <v>8.2200000000000006</v>
      </c>
      <c r="V192">
        <v>4.18</v>
      </c>
      <c r="W192">
        <v>11.52</v>
      </c>
      <c r="X192">
        <v>4.6900000000000004</v>
      </c>
    </row>
    <row r="193" spans="8:24" x14ac:dyDescent="0.2">
      <c r="H193" s="122">
        <f>Sheet1!A192</f>
        <v>40527</v>
      </c>
      <c r="I193">
        <v>2.91</v>
      </c>
      <c r="J193">
        <v>6.53</v>
      </c>
      <c r="K193">
        <v>8.4499999999999993</v>
      </c>
      <c r="L193">
        <v>4.6000000000000005</v>
      </c>
      <c r="M193">
        <v>12.01</v>
      </c>
      <c r="N193">
        <v>5.38</v>
      </c>
      <c r="S193">
        <v>2.91</v>
      </c>
      <c r="T193">
        <v>6.53</v>
      </c>
      <c r="U193">
        <v>8.4499999999999993</v>
      </c>
      <c r="V193">
        <v>4.6000000000000005</v>
      </c>
      <c r="W193">
        <v>12.01</v>
      </c>
      <c r="X193">
        <v>5.38</v>
      </c>
    </row>
    <row r="194" spans="8:24" x14ac:dyDescent="0.2">
      <c r="H194" s="122">
        <f>Sheet1!A193</f>
        <v>40558</v>
      </c>
      <c r="I194">
        <v>3.02</v>
      </c>
      <c r="J194">
        <v>6.95</v>
      </c>
      <c r="K194">
        <v>8.75</v>
      </c>
      <c r="L194">
        <v>4.7300000000000004</v>
      </c>
      <c r="M194">
        <v>11.73</v>
      </c>
      <c r="N194">
        <v>5.38</v>
      </c>
      <c r="S194">
        <v>3.02</v>
      </c>
      <c r="T194">
        <v>6.95</v>
      </c>
      <c r="U194">
        <v>8.75</v>
      </c>
      <c r="V194">
        <v>4.7300000000000004</v>
      </c>
      <c r="W194">
        <v>11.73</v>
      </c>
      <c r="X194">
        <v>5.38</v>
      </c>
    </row>
    <row r="195" spans="8:24" x14ac:dyDescent="0.2">
      <c r="H195" s="122">
        <f>Sheet1!A194</f>
        <v>40589</v>
      </c>
      <c r="I195">
        <v>3.2</v>
      </c>
      <c r="J195">
        <v>7.34</v>
      </c>
      <c r="K195">
        <v>9.1</v>
      </c>
      <c r="L195">
        <v>4.74</v>
      </c>
      <c r="M195">
        <v>11.4</v>
      </c>
      <c r="N195">
        <v>5.26</v>
      </c>
      <c r="S195">
        <v>3.2</v>
      </c>
      <c r="T195">
        <v>7.34</v>
      </c>
      <c r="U195">
        <v>9.1</v>
      </c>
      <c r="V195">
        <v>4.74</v>
      </c>
      <c r="W195">
        <v>11.4</v>
      </c>
      <c r="X195">
        <v>5.26</v>
      </c>
    </row>
    <row r="196" spans="8:24" x14ac:dyDescent="0.2">
      <c r="H196" s="122">
        <f>Sheet1!A195</f>
        <v>40617</v>
      </c>
      <c r="I196">
        <v>3.21</v>
      </c>
      <c r="J196">
        <v>7.8</v>
      </c>
      <c r="K196">
        <v>9.67</v>
      </c>
      <c r="L196">
        <v>4.88</v>
      </c>
      <c r="M196">
        <v>12.44</v>
      </c>
      <c r="N196">
        <v>5.25</v>
      </c>
      <c r="S196">
        <v>3.21</v>
      </c>
      <c r="T196">
        <v>7.8</v>
      </c>
      <c r="U196">
        <v>9.67</v>
      </c>
      <c r="V196">
        <v>4.88</v>
      </c>
      <c r="W196">
        <v>12.44</v>
      </c>
      <c r="X196">
        <v>5.25</v>
      </c>
    </row>
    <row r="197" spans="8:24" x14ac:dyDescent="0.2">
      <c r="H197" s="122">
        <f>Sheet1!A196</f>
        <v>40648</v>
      </c>
      <c r="I197">
        <v>3.34</v>
      </c>
      <c r="J197">
        <v>9.19</v>
      </c>
      <c r="K197">
        <v>9.7900000000000009</v>
      </c>
      <c r="L197">
        <v>4.84</v>
      </c>
      <c r="M197">
        <v>13.86</v>
      </c>
      <c r="N197">
        <v>5.33</v>
      </c>
      <c r="S197">
        <v>3.34</v>
      </c>
      <c r="T197">
        <v>9.19</v>
      </c>
      <c r="U197">
        <v>9.7900000000000009</v>
      </c>
      <c r="V197">
        <v>4.84</v>
      </c>
      <c r="W197">
        <v>13.86</v>
      </c>
      <c r="X197">
        <v>5.33</v>
      </c>
    </row>
    <row r="198" spans="8:24" x14ac:dyDescent="0.2">
      <c r="H198" s="122">
        <f>Sheet1!A197</f>
        <v>40678</v>
      </c>
      <c r="I198">
        <v>3.06</v>
      </c>
      <c r="J198">
        <v>9.6300000000000008</v>
      </c>
      <c r="K198">
        <v>10.64</v>
      </c>
      <c r="L198">
        <v>4.76</v>
      </c>
      <c r="M198">
        <v>15.94</v>
      </c>
      <c r="N198">
        <v>5.32</v>
      </c>
      <c r="S198">
        <v>3.06</v>
      </c>
      <c r="T198">
        <v>9.6300000000000008</v>
      </c>
      <c r="U198">
        <v>10.64</v>
      </c>
      <c r="V198">
        <v>4.76</v>
      </c>
      <c r="W198">
        <v>15.94</v>
      </c>
      <c r="X198">
        <v>5.32</v>
      </c>
    </row>
    <row r="199" spans="8:24" x14ac:dyDescent="0.2">
      <c r="H199" s="122">
        <f>Sheet1!A198</f>
        <v>40709</v>
      </c>
      <c r="I199">
        <v>2.89</v>
      </c>
      <c r="J199">
        <v>10.870000000000001</v>
      </c>
      <c r="K199">
        <v>11.43</v>
      </c>
      <c r="L199">
        <v>4.82</v>
      </c>
      <c r="M199">
        <v>16.690000000000001</v>
      </c>
      <c r="N199">
        <v>5.48</v>
      </c>
      <c r="S199">
        <v>2.89</v>
      </c>
      <c r="T199">
        <v>10.870000000000001</v>
      </c>
      <c r="U199">
        <v>11.43</v>
      </c>
      <c r="V199">
        <v>4.82</v>
      </c>
      <c r="W199">
        <v>16.690000000000001</v>
      </c>
      <c r="X199">
        <v>5.48</v>
      </c>
    </row>
    <row r="200" spans="8:24" x14ac:dyDescent="0.2">
      <c r="H200" s="122">
        <f>Sheet1!A199</f>
        <v>40739</v>
      </c>
      <c r="I200">
        <v>2.74</v>
      </c>
      <c r="J200">
        <v>12.15</v>
      </c>
      <c r="K200">
        <v>12.450000000000001</v>
      </c>
      <c r="L200">
        <v>5.46</v>
      </c>
      <c r="M200">
        <v>16.149999999999999</v>
      </c>
      <c r="N200">
        <v>5.83</v>
      </c>
      <c r="S200">
        <v>2.74</v>
      </c>
      <c r="T200">
        <v>12.15</v>
      </c>
      <c r="U200">
        <v>12.450000000000001</v>
      </c>
      <c r="V200">
        <v>5.46</v>
      </c>
      <c r="W200">
        <v>16.149999999999999</v>
      </c>
      <c r="X200">
        <v>5.83</v>
      </c>
    </row>
    <row r="201" spans="8:24" x14ac:dyDescent="0.2">
      <c r="H201" s="122">
        <f>Sheet1!A200</f>
        <v>40770</v>
      </c>
      <c r="I201">
        <v>2.21</v>
      </c>
      <c r="J201">
        <v>10.93</v>
      </c>
      <c r="K201">
        <v>9.57</v>
      </c>
      <c r="L201">
        <v>5.2700000000000005</v>
      </c>
      <c r="M201">
        <v>15.9</v>
      </c>
      <c r="N201">
        <v>5.25</v>
      </c>
      <c r="S201">
        <v>2.21</v>
      </c>
      <c r="T201">
        <v>10.93</v>
      </c>
      <c r="U201">
        <v>9.57</v>
      </c>
      <c r="V201">
        <v>5.2700000000000005</v>
      </c>
      <c r="W201">
        <v>15.9</v>
      </c>
      <c r="X201">
        <v>5.25</v>
      </c>
    </row>
    <row r="202" spans="8:24" x14ac:dyDescent="0.2">
      <c r="H202" s="122">
        <f>Sheet1!A201</f>
        <v>40801</v>
      </c>
      <c r="I202">
        <v>1.83</v>
      </c>
      <c r="J202">
        <v>11.34</v>
      </c>
      <c r="K202">
        <v>8.51</v>
      </c>
      <c r="L202">
        <v>5.75</v>
      </c>
      <c r="M202">
        <v>17.78</v>
      </c>
      <c r="N202">
        <v>5.2</v>
      </c>
      <c r="S202">
        <v>1.83</v>
      </c>
      <c r="T202">
        <v>11.34</v>
      </c>
      <c r="U202">
        <v>8.51</v>
      </c>
      <c r="V202">
        <v>5.75</v>
      </c>
      <c r="W202">
        <v>17.78</v>
      </c>
      <c r="X202">
        <v>5.2</v>
      </c>
    </row>
    <row r="203" spans="8:24" x14ac:dyDescent="0.2">
      <c r="H203" s="122">
        <f>Sheet1!A202</f>
        <v>40831</v>
      </c>
      <c r="I203">
        <v>2</v>
      </c>
      <c r="J203">
        <v>11.72</v>
      </c>
      <c r="K203">
        <v>8.1</v>
      </c>
      <c r="L203">
        <v>5.97</v>
      </c>
      <c r="M203">
        <v>18.04</v>
      </c>
      <c r="N203">
        <v>5.26</v>
      </c>
      <c r="S203">
        <v>2</v>
      </c>
      <c r="T203">
        <v>11.72</v>
      </c>
      <c r="U203">
        <v>8.1</v>
      </c>
      <c r="V203">
        <v>5.97</v>
      </c>
      <c r="W203">
        <v>18.04</v>
      </c>
      <c r="X203">
        <v>5.26</v>
      </c>
    </row>
    <row r="204" spans="8:24" x14ac:dyDescent="0.2">
      <c r="H204" s="122">
        <f>Sheet1!A203</f>
        <v>40862</v>
      </c>
      <c r="I204">
        <v>1.87</v>
      </c>
      <c r="J204">
        <v>11.89</v>
      </c>
      <c r="K204">
        <v>8.51</v>
      </c>
      <c r="L204">
        <v>7.0600000000000005</v>
      </c>
      <c r="M204">
        <v>17.920000000000002</v>
      </c>
      <c r="N204">
        <v>6.2</v>
      </c>
      <c r="S204">
        <v>1.87</v>
      </c>
      <c r="T204">
        <v>11.89</v>
      </c>
      <c r="U204">
        <v>8.51</v>
      </c>
      <c r="V204">
        <v>7.0600000000000005</v>
      </c>
      <c r="W204">
        <v>17.920000000000002</v>
      </c>
      <c r="X204">
        <v>6.2</v>
      </c>
    </row>
    <row r="205" spans="8:24" x14ac:dyDescent="0.2">
      <c r="H205" s="122">
        <f>Sheet1!A204</f>
        <v>40892</v>
      </c>
      <c r="I205">
        <v>1.93</v>
      </c>
      <c r="J205">
        <v>13.08</v>
      </c>
      <c r="K205">
        <v>8.7000000000000011</v>
      </c>
      <c r="L205">
        <v>6.8100000000000005</v>
      </c>
      <c r="M205">
        <v>21.14</v>
      </c>
      <c r="N205">
        <v>5.53</v>
      </c>
      <c r="S205">
        <v>1.93</v>
      </c>
      <c r="T205">
        <v>13.08</v>
      </c>
      <c r="U205">
        <v>8.7000000000000011</v>
      </c>
      <c r="V205">
        <v>6.8100000000000005</v>
      </c>
      <c r="W205">
        <v>21.14</v>
      </c>
      <c r="X205">
        <v>5.53</v>
      </c>
    </row>
    <row r="206" spans="8:24" x14ac:dyDescent="0.2">
      <c r="H206" s="122">
        <f>Sheet1!A205</f>
        <v>40923</v>
      </c>
      <c r="I206">
        <v>1.82</v>
      </c>
      <c r="J206">
        <v>13.85</v>
      </c>
      <c r="K206">
        <v>7.71</v>
      </c>
      <c r="L206">
        <v>6.54</v>
      </c>
      <c r="M206">
        <v>25.91</v>
      </c>
      <c r="N206">
        <v>5.41</v>
      </c>
      <c r="S206">
        <v>1.82</v>
      </c>
      <c r="T206">
        <v>13.85</v>
      </c>
      <c r="U206">
        <v>7.71</v>
      </c>
      <c r="V206">
        <v>6.54</v>
      </c>
      <c r="W206">
        <v>25.91</v>
      </c>
      <c r="X206">
        <v>5.41</v>
      </c>
    </row>
    <row r="207" spans="8:24" x14ac:dyDescent="0.2">
      <c r="H207" s="122">
        <f>Sheet1!A206</f>
        <v>40954</v>
      </c>
      <c r="I207">
        <v>1.85</v>
      </c>
      <c r="J207">
        <v>12.81</v>
      </c>
      <c r="K207">
        <v>7.0200000000000005</v>
      </c>
      <c r="L207">
        <v>5.55</v>
      </c>
      <c r="M207">
        <v>29.240000000000002</v>
      </c>
      <c r="N207">
        <v>5.1100000000000003</v>
      </c>
      <c r="S207">
        <v>1.85</v>
      </c>
      <c r="T207">
        <v>12.81</v>
      </c>
      <c r="U207">
        <v>7.0200000000000005</v>
      </c>
      <c r="V207">
        <v>5.55</v>
      </c>
      <c r="W207">
        <v>29.240000000000002</v>
      </c>
      <c r="X207">
        <v>5.1100000000000003</v>
      </c>
    </row>
    <row r="208" spans="8:24" x14ac:dyDescent="0.2">
      <c r="H208" s="122">
        <f>Sheet1!A207</f>
        <v>40983</v>
      </c>
      <c r="I208">
        <v>1.83</v>
      </c>
      <c r="J208">
        <v>13.01</v>
      </c>
      <c r="K208">
        <v>6.9</v>
      </c>
      <c r="L208">
        <v>5.05</v>
      </c>
      <c r="M208">
        <v>19.07</v>
      </c>
      <c r="N208">
        <v>5.17</v>
      </c>
      <c r="S208">
        <v>1.83</v>
      </c>
      <c r="T208">
        <v>13.01</v>
      </c>
      <c r="U208">
        <v>6.9</v>
      </c>
      <c r="V208">
        <v>5.05</v>
      </c>
      <c r="W208">
        <v>19.07</v>
      </c>
      <c r="X208">
        <v>5.17</v>
      </c>
    </row>
    <row r="209" spans="8:24" x14ac:dyDescent="0.2">
      <c r="H209" s="122">
        <f>Sheet1!A208</f>
        <v>41014</v>
      </c>
      <c r="I209">
        <v>1.62</v>
      </c>
      <c r="J209">
        <v>12.01</v>
      </c>
      <c r="K209">
        <v>6.88</v>
      </c>
      <c r="L209">
        <v>5.68</v>
      </c>
      <c r="M209">
        <v>21.48</v>
      </c>
      <c r="N209">
        <v>5.79</v>
      </c>
      <c r="S209">
        <v>1.62</v>
      </c>
      <c r="T209">
        <v>12.01</v>
      </c>
      <c r="U209">
        <v>6.88</v>
      </c>
      <c r="V209">
        <v>5.68</v>
      </c>
      <c r="W209">
        <v>21.48</v>
      </c>
      <c r="X209">
        <v>5.79</v>
      </c>
    </row>
    <row r="210" spans="8:24" x14ac:dyDescent="0.2">
      <c r="H210" s="122">
        <f>Sheet1!A209</f>
        <v>41044</v>
      </c>
      <c r="I210">
        <v>1.34</v>
      </c>
      <c r="J210">
        <v>11.59</v>
      </c>
      <c r="K210">
        <v>7.12</v>
      </c>
      <c r="L210">
        <v>5.78</v>
      </c>
      <c r="M210">
        <v>26.900000000000002</v>
      </c>
      <c r="N210">
        <v>6.13</v>
      </c>
      <c r="S210">
        <v>1.34</v>
      </c>
      <c r="T210">
        <v>11.59</v>
      </c>
      <c r="U210">
        <v>7.12</v>
      </c>
      <c r="V210">
        <v>5.78</v>
      </c>
      <c r="W210">
        <v>26.900000000000002</v>
      </c>
      <c r="X210">
        <v>6.13</v>
      </c>
    </row>
    <row r="211" spans="8:24" x14ac:dyDescent="0.2">
      <c r="H211" s="122">
        <f>Sheet1!A210</f>
        <v>41075</v>
      </c>
      <c r="I211">
        <v>1.3</v>
      </c>
      <c r="J211">
        <v>10.56</v>
      </c>
      <c r="K211">
        <v>7.09</v>
      </c>
      <c r="L211">
        <v>5.9</v>
      </c>
      <c r="M211">
        <v>27.82</v>
      </c>
      <c r="N211">
        <v>6.59</v>
      </c>
      <c r="S211">
        <v>1.3</v>
      </c>
      <c r="T211">
        <v>10.56</v>
      </c>
      <c r="U211">
        <v>7.09</v>
      </c>
      <c r="V211">
        <v>5.9</v>
      </c>
      <c r="W211">
        <v>27.82</v>
      </c>
      <c r="X211">
        <v>6.59</v>
      </c>
    </row>
    <row r="212" spans="8:24" x14ac:dyDescent="0.2">
      <c r="H212" s="122">
        <f>Sheet1!A211</f>
        <v>41105</v>
      </c>
      <c r="I212">
        <v>1.24</v>
      </c>
      <c r="J212">
        <v>10.49</v>
      </c>
      <c r="K212">
        <v>6.12</v>
      </c>
      <c r="L212">
        <v>6</v>
      </c>
      <c r="M212">
        <v>25.82</v>
      </c>
      <c r="N212">
        <v>6.79</v>
      </c>
      <c r="S212">
        <v>1.24</v>
      </c>
      <c r="T212">
        <v>10.49</v>
      </c>
      <c r="U212">
        <v>6.12</v>
      </c>
      <c r="V212">
        <v>6</v>
      </c>
      <c r="W212">
        <v>25.82</v>
      </c>
      <c r="X212">
        <v>6.79</v>
      </c>
    </row>
    <row r="213" spans="8:24" x14ac:dyDescent="0.2">
      <c r="H213" s="122">
        <f>Sheet1!A212</f>
        <v>41136</v>
      </c>
      <c r="I213">
        <v>1.34</v>
      </c>
      <c r="J213">
        <v>9.89</v>
      </c>
      <c r="K213">
        <v>5.91</v>
      </c>
      <c r="L213">
        <v>5.82</v>
      </c>
      <c r="M213">
        <v>24.34</v>
      </c>
      <c r="N213">
        <v>6.58</v>
      </c>
      <c r="S213">
        <v>1.34</v>
      </c>
      <c r="T213">
        <v>9.89</v>
      </c>
      <c r="U213">
        <v>5.91</v>
      </c>
      <c r="V213">
        <v>5.82</v>
      </c>
      <c r="W213">
        <v>24.34</v>
      </c>
      <c r="X213">
        <v>6.58</v>
      </c>
    </row>
    <row r="214" spans="8:24" x14ac:dyDescent="0.2">
      <c r="H214" s="122">
        <f>Sheet1!A213</f>
        <v>41167</v>
      </c>
      <c r="I214">
        <v>1.49</v>
      </c>
      <c r="J214">
        <v>8.620000000000001</v>
      </c>
      <c r="K214">
        <v>5.28</v>
      </c>
      <c r="L214">
        <v>5.25</v>
      </c>
      <c r="M214">
        <v>20.91</v>
      </c>
      <c r="N214">
        <v>5.91</v>
      </c>
      <c r="S214">
        <v>1.49</v>
      </c>
      <c r="T214">
        <v>8.620000000000001</v>
      </c>
      <c r="U214">
        <v>5.28</v>
      </c>
      <c r="V214">
        <v>5.25</v>
      </c>
      <c r="W214">
        <v>20.91</v>
      </c>
      <c r="X214">
        <v>5.91</v>
      </c>
    </row>
    <row r="215" spans="8:24" x14ac:dyDescent="0.2">
      <c r="H215" s="122">
        <f>Sheet1!A214</f>
        <v>41197</v>
      </c>
      <c r="I215">
        <v>1.47</v>
      </c>
      <c r="J215">
        <v>8.17</v>
      </c>
      <c r="K215">
        <v>4.7700000000000005</v>
      </c>
      <c r="L215">
        <v>4.95</v>
      </c>
      <c r="M215">
        <v>17.96</v>
      </c>
      <c r="N215">
        <v>5.64</v>
      </c>
      <c r="S215">
        <v>1.47</v>
      </c>
      <c r="T215">
        <v>8.17</v>
      </c>
      <c r="U215">
        <v>4.7700000000000005</v>
      </c>
      <c r="V215">
        <v>4.95</v>
      </c>
      <c r="W215">
        <v>17.96</v>
      </c>
      <c r="X215">
        <v>5.64</v>
      </c>
    </row>
    <row r="216" spans="8:24" x14ac:dyDescent="0.2">
      <c r="H216" s="122">
        <f>Sheet1!A215</f>
        <v>41228</v>
      </c>
      <c r="I216">
        <v>1.34</v>
      </c>
      <c r="J216">
        <v>8.32</v>
      </c>
      <c r="K216">
        <v>4.59</v>
      </c>
      <c r="L216">
        <v>4.8500000000000005</v>
      </c>
      <c r="M216">
        <v>17.2</v>
      </c>
      <c r="N216">
        <v>5.69</v>
      </c>
      <c r="S216">
        <v>1.34</v>
      </c>
      <c r="T216">
        <v>8.32</v>
      </c>
      <c r="U216">
        <v>4.59</v>
      </c>
      <c r="V216">
        <v>4.8500000000000005</v>
      </c>
      <c r="W216">
        <v>17.2</v>
      </c>
      <c r="X216">
        <v>5.69</v>
      </c>
    </row>
    <row r="217" spans="8:24" x14ac:dyDescent="0.2">
      <c r="H217" s="122">
        <f>Sheet1!A216</f>
        <v>41258</v>
      </c>
      <c r="I217">
        <v>1.3</v>
      </c>
      <c r="J217">
        <v>7.25</v>
      </c>
      <c r="K217">
        <v>4.67</v>
      </c>
      <c r="L217">
        <v>4.54</v>
      </c>
      <c r="M217">
        <v>13.33</v>
      </c>
      <c r="N217">
        <v>5.34</v>
      </c>
      <c r="S217">
        <v>1.3</v>
      </c>
      <c r="T217">
        <v>7.25</v>
      </c>
      <c r="U217">
        <v>4.67</v>
      </c>
      <c r="V217">
        <v>4.54</v>
      </c>
      <c r="W217">
        <v>13.33</v>
      </c>
      <c r="X217">
        <v>5.34</v>
      </c>
    </row>
    <row r="218" spans="8:24" x14ac:dyDescent="0.2">
      <c r="J218"/>
      <c r="K218"/>
      <c r="L218"/>
      <c r="M218"/>
      <c r="N218"/>
    </row>
    <row r="219" spans="8:24" x14ac:dyDescent="0.2">
      <c r="J219"/>
      <c r="K219"/>
      <c r="L219"/>
      <c r="M219"/>
      <c r="N219"/>
    </row>
    <row r="220" spans="8:24" x14ac:dyDescent="0.2">
      <c r="J220"/>
      <c r="K220"/>
      <c r="L220"/>
      <c r="M220"/>
      <c r="N220"/>
    </row>
    <row r="221" spans="8:24" x14ac:dyDescent="0.2">
      <c r="J221"/>
      <c r="K221"/>
      <c r="L221"/>
      <c r="M221"/>
      <c r="N221"/>
    </row>
    <row r="222" spans="8:24" x14ac:dyDescent="0.2">
      <c r="J222"/>
      <c r="K222"/>
      <c r="L222"/>
      <c r="M222"/>
      <c r="N222"/>
    </row>
    <row r="223" spans="8:24" x14ac:dyDescent="0.2">
      <c r="J223"/>
      <c r="K223"/>
      <c r="L223"/>
      <c r="M223"/>
      <c r="N223"/>
    </row>
    <row r="224" spans="8:24" x14ac:dyDescent="0.2">
      <c r="J224"/>
      <c r="K224"/>
      <c r="L224"/>
      <c r="M224"/>
      <c r="N224"/>
    </row>
    <row r="225" spans="10:14" x14ac:dyDescent="0.2">
      <c r="J225"/>
      <c r="K225"/>
      <c r="L225"/>
      <c r="M225"/>
      <c r="N225"/>
    </row>
    <row r="226" spans="10:14" x14ac:dyDescent="0.2">
      <c r="J226"/>
      <c r="K226"/>
      <c r="L226"/>
      <c r="M226"/>
      <c r="N226"/>
    </row>
    <row r="227" spans="10:14" x14ac:dyDescent="0.2">
      <c r="J227"/>
      <c r="K227"/>
      <c r="L227"/>
      <c r="M227"/>
      <c r="N227"/>
    </row>
  </sheetData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61"/>
  <sheetViews>
    <sheetView topLeftCell="A27" workbookViewId="0">
      <selection activeCell="A49" sqref="A49"/>
    </sheetView>
  </sheetViews>
  <sheetFormatPr defaultRowHeight="15" x14ac:dyDescent="0.25"/>
  <cols>
    <col min="1" max="1" width="14.140625" style="85" customWidth="1"/>
    <col min="2" max="4" width="9.140625" style="85"/>
    <col min="5" max="5" width="6.7109375" style="85" customWidth="1"/>
    <col min="6" max="6" width="10.28515625" style="85" customWidth="1"/>
    <col min="7" max="9" width="9.140625" style="85"/>
    <col min="10" max="10" width="3.28515625" style="85" customWidth="1"/>
    <col min="11" max="11" width="13" style="85" customWidth="1"/>
    <col min="12" max="16384" width="9.140625" style="85"/>
  </cols>
  <sheetData>
    <row r="1" spans="1:33" x14ac:dyDescent="0.25">
      <c r="A1" s="102" t="s">
        <v>68</v>
      </c>
      <c r="B1" s="87"/>
      <c r="C1" s="87"/>
      <c r="D1" s="100"/>
      <c r="E1" s="100"/>
      <c r="F1" s="100"/>
      <c r="G1" s="100"/>
      <c r="H1" s="100"/>
      <c r="I1" s="100"/>
      <c r="J1" s="99"/>
      <c r="K1" s="101" t="s">
        <v>173</v>
      </c>
      <c r="L1" s="100"/>
      <c r="M1" s="100"/>
      <c r="N1" s="100"/>
      <c r="O1" s="100"/>
      <c r="P1" s="100"/>
      <c r="Q1" s="100"/>
      <c r="R1" s="100"/>
      <c r="S1" s="100"/>
      <c r="T1" s="99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</row>
    <row r="2" spans="1:33" x14ac:dyDescent="0.25">
      <c r="A2" s="93" t="s">
        <v>67</v>
      </c>
      <c r="B2" s="87"/>
      <c r="C2" s="87"/>
      <c r="D2" s="87"/>
      <c r="E2" s="87"/>
      <c r="F2" s="87"/>
      <c r="G2" s="87"/>
      <c r="H2" s="87"/>
      <c r="I2" s="87"/>
      <c r="J2" s="91"/>
      <c r="K2" s="93" t="s">
        <v>66</v>
      </c>
      <c r="L2" s="87"/>
      <c r="M2" s="87"/>
      <c r="N2" s="87"/>
      <c r="O2" s="87"/>
      <c r="P2" s="87"/>
      <c r="Q2" s="87"/>
      <c r="R2" s="87"/>
      <c r="S2" s="87"/>
      <c r="T2" s="91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</row>
    <row r="3" spans="1:33" x14ac:dyDescent="0.25">
      <c r="D3" s="87"/>
      <c r="E3" s="87"/>
      <c r="F3" s="87"/>
      <c r="G3" s="87"/>
      <c r="H3" s="87"/>
      <c r="I3" s="87"/>
      <c r="J3" s="91"/>
      <c r="K3" s="93"/>
      <c r="L3" s="87"/>
      <c r="M3" s="87"/>
      <c r="N3" s="87"/>
      <c r="O3" s="87"/>
      <c r="P3" s="87"/>
      <c r="Q3" s="87"/>
      <c r="R3" s="87"/>
      <c r="S3" s="87"/>
      <c r="T3" s="91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</row>
    <row r="4" spans="1:33" ht="15.75" x14ac:dyDescent="0.25">
      <c r="A4" s="93"/>
      <c r="B4" s="120" t="s">
        <v>154</v>
      </c>
      <c r="C4" s="87"/>
      <c r="D4" s="87"/>
      <c r="E4" s="87"/>
      <c r="F4" s="87"/>
      <c r="G4" s="120" t="s">
        <v>65</v>
      </c>
      <c r="H4" s="87"/>
      <c r="I4" s="87"/>
      <c r="J4" s="91"/>
      <c r="K4" s="93"/>
      <c r="L4" s="120" t="s">
        <v>41</v>
      </c>
      <c r="M4" s="87"/>
      <c r="N4" s="87"/>
      <c r="O4" s="87"/>
      <c r="P4" s="87"/>
      <c r="Q4" s="120" t="s">
        <v>40</v>
      </c>
      <c r="R4" s="87"/>
      <c r="S4" s="87"/>
      <c r="T4" s="91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</row>
    <row r="5" spans="1:33" x14ac:dyDescent="0.25">
      <c r="A5" s="93"/>
      <c r="B5" s="87"/>
      <c r="C5" s="87"/>
      <c r="D5" s="87"/>
      <c r="E5" s="87"/>
      <c r="F5" s="87"/>
      <c r="G5" s="87"/>
      <c r="H5" s="87"/>
      <c r="I5" s="87"/>
      <c r="J5" s="91"/>
      <c r="K5" s="93"/>
      <c r="L5" s="87"/>
      <c r="M5" s="87"/>
      <c r="N5" s="87"/>
      <c r="O5" s="87"/>
      <c r="P5" s="87"/>
      <c r="Q5" s="87"/>
      <c r="R5" s="87"/>
      <c r="S5" s="87"/>
      <c r="T5" s="91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</row>
    <row r="6" spans="1:33" x14ac:dyDescent="0.25">
      <c r="A6" s="93"/>
      <c r="B6" s="95" t="s">
        <v>64</v>
      </c>
      <c r="C6" s="87"/>
      <c r="D6" s="87"/>
      <c r="E6" s="87"/>
      <c r="F6" s="87"/>
      <c r="G6" s="95" t="str">
        <f>B6</f>
        <v>Husholdning</v>
      </c>
      <c r="H6" s="87"/>
      <c r="I6" s="87"/>
      <c r="J6" s="91"/>
      <c r="K6" s="93"/>
      <c r="L6" s="95" t="s">
        <v>64</v>
      </c>
      <c r="M6" s="87"/>
      <c r="N6" s="87"/>
      <c r="O6" s="87"/>
      <c r="P6" s="87"/>
      <c r="Q6" s="95" t="str">
        <f>L6</f>
        <v>Husholdning</v>
      </c>
      <c r="R6" s="87"/>
      <c r="S6" s="87"/>
      <c r="T6" s="91"/>
      <c r="U6" s="87"/>
      <c r="V6" s="87"/>
      <c r="W6" s="87"/>
      <c r="X6" s="87"/>
      <c r="Y6" s="87"/>
      <c r="Z6" s="87"/>
      <c r="AA6" s="87"/>
      <c r="AB6" s="87"/>
      <c r="AC6" s="87"/>
      <c r="AD6" s="87"/>
      <c r="AE6" s="87"/>
      <c r="AF6" s="87"/>
      <c r="AG6" s="87"/>
    </row>
    <row r="7" spans="1:33" x14ac:dyDescent="0.25">
      <c r="A7" s="93"/>
      <c r="B7" s="92" t="s">
        <v>53</v>
      </c>
      <c r="C7" s="98" t="s">
        <v>52</v>
      </c>
      <c r="D7" s="87"/>
      <c r="E7" s="87"/>
      <c r="F7" s="87"/>
      <c r="G7" s="92" t="str">
        <f>G12</f>
        <v>Eiendeler</v>
      </c>
      <c r="H7" s="98" t="str">
        <f>H12</f>
        <v>Gjeld&amp;Egenkapital</v>
      </c>
      <c r="I7" s="87"/>
      <c r="J7" s="91"/>
      <c r="K7" s="93"/>
      <c r="L7" s="92" t="s">
        <v>53</v>
      </c>
      <c r="M7" s="98" t="s">
        <v>52</v>
      </c>
      <c r="N7" s="92"/>
      <c r="O7" s="87"/>
      <c r="P7" s="87"/>
      <c r="Q7" s="103" t="str">
        <f>L7</f>
        <v>Eiendeler</v>
      </c>
      <c r="R7" s="98" t="s">
        <v>52</v>
      </c>
      <c r="S7" s="92"/>
      <c r="T7" s="91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87"/>
    </row>
    <row r="8" spans="1:33" x14ac:dyDescent="0.25">
      <c r="A8" s="159" t="s">
        <v>178</v>
      </c>
      <c r="B8" s="87">
        <v>750</v>
      </c>
      <c r="C8" s="96">
        <v>750</v>
      </c>
      <c r="D8" s="87" t="s">
        <v>63</v>
      </c>
      <c r="E8" s="87"/>
      <c r="F8" s="87" t="s">
        <v>62</v>
      </c>
      <c r="G8" s="87">
        <v>4000</v>
      </c>
      <c r="H8" s="96">
        <v>4000</v>
      </c>
      <c r="I8" s="87" t="s">
        <v>59</v>
      </c>
      <c r="J8" s="91"/>
      <c r="K8" s="93" t="s">
        <v>61</v>
      </c>
      <c r="L8" s="87">
        <v>-500</v>
      </c>
      <c r="M8" s="96"/>
      <c r="N8" s="87"/>
      <c r="O8" s="87"/>
      <c r="P8" s="87"/>
      <c r="Q8" s="87"/>
      <c r="R8" s="96"/>
      <c r="S8" s="87"/>
      <c r="T8" s="91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87"/>
    </row>
    <row r="9" spans="1:33" x14ac:dyDescent="0.25">
      <c r="A9" s="93" t="s">
        <v>60</v>
      </c>
      <c r="B9" s="87">
        <v>250</v>
      </c>
      <c r="C9" s="96">
        <v>250</v>
      </c>
      <c r="D9" s="87" t="s">
        <v>59</v>
      </c>
      <c r="E9" s="87"/>
      <c r="F9" s="87"/>
      <c r="G9" s="87"/>
      <c r="H9" s="87"/>
      <c r="I9" s="87"/>
      <c r="J9" s="91"/>
      <c r="K9" s="93" t="s">
        <v>58</v>
      </c>
      <c r="L9" s="87">
        <v>500</v>
      </c>
      <c r="M9" s="96"/>
      <c r="N9" s="87"/>
      <c r="O9" s="87"/>
      <c r="P9" s="87"/>
      <c r="Q9" s="87"/>
      <c r="R9" s="87"/>
      <c r="S9" s="87"/>
      <c r="T9" s="91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</row>
    <row r="10" spans="1:33" x14ac:dyDescent="0.25">
      <c r="A10" s="93"/>
      <c r="B10" s="87"/>
      <c r="C10" s="87"/>
      <c r="D10" s="87"/>
      <c r="E10" s="87"/>
      <c r="F10" s="87"/>
      <c r="G10" s="87"/>
      <c r="H10" s="87"/>
      <c r="I10" s="87"/>
      <c r="J10" s="91"/>
      <c r="K10" s="93"/>
      <c r="L10" s="87"/>
      <c r="M10" s="87"/>
      <c r="N10" s="87"/>
      <c r="O10" s="87"/>
      <c r="P10" s="87"/>
      <c r="Q10" s="87"/>
      <c r="R10" s="87"/>
      <c r="S10" s="87"/>
      <c r="T10" s="91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</row>
    <row r="11" spans="1:33" x14ac:dyDescent="0.25">
      <c r="A11" s="93"/>
      <c r="B11" s="95" t="s">
        <v>57</v>
      </c>
      <c r="C11" s="96"/>
      <c r="D11" s="87"/>
      <c r="E11" s="87"/>
      <c r="F11" s="87"/>
      <c r="G11" s="95" t="s">
        <v>57</v>
      </c>
      <c r="H11" s="87"/>
      <c r="I11" s="87"/>
      <c r="J11" s="91"/>
      <c r="K11" s="93"/>
      <c r="L11" s="95" t="s">
        <v>57</v>
      </c>
      <c r="M11" s="87"/>
      <c r="N11" s="87"/>
      <c r="O11" s="87"/>
      <c r="P11" s="87"/>
      <c r="Q11" s="95" t="str">
        <f>L11</f>
        <v>Forretningsbank</v>
      </c>
      <c r="R11" s="87"/>
      <c r="S11" s="87"/>
      <c r="T11" s="91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</row>
    <row r="12" spans="1:33" x14ac:dyDescent="0.25">
      <c r="A12" s="93"/>
      <c r="B12" s="92" t="str">
        <f>B7</f>
        <v>Eiendeler</v>
      </c>
      <c r="C12" s="98" t="str">
        <f>C7</f>
        <v>Gjeld&amp;Egenkapital</v>
      </c>
      <c r="D12" s="87"/>
      <c r="E12" s="87"/>
      <c r="F12" s="87"/>
      <c r="G12" s="92" t="str">
        <f>G16</f>
        <v>Eiendeler</v>
      </c>
      <c r="H12" s="98" t="str">
        <f>H16</f>
        <v>Gjeld&amp;Egenkapital</v>
      </c>
      <c r="I12" s="87"/>
      <c r="J12" s="91"/>
      <c r="K12" s="93"/>
      <c r="L12" s="92" t="s">
        <v>53</v>
      </c>
      <c r="M12" s="98" t="s">
        <v>52</v>
      </c>
      <c r="N12" s="92"/>
      <c r="O12" s="87"/>
      <c r="P12" s="87"/>
      <c r="Q12" s="103"/>
      <c r="R12" s="98" t="s">
        <v>52</v>
      </c>
      <c r="S12" s="92"/>
      <c r="T12" s="91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</row>
    <row r="13" spans="1:33" x14ac:dyDescent="0.25">
      <c r="A13" s="132" t="s">
        <v>149</v>
      </c>
      <c r="B13" s="87">
        <v>750</v>
      </c>
      <c r="C13" s="96">
        <v>750</v>
      </c>
      <c r="D13" s="139" t="s">
        <v>174</v>
      </c>
      <c r="E13" s="87"/>
      <c r="F13" s="87" t="s">
        <v>56</v>
      </c>
      <c r="G13" s="87">
        <v>4000</v>
      </c>
      <c r="H13" s="96">
        <v>4000</v>
      </c>
      <c r="I13" s="87" t="s">
        <v>34</v>
      </c>
      <c r="J13" s="91"/>
      <c r="K13" s="93"/>
      <c r="L13" s="87"/>
      <c r="M13" s="96">
        <v>500</v>
      </c>
      <c r="N13" s="139" t="s">
        <v>174</v>
      </c>
      <c r="O13" s="87"/>
      <c r="P13" s="133" t="s">
        <v>56</v>
      </c>
      <c r="Q13" s="87">
        <v>500</v>
      </c>
      <c r="R13" s="87">
        <v>500</v>
      </c>
      <c r="S13" s="139" t="s">
        <v>34</v>
      </c>
      <c r="T13" s="91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</row>
    <row r="14" spans="1:33" x14ac:dyDescent="0.25">
      <c r="A14" s="93"/>
      <c r="B14" s="87"/>
      <c r="C14" s="87"/>
      <c r="D14" s="87"/>
      <c r="E14" s="87"/>
      <c r="F14" s="87"/>
      <c r="G14" s="87"/>
      <c r="H14" s="87"/>
      <c r="I14" s="87"/>
      <c r="J14" s="91"/>
      <c r="K14" s="93"/>
      <c r="L14" s="87"/>
      <c r="M14" s="87">
        <v>-500</v>
      </c>
      <c r="N14" s="87" t="s">
        <v>55</v>
      </c>
      <c r="O14" s="87"/>
      <c r="P14" s="87"/>
      <c r="Q14" s="87"/>
      <c r="R14" s="87"/>
      <c r="S14" s="87"/>
      <c r="T14" s="91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</row>
    <row r="15" spans="1:33" x14ac:dyDescent="0.25">
      <c r="A15" s="93"/>
      <c r="B15" s="95" t="s">
        <v>54</v>
      </c>
      <c r="C15" s="87"/>
      <c r="D15" s="87"/>
      <c r="E15" s="87"/>
      <c r="F15" s="87"/>
      <c r="G15" s="95" t="s">
        <v>54</v>
      </c>
      <c r="H15" s="87"/>
      <c r="I15" s="87"/>
      <c r="J15" s="91"/>
      <c r="K15" s="93"/>
      <c r="L15" s="95" t="s">
        <v>54</v>
      </c>
      <c r="M15" s="87"/>
      <c r="N15" s="87"/>
      <c r="O15" s="87"/>
      <c r="P15" s="87"/>
      <c r="Q15" s="95" t="str">
        <f>L15</f>
        <v>Nasjonal sentralbank</v>
      </c>
      <c r="R15" s="87"/>
      <c r="S15" s="87"/>
      <c r="T15" s="91"/>
      <c r="U15" s="87"/>
      <c r="V15" s="87"/>
      <c r="W15" s="87"/>
      <c r="X15" s="87"/>
      <c r="Y15" s="87"/>
      <c r="Z15" s="87"/>
      <c r="AA15" s="87"/>
      <c r="AB15" s="87"/>
      <c r="AC15" s="87"/>
      <c r="AD15" s="87"/>
      <c r="AE15" s="87"/>
      <c r="AF15" s="87"/>
      <c r="AG15" s="87"/>
    </row>
    <row r="16" spans="1:33" x14ac:dyDescent="0.25">
      <c r="A16" s="93"/>
      <c r="B16" s="92" t="str">
        <f>B12</f>
        <v>Eiendeler</v>
      </c>
      <c r="C16" s="98" t="str">
        <f>C12</f>
        <v>Gjeld&amp;Egenkapital</v>
      </c>
      <c r="D16" s="87"/>
      <c r="E16" s="87"/>
      <c r="F16" s="87"/>
      <c r="G16" s="92" t="str">
        <f>B16</f>
        <v>Eiendeler</v>
      </c>
      <c r="H16" s="98" t="str">
        <f>C16</f>
        <v>Gjeld&amp;Egenkapital</v>
      </c>
      <c r="I16" s="87"/>
      <c r="J16" s="91"/>
      <c r="K16" s="93"/>
      <c r="L16" s="92" t="s">
        <v>53</v>
      </c>
      <c r="M16" s="92" t="s">
        <v>52</v>
      </c>
      <c r="N16" s="92"/>
      <c r="O16" s="87"/>
      <c r="P16" s="87"/>
      <c r="Q16" s="103"/>
      <c r="R16" s="98" t="s">
        <v>52</v>
      </c>
      <c r="S16" s="92"/>
      <c r="T16" s="91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</row>
    <row r="17" spans="1:33" x14ac:dyDescent="0.25">
      <c r="A17" s="93" t="s">
        <v>50</v>
      </c>
      <c r="B17" s="87">
        <v>750</v>
      </c>
      <c r="C17" s="96">
        <v>1000</v>
      </c>
      <c r="D17" s="87" t="s">
        <v>49</v>
      </c>
      <c r="E17" s="87"/>
      <c r="F17" s="87" t="s">
        <v>51</v>
      </c>
      <c r="G17" s="87">
        <v>4000</v>
      </c>
      <c r="H17" s="96">
        <v>4000</v>
      </c>
      <c r="I17" s="87" t="s">
        <v>32</v>
      </c>
      <c r="J17" s="91"/>
      <c r="K17" s="93" t="s">
        <v>50</v>
      </c>
      <c r="L17" s="87">
        <v>500</v>
      </c>
      <c r="M17" s="97">
        <v>500</v>
      </c>
      <c r="N17" s="87" t="s">
        <v>49</v>
      </c>
      <c r="O17" s="87"/>
      <c r="P17" s="133" t="s">
        <v>33</v>
      </c>
      <c r="Q17" s="87">
        <v>500</v>
      </c>
      <c r="R17" s="96">
        <v>500</v>
      </c>
      <c r="S17" s="139" t="s">
        <v>175</v>
      </c>
      <c r="T17" s="91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</row>
    <row r="18" spans="1:33" x14ac:dyDescent="0.25">
      <c r="A18" s="93" t="s">
        <v>48</v>
      </c>
      <c r="B18" s="87">
        <v>250</v>
      </c>
      <c r="C18" s="96"/>
      <c r="D18" s="87"/>
      <c r="E18" s="87"/>
      <c r="F18" s="87"/>
      <c r="G18" s="87"/>
      <c r="H18" s="87"/>
      <c r="I18" s="87"/>
      <c r="J18" s="91"/>
      <c r="K18" s="93"/>
      <c r="L18" s="87"/>
      <c r="M18" s="96"/>
      <c r="N18" s="87"/>
      <c r="O18" s="87"/>
      <c r="P18" s="87"/>
      <c r="Q18" s="87"/>
      <c r="R18" s="87"/>
      <c r="S18" s="87"/>
      <c r="T18" s="91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</row>
    <row r="19" spans="1:33" x14ac:dyDescent="0.25">
      <c r="A19" s="93"/>
      <c r="B19" s="87"/>
      <c r="J19" s="91"/>
      <c r="K19" s="93"/>
      <c r="L19" s="87"/>
      <c r="M19" s="87"/>
      <c r="N19" s="87"/>
      <c r="O19" s="87"/>
      <c r="P19" s="87"/>
      <c r="Q19" s="87"/>
      <c r="R19" s="87"/>
      <c r="S19" s="87"/>
      <c r="T19" s="91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  <c r="AF19" s="87"/>
      <c r="AG19" s="87"/>
    </row>
    <row r="20" spans="1:33" x14ac:dyDescent="0.25">
      <c r="C20" s="95" t="s">
        <v>151</v>
      </c>
      <c r="D20" s="87"/>
      <c r="E20" s="87"/>
      <c r="F20" s="87"/>
      <c r="G20" s="87"/>
      <c r="H20" s="87"/>
      <c r="J20" s="91"/>
      <c r="K20" s="93"/>
      <c r="L20" s="87"/>
      <c r="M20" s="95" t="s">
        <v>150</v>
      </c>
      <c r="N20" s="87"/>
      <c r="O20" s="87"/>
      <c r="P20" s="87"/>
      <c r="Q20" s="87"/>
      <c r="R20" s="87"/>
      <c r="S20" s="87"/>
      <c r="T20" s="91"/>
      <c r="U20" s="87"/>
      <c r="V20" s="87"/>
      <c r="W20" s="87"/>
      <c r="X20" s="87"/>
      <c r="Y20" s="87"/>
      <c r="Z20" s="87"/>
      <c r="AA20" s="87"/>
      <c r="AB20" s="87"/>
      <c r="AC20" s="87"/>
      <c r="AD20" s="87"/>
      <c r="AE20" s="87"/>
      <c r="AF20" s="87"/>
      <c r="AG20" s="87"/>
    </row>
    <row r="21" spans="1:33" x14ac:dyDescent="0.25">
      <c r="C21" s="87" t="s">
        <v>47</v>
      </c>
      <c r="D21" s="87"/>
      <c r="E21" s="87"/>
      <c r="F21" s="87"/>
      <c r="G21" s="87"/>
      <c r="H21" s="87"/>
      <c r="J21" s="91"/>
      <c r="K21" s="93"/>
      <c r="L21" s="87"/>
      <c r="M21" s="134" t="s">
        <v>152</v>
      </c>
      <c r="N21" s="87"/>
      <c r="O21" s="87"/>
      <c r="P21" s="87"/>
      <c r="Q21" s="87"/>
      <c r="R21" s="87"/>
      <c r="S21" s="87"/>
      <c r="T21" s="91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</row>
    <row r="22" spans="1:33" x14ac:dyDescent="0.25">
      <c r="C22" s="87" t="s">
        <v>46</v>
      </c>
      <c r="D22" s="87"/>
      <c r="E22" s="87"/>
      <c r="F22" s="87"/>
      <c r="G22" s="87"/>
      <c r="H22" s="87"/>
      <c r="J22" s="91"/>
      <c r="K22" s="93"/>
      <c r="L22" s="87"/>
      <c r="M22" s="87" t="s">
        <v>31</v>
      </c>
      <c r="N22" s="87"/>
      <c r="O22" s="87"/>
      <c r="P22" s="87"/>
      <c r="Q22" s="87"/>
      <c r="R22" s="87"/>
      <c r="S22" s="87"/>
      <c r="T22" s="91"/>
      <c r="U22" s="87"/>
      <c r="V22" s="87"/>
      <c r="W22" s="87"/>
      <c r="X22" s="87"/>
      <c r="Y22" s="87"/>
      <c r="Z22" s="87"/>
      <c r="AA22" s="87"/>
      <c r="AB22" s="87"/>
      <c r="AC22" s="87"/>
      <c r="AD22" s="87"/>
      <c r="AE22" s="87"/>
      <c r="AF22" s="87"/>
      <c r="AG22" s="87"/>
    </row>
    <row r="23" spans="1:33" x14ac:dyDescent="0.25">
      <c r="C23" s="160" t="s">
        <v>180</v>
      </c>
      <c r="D23" s="87"/>
      <c r="E23" s="87"/>
      <c r="F23" s="87"/>
      <c r="G23" s="87"/>
      <c r="H23" s="87"/>
      <c r="J23" s="91"/>
      <c r="K23" s="93"/>
      <c r="L23" s="87"/>
      <c r="M23" s="161" t="s">
        <v>181</v>
      </c>
      <c r="N23" s="87"/>
      <c r="O23" s="87"/>
      <c r="P23" s="87"/>
      <c r="Q23" s="87"/>
      <c r="R23" s="87"/>
      <c r="S23" s="87"/>
      <c r="T23" s="91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E23" s="87"/>
      <c r="AF23" s="87"/>
      <c r="AG23" s="87"/>
    </row>
    <row r="24" spans="1:33" x14ac:dyDescent="0.25">
      <c r="A24" s="93"/>
      <c r="B24" s="87"/>
      <c r="J24" s="91"/>
      <c r="K24" s="93"/>
      <c r="L24" s="87"/>
      <c r="M24" s="87"/>
      <c r="N24" s="87"/>
      <c r="O24" s="87"/>
      <c r="P24" s="87"/>
      <c r="Q24" s="87"/>
      <c r="R24" s="87"/>
      <c r="S24" s="87"/>
      <c r="T24" s="91"/>
      <c r="U24" s="87"/>
      <c r="V24" s="87"/>
      <c r="W24" s="87"/>
      <c r="X24" s="87"/>
      <c r="Y24" s="87"/>
      <c r="Z24" s="87"/>
      <c r="AA24" s="87"/>
      <c r="AB24" s="87"/>
      <c r="AC24" s="87"/>
      <c r="AD24" s="87"/>
      <c r="AE24" s="87"/>
      <c r="AF24" s="87"/>
      <c r="AG24" s="87"/>
    </row>
    <row r="25" spans="1:33" ht="15.75" thickBot="1" x14ac:dyDescent="0.3">
      <c r="A25" s="90" t="s">
        <v>45</v>
      </c>
      <c r="B25" s="89"/>
      <c r="C25" s="89"/>
      <c r="D25" s="89"/>
      <c r="E25" s="87"/>
      <c r="F25" s="87"/>
      <c r="G25" s="87"/>
      <c r="H25" s="87"/>
      <c r="I25" s="87"/>
      <c r="J25" s="91"/>
      <c r="K25" s="90" t="s">
        <v>45</v>
      </c>
      <c r="L25" s="89"/>
      <c r="M25" s="89"/>
      <c r="N25" s="89"/>
      <c r="O25" s="89"/>
      <c r="P25" s="89"/>
      <c r="Q25" s="89"/>
      <c r="R25" s="89"/>
      <c r="S25" s="89"/>
      <c r="T25" s="88"/>
      <c r="U25" s="87"/>
      <c r="V25" s="87"/>
      <c r="W25" s="87"/>
      <c r="X25" s="87"/>
      <c r="Y25" s="87"/>
      <c r="Z25" s="87"/>
      <c r="AA25" s="87"/>
      <c r="AB25" s="87"/>
      <c r="AC25" s="87"/>
      <c r="AD25" s="87"/>
      <c r="AE25" s="87"/>
      <c r="AF25" s="87"/>
      <c r="AG25" s="87"/>
    </row>
    <row r="26" spans="1:33" x14ac:dyDescent="0.25">
      <c r="A26" s="101" t="str">
        <f>A1</f>
        <v>Initialt: Basispengemengdevekst</v>
      </c>
      <c r="B26" s="100"/>
      <c r="C26" s="100"/>
      <c r="D26" s="100"/>
      <c r="E26" s="100"/>
      <c r="F26" s="100"/>
      <c r="G26" s="100"/>
      <c r="H26" s="100"/>
      <c r="I26" s="100"/>
      <c r="J26" s="99"/>
      <c r="K26" s="95"/>
      <c r="L26" s="87"/>
      <c r="M26" s="95"/>
      <c r="N26" s="95"/>
      <c r="O26" s="95"/>
      <c r="P26" s="95"/>
      <c r="Q26" s="95"/>
      <c r="R26" s="87"/>
      <c r="S26" s="87"/>
      <c r="T26" s="87"/>
      <c r="U26" s="87"/>
      <c r="V26" s="95"/>
      <c r="W26" s="95"/>
      <c r="X26" s="95"/>
      <c r="Y26" s="95"/>
      <c r="Z26" s="95"/>
      <c r="AA26" s="95"/>
      <c r="AB26" s="95"/>
      <c r="AC26" s="95"/>
      <c r="AD26" s="152"/>
      <c r="AE26" s="87"/>
      <c r="AF26" s="87"/>
      <c r="AG26" s="87"/>
    </row>
    <row r="27" spans="1:33" x14ac:dyDescent="0.25">
      <c r="A27" s="93" t="s">
        <v>43</v>
      </c>
      <c r="B27" s="87"/>
      <c r="C27" s="87"/>
      <c r="D27" s="87"/>
      <c r="E27" s="87"/>
      <c r="F27" s="87"/>
      <c r="G27" s="87"/>
      <c r="H27" s="87"/>
      <c r="I27" s="87"/>
      <c r="J27" s="91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  <c r="AA27" s="87"/>
      <c r="AB27" s="87"/>
      <c r="AC27" s="87"/>
      <c r="AD27" s="87"/>
      <c r="AE27" s="87"/>
      <c r="AF27" s="87"/>
      <c r="AG27" s="87"/>
    </row>
    <row r="28" spans="1:33" x14ac:dyDescent="0.25">
      <c r="A28" s="93"/>
      <c r="B28" s="87"/>
      <c r="C28" s="87"/>
      <c r="D28" s="87"/>
      <c r="E28" s="87"/>
      <c r="F28" s="87"/>
      <c r="G28" s="87"/>
      <c r="H28" s="87"/>
      <c r="I28" s="87"/>
      <c r="J28" s="91"/>
      <c r="K28" s="87"/>
      <c r="L28" s="87"/>
      <c r="M28" s="87"/>
      <c r="N28" s="94"/>
      <c r="O28" s="94"/>
      <c r="P28" s="94"/>
      <c r="Q28" s="94"/>
      <c r="R28" s="94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87"/>
      <c r="AD28" s="87"/>
      <c r="AE28" s="87"/>
      <c r="AF28" s="87"/>
      <c r="AG28" s="87"/>
    </row>
    <row r="29" spans="1:33" ht="15.75" x14ac:dyDescent="0.25">
      <c r="A29" s="93"/>
      <c r="B29" s="120" t="s">
        <v>41</v>
      </c>
      <c r="C29" s="87"/>
      <c r="D29" s="87"/>
      <c r="E29" s="87"/>
      <c r="F29" s="87"/>
      <c r="G29" s="120" t="s">
        <v>40</v>
      </c>
      <c r="H29" s="87"/>
      <c r="I29" s="87"/>
      <c r="J29" s="91"/>
      <c r="K29" s="87"/>
      <c r="L29" s="87"/>
      <c r="M29" s="87"/>
      <c r="N29" s="94"/>
      <c r="O29" s="94"/>
      <c r="P29" s="94"/>
      <c r="Q29" s="94"/>
      <c r="R29" s="94"/>
      <c r="S29" s="87"/>
      <c r="T29" s="87"/>
      <c r="U29" s="87"/>
      <c r="V29" s="87"/>
      <c r="W29" s="87"/>
      <c r="X29" s="87"/>
      <c r="Y29" s="87"/>
      <c r="Z29" s="87"/>
      <c r="AA29" s="87"/>
      <c r="AB29" s="87"/>
      <c r="AC29" s="87"/>
      <c r="AD29" s="87"/>
      <c r="AE29" s="87"/>
      <c r="AF29" s="87"/>
      <c r="AG29" s="87"/>
    </row>
    <row r="30" spans="1:33" x14ac:dyDescent="0.25">
      <c r="A30" s="93"/>
      <c r="B30" s="87"/>
      <c r="C30" s="87"/>
      <c r="D30" s="87"/>
      <c r="E30" s="87"/>
      <c r="F30" s="87"/>
      <c r="G30" s="87"/>
      <c r="H30" s="87"/>
      <c r="I30" s="87"/>
      <c r="J30" s="91"/>
      <c r="K30" s="87"/>
      <c r="L30" s="87"/>
      <c r="M30" s="87"/>
      <c r="N30" s="94"/>
      <c r="O30" s="94"/>
      <c r="P30" s="94"/>
      <c r="Q30" s="94"/>
      <c r="R30" s="94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  <c r="AD30" s="87"/>
      <c r="AE30" s="87"/>
      <c r="AF30" s="87"/>
      <c r="AG30" s="87"/>
    </row>
    <row r="31" spans="1:33" x14ac:dyDescent="0.25">
      <c r="A31" s="93"/>
      <c r="B31" s="95" t="str">
        <f>B6</f>
        <v>Husholdning</v>
      </c>
      <c r="C31" s="87"/>
      <c r="D31" s="87"/>
      <c r="E31" s="87"/>
      <c r="F31" s="87"/>
      <c r="G31" s="95" t="str">
        <f>G6</f>
        <v>Husholdning</v>
      </c>
      <c r="H31" s="87"/>
      <c r="I31" s="87"/>
      <c r="J31" s="91"/>
      <c r="K31" s="87"/>
      <c r="L31" s="87"/>
      <c r="M31" s="87"/>
      <c r="N31" s="87"/>
      <c r="O31" s="87"/>
      <c r="P31" s="87"/>
      <c r="Q31" s="87"/>
      <c r="R31" s="150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  <c r="AF31" s="87"/>
      <c r="AG31" s="87"/>
    </row>
    <row r="32" spans="1:33" x14ac:dyDescent="0.25">
      <c r="A32" s="93"/>
      <c r="B32" s="92" t="str">
        <f>B7</f>
        <v>Eiendeler</v>
      </c>
      <c r="C32" s="98" t="str">
        <f>C7</f>
        <v>Gjeld&amp;Egenkapital</v>
      </c>
      <c r="D32" s="92"/>
      <c r="E32" s="87"/>
      <c r="F32" s="87"/>
      <c r="G32" s="92" t="str">
        <f>B32</f>
        <v>Eiendeler</v>
      </c>
      <c r="H32" s="98" t="str">
        <f>C32</f>
        <v>Gjeld&amp;Egenkapital</v>
      </c>
      <c r="I32" s="92"/>
      <c r="J32" s="91"/>
      <c r="K32" s="95"/>
      <c r="L32" s="87"/>
      <c r="M32" s="95"/>
      <c r="N32" s="95"/>
      <c r="O32" s="95"/>
      <c r="P32" s="95"/>
      <c r="Q32" s="95"/>
      <c r="R32" s="87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  <c r="AD32" s="87"/>
      <c r="AE32" s="87"/>
      <c r="AF32" s="87"/>
      <c r="AG32" s="87"/>
    </row>
    <row r="33" spans="1:33" x14ac:dyDescent="0.25">
      <c r="A33" s="93" t="str">
        <f>A8</f>
        <v>Bil</v>
      </c>
      <c r="B33" s="87">
        <v>750</v>
      </c>
      <c r="C33" s="96">
        <v>750</v>
      </c>
      <c r="D33" s="87" t="str">
        <f>D8</f>
        <v>Banklån</v>
      </c>
      <c r="E33" s="87"/>
      <c r="F33" s="87" t="str">
        <f>F8</f>
        <v>Bankkinskudd</v>
      </c>
      <c r="G33" s="87">
        <v>1000</v>
      </c>
      <c r="H33" s="96">
        <v>1000</v>
      </c>
      <c r="I33" s="87" t="s">
        <v>35</v>
      </c>
      <c r="J33" s="91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  <c r="AA33" s="87"/>
      <c r="AB33" s="87"/>
      <c r="AC33" s="87"/>
      <c r="AD33" s="87"/>
      <c r="AE33" s="87"/>
      <c r="AF33" s="87"/>
      <c r="AG33" s="87"/>
    </row>
    <row r="34" spans="1:33" x14ac:dyDescent="0.25">
      <c r="A34" s="132" t="s">
        <v>148</v>
      </c>
      <c r="B34" s="87">
        <v>250</v>
      </c>
      <c r="C34" s="96">
        <v>250</v>
      </c>
      <c r="D34" s="87" t="str">
        <f>D9</f>
        <v>Egenkapital</v>
      </c>
      <c r="E34" s="87"/>
      <c r="F34" s="87"/>
      <c r="G34" s="87"/>
      <c r="H34" s="87"/>
      <c r="I34" s="87"/>
      <c r="J34" s="91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  <c r="AD34" s="87"/>
      <c r="AE34" s="87"/>
      <c r="AF34" s="87"/>
      <c r="AG34" s="87"/>
    </row>
    <row r="35" spans="1:33" x14ac:dyDescent="0.25">
      <c r="A35" s="93"/>
      <c r="B35" s="87"/>
      <c r="C35" s="87"/>
      <c r="D35" s="87"/>
      <c r="E35" s="87"/>
      <c r="F35" s="87"/>
      <c r="G35" s="87"/>
      <c r="H35" s="87"/>
      <c r="I35" s="87"/>
      <c r="J35" s="91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87"/>
      <c r="AD35" s="87"/>
      <c r="AE35" s="87"/>
      <c r="AF35" s="87"/>
      <c r="AG35" s="87"/>
    </row>
    <row r="36" spans="1:33" x14ac:dyDescent="0.25">
      <c r="A36" s="93"/>
      <c r="B36" s="95" t="str">
        <f>B11</f>
        <v>Forretningsbank</v>
      </c>
      <c r="C36" s="87"/>
      <c r="D36" s="87"/>
      <c r="E36" s="87"/>
      <c r="F36" s="87"/>
      <c r="G36" s="95" t="str">
        <f>G11</f>
        <v>Forretningsbank</v>
      </c>
      <c r="H36" s="87"/>
      <c r="I36" s="87"/>
      <c r="J36" s="91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  <c r="AA36" s="87"/>
      <c r="AB36" s="87"/>
      <c r="AC36" s="87"/>
      <c r="AD36" s="87"/>
      <c r="AE36" s="87"/>
      <c r="AF36" s="87"/>
      <c r="AG36" s="87"/>
    </row>
    <row r="37" spans="1:33" x14ac:dyDescent="0.25">
      <c r="A37" s="93"/>
      <c r="B37" s="92" t="str">
        <f>B32</f>
        <v>Eiendeler</v>
      </c>
      <c r="C37" s="98" t="str">
        <f>C32</f>
        <v>Gjeld&amp;Egenkapital</v>
      </c>
      <c r="D37" s="92"/>
      <c r="E37" s="87"/>
      <c r="F37" s="87"/>
      <c r="G37" s="92" t="str">
        <f>B37</f>
        <v>Eiendeler</v>
      </c>
      <c r="H37" s="98" t="str">
        <f>C37</f>
        <v>Gjeld&amp;Egenkapital</v>
      </c>
      <c r="I37" s="92"/>
      <c r="J37" s="91"/>
      <c r="K37" s="87"/>
      <c r="L37" s="87"/>
      <c r="M37" s="87"/>
      <c r="N37" s="94"/>
      <c r="O37" s="94"/>
      <c r="P37" s="94"/>
      <c r="Q37" s="94"/>
      <c r="R37" s="94"/>
      <c r="S37" s="87"/>
      <c r="T37" s="87"/>
      <c r="U37" s="87"/>
      <c r="V37" s="87"/>
      <c r="W37" s="87"/>
      <c r="X37" s="87"/>
      <c r="Y37" s="87"/>
      <c r="Z37" s="87"/>
      <c r="AA37" s="87"/>
      <c r="AB37" s="87"/>
      <c r="AC37" s="87"/>
      <c r="AD37" s="87"/>
      <c r="AE37" s="87"/>
      <c r="AF37" s="87"/>
      <c r="AG37" s="87"/>
    </row>
    <row r="38" spans="1:33" x14ac:dyDescent="0.25">
      <c r="A38" s="93" t="str">
        <f>A13</f>
        <v>Kreditt Hush.</v>
      </c>
      <c r="B38" s="87">
        <v>750</v>
      </c>
      <c r="C38" s="96">
        <v>750</v>
      </c>
      <c r="D38" s="87" t="str">
        <f>D13</f>
        <v>Ref. lån</v>
      </c>
      <c r="E38" s="87"/>
      <c r="F38" s="87" t="str">
        <f>F13</f>
        <v>Reserver</v>
      </c>
      <c r="G38" s="87">
        <v>1000</v>
      </c>
      <c r="H38" s="96">
        <v>1000</v>
      </c>
      <c r="I38" s="87" t="s">
        <v>34</v>
      </c>
      <c r="J38" s="91"/>
      <c r="K38" s="87"/>
      <c r="L38" s="87"/>
      <c r="M38" s="87"/>
      <c r="N38" s="94"/>
      <c r="O38" s="94"/>
      <c r="P38" s="94"/>
      <c r="Q38" s="94"/>
      <c r="R38" s="94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  <c r="AD38" s="87"/>
      <c r="AE38" s="87"/>
      <c r="AF38" s="87"/>
      <c r="AG38" s="87"/>
    </row>
    <row r="39" spans="1:33" x14ac:dyDescent="0.25">
      <c r="A39" s="93"/>
      <c r="B39" s="87"/>
      <c r="C39" s="87"/>
      <c r="D39" s="87"/>
      <c r="E39" s="87"/>
      <c r="F39" s="87"/>
      <c r="G39" s="87"/>
      <c r="H39" s="87"/>
      <c r="I39" s="87"/>
      <c r="J39" s="91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</row>
    <row r="40" spans="1:33" x14ac:dyDescent="0.25">
      <c r="A40" s="93"/>
      <c r="B40" s="95" t="str">
        <f>B15</f>
        <v>Nasjonal sentralbank</v>
      </c>
      <c r="C40" s="87"/>
      <c r="D40" s="87"/>
      <c r="E40" s="87"/>
      <c r="F40" s="87"/>
      <c r="G40" s="95" t="str">
        <f>G15</f>
        <v>Nasjonal sentralbank</v>
      </c>
      <c r="H40" s="87"/>
      <c r="I40" s="87"/>
      <c r="J40" s="91"/>
      <c r="K40" s="87"/>
      <c r="L40" s="87"/>
      <c r="M40" s="87"/>
      <c r="N40" s="94"/>
      <c r="O40" s="94"/>
      <c r="P40" s="94"/>
      <c r="Q40" s="94"/>
      <c r="R40" s="94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  <c r="AD40" s="87"/>
      <c r="AE40" s="87"/>
      <c r="AF40" s="87"/>
      <c r="AG40" s="87"/>
    </row>
    <row r="41" spans="1:33" x14ac:dyDescent="0.25">
      <c r="A41" s="93"/>
      <c r="B41" s="92" t="str">
        <f>B37</f>
        <v>Eiendeler</v>
      </c>
      <c r="C41" s="92" t="str">
        <f>C37</f>
        <v>Gjeld&amp;Egenkapital</v>
      </c>
      <c r="D41" s="92"/>
      <c r="E41" s="87"/>
      <c r="F41" s="87"/>
      <c r="G41" s="92" t="str">
        <f>B41</f>
        <v>Eiendeler</v>
      </c>
      <c r="H41" s="98" t="str">
        <f>C41</f>
        <v>Gjeld&amp;Egenkapital</v>
      </c>
      <c r="I41" s="92"/>
      <c r="J41" s="91"/>
      <c r="K41" s="87"/>
      <c r="L41" s="87"/>
      <c r="M41" s="87"/>
      <c r="N41" s="94"/>
      <c r="O41" s="94"/>
      <c r="P41" s="94"/>
      <c r="Q41" s="94"/>
      <c r="R41" s="94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</row>
    <row r="42" spans="1:33" x14ac:dyDescent="0.25">
      <c r="A42" s="93" t="str">
        <f>A17</f>
        <v>Bank lån</v>
      </c>
      <c r="B42" s="87">
        <v>750</v>
      </c>
      <c r="C42" s="97">
        <f>C17</f>
        <v>1000</v>
      </c>
      <c r="D42" s="87" t="str">
        <f>D17</f>
        <v>Basispenger</v>
      </c>
      <c r="E42" s="87"/>
      <c r="F42" s="87" t="s">
        <v>33</v>
      </c>
      <c r="G42" s="87">
        <v>1000</v>
      </c>
      <c r="H42" s="96">
        <v>1000</v>
      </c>
      <c r="I42" s="87" t="s">
        <v>32</v>
      </c>
      <c r="J42" s="91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  <c r="AA42" s="87"/>
      <c r="AB42" s="87"/>
      <c r="AC42" s="87"/>
      <c r="AD42" s="87"/>
      <c r="AE42" s="87"/>
      <c r="AF42" s="87"/>
      <c r="AG42" s="87"/>
    </row>
    <row r="43" spans="1:33" x14ac:dyDescent="0.25">
      <c r="A43" s="93" t="str">
        <f>A18</f>
        <v>Obligasjoner</v>
      </c>
      <c r="B43" s="87">
        <v>250</v>
      </c>
      <c r="C43" s="96"/>
      <c r="D43" s="87"/>
      <c r="E43" s="87"/>
      <c r="F43" s="87"/>
      <c r="G43" s="87"/>
      <c r="H43" s="87"/>
      <c r="I43" s="87"/>
      <c r="J43" s="91"/>
      <c r="K43" s="87"/>
      <c r="L43" s="87"/>
      <c r="M43" s="87"/>
      <c r="N43" s="94"/>
      <c r="O43" s="94"/>
      <c r="P43" s="94"/>
      <c r="Q43" s="94"/>
      <c r="R43" s="94"/>
      <c r="S43" s="87"/>
      <c r="T43" s="87"/>
      <c r="U43" s="87"/>
      <c r="V43" s="87"/>
      <c r="W43" s="87"/>
      <c r="X43" s="87"/>
      <c r="Y43" s="87"/>
      <c r="Z43" s="87"/>
      <c r="AA43" s="87"/>
      <c r="AB43" s="87"/>
      <c r="AC43" s="87"/>
      <c r="AD43" s="87"/>
      <c r="AE43" s="87"/>
      <c r="AF43" s="87"/>
      <c r="AG43" s="87"/>
    </row>
    <row r="44" spans="1:33" x14ac:dyDescent="0.25">
      <c r="A44" s="93"/>
      <c r="B44" s="87"/>
      <c r="C44" s="87"/>
      <c r="D44" s="87"/>
      <c r="E44" s="87"/>
      <c r="F44" s="87"/>
      <c r="G44" s="87"/>
      <c r="H44" s="87"/>
      <c r="I44" s="87"/>
      <c r="J44" s="91"/>
      <c r="K44" s="87"/>
      <c r="L44" s="87"/>
      <c r="M44" s="87"/>
      <c r="N44" s="94"/>
      <c r="O44" s="94"/>
      <c r="P44" s="94"/>
      <c r="Q44" s="94"/>
      <c r="R44" s="94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  <c r="AD44" s="87"/>
      <c r="AE44" s="87"/>
      <c r="AF44" s="87"/>
      <c r="AG44" s="87"/>
    </row>
    <row r="45" spans="1:33" x14ac:dyDescent="0.25">
      <c r="A45" s="93"/>
      <c r="B45" s="87"/>
      <c r="C45" s="95" t="s">
        <v>150</v>
      </c>
      <c r="D45" s="87"/>
      <c r="E45" s="87"/>
      <c r="F45" s="87"/>
      <c r="G45" s="87"/>
      <c r="H45" s="87"/>
      <c r="I45" s="87"/>
      <c r="J45" s="91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  <c r="AD45" s="87"/>
      <c r="AE45" s="87"/>
      <c r="AF45" s="87"/>
      <c r="AG45" s="87"/>
    </row>
    <row r="46" spans="1:33" x14ac:dyDescent="0.25">
      <c r="A46" s="93"/>
      <c r="B46" s="87"/>
      <c r="C46" s="134" t="s">
        <v>152</v>
      </c>
      <c r="D46" s="87"/>
      <c r="E46" s="87"/>
      <c r="F46" s="87"/>
      <c r="G46" s="87"/>
      <c r="H46" s="87"/>
      <c r="I46" s="87"/>
      <c r="J46" s="91"/>
      <c r="K46" s="87"/>
      <c r="L46" s="87"/>
      <c r="M46" s="87"/>
      <c r="N46" s="94"/>
      <c r="O46" s="94"/>
      <c r="P46" s="94"/>
      <c r="Q46" s="94"/>
      <c r="R46" s="94"/>
      <c r="S46" s="87"/>
      <c r="T46" s="87"/>
      <c r="U46" s="87"/>
      <c r="V46" s="87"/>
      <c r="W46" s="87"/>
      <c r="X46" s="87"/>
      <c r="Y46" s="87"/>
      <c r="Z46" s="87"/>
      <c r="AA46" s="87"/>
      <c r="AB46" s="87"/>
      <c r="AC46" s="87"/>
      <c r="AD46" s="87"/>
      <c r="AE46" s="87"/>
      <c r="AF46" s="87"/>
      <c r="AG46" s="87"/>
    </row>
    <row r="47" spans="1:33" x14ac:dyDescent="0.25">
      <c r="A47" s="93"/>
      <c r="B47" s="87"/>
      <c r="C47" s="87" t="s">
        <v>31</v>
      </c>
      <c r="D47" s="87"/>
      <c r="E47" s="87"/>
      <c r="F47" s="87"/>
      <c r="G47" s="87"/>
      <c r="H47" s="87"/>
      <c r="I47" s="87"/>
      <c r="J47" s="91"/>
      <c r="K47" s="87"/>
      <c r="L47" s="87"/>
      <c r="M47" s="87"/>
      <c r="N47" s="94"/>
      <c r="O47" s="94"/>
      <c r="P47" s="94"/>
      <c r="Q47" s="94"/>
      <c r="R47" s="94"/>
      <c r="S47" s="87"/>
      <c r="T47" s="87"/>
      <c r="U47" s="87"/>
      <c r="V47" s="87"/>
      <c r="W47" s="87"/>
      <c r="X47" s="87"/>
      <c r="Y47" s="87"/>
      <c r="Z47" s="87"/>
      <c r="AA47" s="87"/>
      <c r="AB47" s="87"/>
      <c r="AC47" s="87"/>
      <c r="AD47" s="87"/>
      <c r="AE47" s="87"/>
      <c r="AF47" s="87"/>
      <c r="AG47" s="87"/>
    </row>
    <row r="48" spans="1:33" x14ac:dyDescent="0.25">
      <c r="A48" s="93"/>
      <c r="B48" s="153"/>
      <c r="C48" s="160" t="s">
        <v>179</v>
      </c>
      <c r="D48" s="87"/>
      <c r="E48" s="87"/>
      <c r="F48" s="87"/>
      <c r="G48" s="87"/>
      <c r="H48" s="87"/>
      <c r="I48" s="87"/>
      <c r="J48" s="91"/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  <c r="AD48" s="87"/>
      <c r="AE48" s="87"/>
      <c r="AF48" s="87"/>
      <c r="AG48" s="87"/>
    </row>
    <row r="49" spans="1:33" x14ac:dyDescent="0.25">
      <c r="A49" s="93"/>
      <c r="B49" s="87"/>
      <c r="C49" s="87"/>
      <c r="D49" s="87"/>
      <c r="E49" s="87"/>
      <c r="F49" s="87"/>
      <c r="G49" s="87"/>
      <c r="H49" s="87"/>
      <c r="I49" s="87"/>
      <c r="J49" s="91"/>
      <c r="K49" s="151"/>
      <c r="L49" s="87"/>
      <c r="M49" s="150"/>
      <c r="N49" s="150"/>
      <c r="O49" s="150"/>
      <c r="P49" s="150"/>
      <c r="Q49" s="150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  <c r="AD49" s="87"/>
      <c r="AE49" s="87"/>
      <c r="AF49" s="87"/>
      <c r="AG49" s="87"/>
    </row>
    <row r="50" spans="1:33" ht="15.75" thickBot="1" x14ac:dyDescent="0.3">
      <c r="A50" s="90" t="str">
        <f>A25</f>
        <v>Merk: Tallene betyr endringer i balansene</v>
      </c>
      <c r="B50" s="89"/>
      <c r="C50" s="89"/>
      <c r="D50" s="89"/>
      <c r="E50" s="89"/>
      <c r="F50" s="89"/>
      <c r="G50" s="89"/>
      <c r="H50" s="89"/>
      <c r="I50" s="89"/>
      <c r="J50" s="88"/>
      <c r="K50" s="87"/>
      <c r="L50" s="87"/>
      <c r="M50" s="87"/>
      <c r="N50" s="87"/>
      <c r="O50" s="87"/>
      <c r="P50" s="87"/>
      <c r="Q50" s="87"/>
      <c r="R50" s="87"/>
      <c r="S50" s="87"/>
      <c r="T50" s="87"/>
    </row>
    <row r="54" spans="1:33" x14ac:dyDescent="0.25">
      <c r="B54" s="87"/>
    </row>
    <row r="55" spans="1:33" x14ac:dyDescent="0.25">
      <c r="A55" s="87"/>
    </row>
    <row r="58" spans="1:33" x14ac:dyDescent="0.25">
      <c r="F58" s="86"/>
    </row>
    <row r="61" spans="1:33" x14ac:dyDescent="0.25">
      <c r="B61" s="86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D2:D127"/>
  <sheetViews>
    <sheetView topLeftCell="A106" workbookViewId="0">
      <selection activeCell="D2" sqref="D2:D127"/>
    </sheetView>
  </sheetViews>
  <sheetFormatPr defaultRowHeight="12.75" x14ac:dyDescent="0.2"/>
  <sheetData>
    <row r="2" spans="4:4" x14ac:dyDescent="0.2">
      <c r="D2">
        <v>127.80000000000001</v>
      </c>
    </row>
    <row r="3" spans="4:4" x14ac:dyDescent="0.2">
      <c r="D3">
        <v>131.70000000000002</v>
      </c>
    </row>
    <row r="4" spans="4:4" x14ac:dyDescent="0.2">
      <c r="D4">
        <v>135.30000000000001</v>
      </c>
    </row>
    <row r="5" spans="4:4" x14ac:dyDescent="0.2">
      <c r="D5">
        <v>140</v>
      </c>
    </row>
    <row r="6" spans="4:4" x14ac:dyDescent="0.2">
      <c r="D6">
        <v>143.9</v>
      </c>
    </row>
    <row r="7" spans="4:4" x14ac:dyDescent="0.2">
      <c r="D7">
        <v>146.6</v>
      </c>
    </row>
    <row r="8" spans="4:4" x14ac:dyDescent="0.2">
      <c r="D8">
        <v>151.1</v>
      </c>
    </row>
    <row r="9" spans="4:4" x14ac:dyDescent="0.2">
      <c r="D9">
        <v>153.70000000000002</v>
      </c>
    </row>
    <row r="10" spans="4:4" x14ac:dyDescent="0.2">
      <c r="D10">
        <v>155.80000000000001</v>
      </c>
    </row>
    <row r="11" spans="4:4" x14ac:dyDescent="0.2">
      <c r="D11">
        <v>158.5</v>
      </c>
    </row>
    <row r="12" spans="4:4" x14ac:dyDescent="0.2">
      <c r="D12">
        <v>161.5</v>
      </c>
    </row>
    <row r="13" spans="4:4" x14ac:dyDescent="0.2">
      <c r="D13">
        <v>170.5</v>
      </c>
    </row>
    <row r="14" spans="4:4" x14ac:dyDescent="0.2">
      <c r="D14">
        <v>164.9</v>
      </c>
    </row>
    <row r="15" spans="4:4" x14ac:dyDescent="0.2">
      <c r="D15">
        <v>167</v>
      </c>
    </row>
    <row r="16" spans="4:4" x14ac:dyDescent="0.2">
      <c r="D16">
        <v>170</v>
      </c>
    </row>
    <row r="17" spans="4:4" x14ac:dyDescent="0.2">
      <c r="D17">
        <v>174.70000000000002</v>
      </c>
    </row>
    <row r="18" spans="4:4" x14ac:dyDescent="0.2">
      <c r="D18">
        <v>178.9</v>
      </c>
    </row>
    <row r="19" spans="4:4" x14ac:dyDescent="0.2">
      <c r="D19">
        <v>181</v>
      </c>
    </row>
    <row r="20" spans="4:4" x14ac:dyDescent="0.2">
      <c r="D20">
        <v>186.4</v>
      </c>
    </row>
    <row r="21" spans="4:4" x14ac:dyDescent="0.2">
      <c r="D21">
        <v>188.60000000000002</v>
      </c>
    </row>
    <row r="22" spans="4:4" x14ac:dyDescent="0.2">
      <c r="D22">
        <v>192.3</v>
      </c>
    </row>
    <row r="23" spans="4:4" x14ac:dyDescent="0.2">
      <c r="D23">
        <v>195.3</v>
      </c>
    </row>
    <row r="24" spans="4:4" x14ac:dyDescent="0.2">
      <c r="D24">
        <v>197.5</v>
      </c>
    </row>
    <row r="25" spans="4:4" x14ac:dyDescent="0.2">
      <c r="D25">
        <v>204.70000000000002</v>
      </c>
    </row>
    <row r="26" spans="4:4" x14ac:dyDescent="0.2">
      <c r="D26">
        <v>201.70000000000002</v>
      </c>
    </row>
    <row r="27" spans="4:4" x14ac:dyDescent="0.2">
      <c r="D27">
        <v>203.70000000000002</v>
      </c>
    </row>
    <row r="28" spans="4:4" x14ac:dyDescent="0.2">
      <c r="D28">
        <v>209</v>
      </c>
    </row>
    <row r="29" spans="4:4" x14ac:dyDescent="0.2">
      <c r="D29">
        <v>211.8</v>
      </c>
    </row>
    <row r="30" spans="4:4" x14ac:dyDescent="0.2">
      <c r="D30">
        <v>215.8</v>
      </c>
    </row>
    <row r="31" spans="4:4" x14ac:dyDescent="0.2">
      <c r="D31">
        <v>219.70000000000002</v>
      </c>
    </row>
    <row r="32" spans="4:4" x14ac:dyDescent="0.2">
      <c r="D32">
        <v>223</v>
      </c>
    </row>
    <row r="33" spans="4:4" x14ac:dyDescent="0.2">
      <c r="D33">
        <v>222.8</v>
      </c>
    </row>
    <row r="34" spans="4:4" x14ac:dyDescent="0.2">
      <c r="D34">
        <v>226.70000000000002</v>
      </c>
    </row>
    <row r="35" spans="4:4" x14ac:dyDescent="0.2">
      <c r="D35">
        <v>227.9</v>
      </c>
    </row>
    <row r="36" spans="4:4" x14ac:dyDescent="0.2">
      <c r="D36">
        <v>229</v>
      </c>
    </row>
    <row r="37" spans="4:4" x14ac:dyDescent="0.2">
      <c r="D37">
        <v>234.20000000000002</v>
      </c>
    </row>
    <row r="38" spans="4:4" x14ac:dyDescent="0.2">
      <c r="D38">
        <v>229.9</v>
      </c>
    </row>
    <row r="39" spans="4:4" x14ac:dyDescent="0.2">
      <c r="D39">
        <v>233</v>
      </c>
    </row>
    <row r="40" spans="4:4" x14ac:dyDescent="0.2">
      <c r="D40">
        <v>235.20000000000002</v>
      </c>
    </row>
    <row r="41" spans="4:4" x14ac:dyDescent="0.2">
      <c r="D41">
        <v>238.9</v>
      </c>
    </row>
    <row r="42" spans="4:4" x14ac:dyDescent="0.2">
      <c r="D42">
        <v>240.3</v>
      </c>
    </row>
    <row r="43" spans="4:4" x14ac:dyDescent="0.2">
      <c r="D43">
        <v>244</v>
      </c>
    </row>
    <row r="44" spans="4:4" x14ac:dyDescent="0.2">
      <c r="D44">
        <v>247.20000000000002</v>
      </c>
    </row>
    <row r="45" spans="4:4" x14ac:dyDescent="0.2">
      <c r="D45">
        <v>248.8</v>
      </c>
    </row>
    <row r="46" spans="4:4" x14ac:dyDescent="0.2">
      <c r="D46">
        <v>251.8</v>
      </c>
    </row>
    <row r="47" spans="4:4" x14ac:dyDescent="0.2">
      <c r="D47">
        <v>253.9</v>
      </c>
    </row>
    <row r="48" spans="4:4" x14ac:dyDescent="0.2">
      <c r="D48">
        <v>254.8</v>
      </c>
    </row>
    <row r="49" spans="4:4" x14ac:dyDescent="0.2">
      <c r="D49">
        <v>261</v>
      </c>
    </row>
    <row r="50" spans="4:4" x14ac:dyDescent="0.2">
      <c r="D50">
        <v>254.8</v>
      </c>
    </row>
    <row r="51" spans="4:4" x14ac:dyDescent="0.2">
      <c r="D51">
        <v>256.40000000000003</v>
      </c>
    </row>
    <row r="52" spans="4:4" x14ac:dyDescent="0.2">
      <c r="D52">
        <v>260</v>
      </c>
    </row>
    <row r="53" spans="4:4" x14ac:dyDescent="0.2">
      <c r="D53">
        <v>263.2</v>
      </c>
    </row>
    <row r="54" spans="4:4" x14ac:dyDescent="0.2">
      <c r="D54">
        <v>266.3</v>
      </c>
    </row>
    <row r="55" spans="4:4" x14ac:dyDescent="0.2">
      <c r="D55">
        <v>269.60000000000002</v>
      </c>
    </row>
    <row r="56" spans="4:4" x14ac:dyDescent="0.2">
      <c r="D56">
        <v>272</v>
      </c>
    </row>
    <row r="57" spans="4:4" x14ac:dyDescent="0.2">
      <c r="D57">
        <v>273.5</v>
      </c>
    </row>
    <row r="58" spans="4:4" x14ac:dyDescent="0.2">
      <c r="D58">
        <v>275.40000000000003</v>
      </c>
    </row>
    <row r="59" spans="4:4" x14ac:dyDescent="0.2">
      <c r="D59">
        <v>278</v>
      </c>
    </row>
    <row r="60" spans="4:4" x14ac:dyDescent="0.2">
      <c r="D60">
        <v>280.10000000000002</v>
      </c>
    </row>
    <row r="61" spans="4:4" x14ac:dyDescent="0.2">
      <c r="D61">
        <v>289.60000000000002</v>
      </c>
    </row>
    <row r="62" spans="4:4" x14ac:dyDescent="0.2">
      <c r="D62">
        <v>282.60000000000002</v>
      </c>
    </row>
    <row r="63" spans="4:4" x14ac:dyDescent="0.2">
      <c r="D63">
        <v>285.60000000000002</v>
      </c>
    </row>
    <row r="64" spans="4:4" x14ac:dyDescent="0.2">
      <c r="D64">
        <v>289</v>
      </c>
    </row>
    <row r="65" spans="4:4" x14ac:dyDescent="0.2">
      <c r="D65">
        <v>291.90000000000003</v>
      </c>
    </row>
    <row r="66" spans="4:4" x14ac:dyDescent="0.2">
      <c r="D66">
        <v>294.60000000000002</v>
      </c>
    </row>
    <row r="67" spans="4:4" x14ac:dyDescent="0.2">
      <c r="D67">
        <v>297.40000000000003</v>
      </c>
    </row>
    <row r="68" spans="4:4" x14ac:dyDescent="0.2">
      <c r="D68">
        <v>299.8</v>
      </c>
    </row>
    <row r="69" spans="4:4" x14ac:dyDescent="0.2">
      <c r="D69">
        <v>301.3</v>
      </c>
    </row>
    <row r="70" spans="4:4" x14ac:dyDescent="0.2">
      <c r="D70">
        <v>303.60000000000002</v>
      </c>
    </row>
    <row r="71" spans="4:4" x14ac:dyDescent="0.2">
      <c r="D71">
        <v>322.90000000000003</v>
      </c>
    </row>
    <row r="72" spans="4:4" x14ac:dyDescent="0.2">
      <c r="D72">
        <v>325.3</v>
      </c>
    </row>
    <row r="73" spans="4:4" x14ac:dyDescent="0.2">
      <c r="D73">
        <v>335.1</v>
      </c>
    </row>
    <row r="74" spans="4:4" x14ac:dyDescent="0.2">
      <c r="D74">
        <v>330.40000000000003</v>
      </c>
    </row>
    <row r="75" spans="4:4" x14ac:dyDescent="0.2">
      <c r="D75">
        <v>332.5</v>
      </c>
    </row>
    <row r="76" spans="4:4" x14ac:dyDescent="0.2">
      <c r="D76">
        <v>333.5</v>
      </c>
    </row>
    <row r="77" spans="4:4" x14ac:dyDescent="0.2">
      <c r="D77">
        <v>338</v>
      </c>
    </row>
    <row r="78" spans="4:4" x14ac:dyDescent="0.2">
      <c r="D78">
        <v>339</v>
      </c>
    </row>
    <row r="79" spans="4:4" x14ac:dyDescent="0.2">
      <c r="D79">
        <v>339.40000000000003</v>
      </c>
    </row>
    <row r="80" spans="4:4" x14ac:dyDescent="0.2">
      <c r="D80">
        <v>341.5</v>
      </c>
    </row>
    <row r="81" spans="4:4" x14ac:dyDescent="0.2">
      <c r="D81">
        <v>341.90000000000003</v>
      </c>
    </row>
    <row r="82" spans="4:4" x14ac:dyDescent="0.2">
      <c r="D82">
        <v>343.40000000000003</v>
      </c>
    </row>
    <row r="83" spans="4:4" x14ac:dyDescent="0.2">
      <c r="D83">
        <v>346.1</v>
      </c>
    </row>
    <row r="84" spans="4:4" x14ac:dyDescent="0.2">
      <c r="D84">
        <v>347.5</v>
      </c>
    </row>
    <row r="85" spans="4:4" x14ac:dyDescent="0.2">
      <c r="D85">
        <v>355.20000000000005</v>
      </c>
    </row>
    <row r="86" spans="4:4" x14ac:dyDescent="0.2">
      <c r="D86">
        <v>350.1</v>
      </c>
    </row>
    <row r="87" spans="4:4" x14ac:dyDescent="0.2">
      <c r="D87">
        <v>352.40000000000003</v>
      </c>
    </row>
    <row r="88" spans="4:4" x14ac:dyDescent="0.2">
      <c r="D88">
        <v>356.20000000000005</v>
      </c>
    </row>
    <row r="89" spans="4:4" x14ac:dyDescent="0.2">
      <c r="D89">
        <v>357.40000000000003</v>
      </c>
    </row>
    <row r="90" spans="4:4" x14ac:dyDescent="0.2">
      <c r="D90">
        <v>359.90000000000003</v>
      </c>
    </row>
    <row r="91" spans="4:4" x14ac:dyDescent="0.2">
      <c r="D91">
        <v>360.8</v>
      </c>
    </row>
    <row r="92" spans="4:4" x14ac:dyDescent="0.2">
      <c r="D92">
        <v>363.3</v>
      </c>
    </row>
    <row r="93" spans="4:4" x14ac:dyDescent="0.2">
      <c r="D93">
        <v>363.70000000000005</v>
      </c>
    </row>
    <row r="94" spans="4:4" x14ac:dyDescent="0.2">
      <c r="D94">
        <v>366.20000000000005</v>
      </c>
    </row>
    <row r="95" spans="4:4" x14ac:dyDescent="0.2">
      <c r="D95">
        <v>367.5</v>
      </c>
    </row>
    <row r="96" spans="4:4" x14ac:dyDescent="0.2">
      <c r="D96">
        <v>367.90000000000003</v>
      </c>
    </row>
    <row r="97" spans="4:4" x14ac:dyDescent="0.2">
      <c r="D97">
        <v>374.3</v>
      </c>
    </row>
    <row r="98" spans="4:4" x14ac:dyDescent="0.2">
      <c r="D98">
        <v>369.8</v>
      </c>
    </row>
    <row r="99" spans="4:4" x14ac:dyDescent="0.2">
      <c r="D99">
        <v>370.6</v>
      </c>
    </row>
    <row r="100" spans="4:4" x14ac:dyDescent="0.2">
      <c r="D100">
        <v>372.3</v>
      </c>
    </row>
    <row r="101" spans="4:4" x14ac:dyDescent="0.2">
      <c r="D101">
        <v>375.6</v>
      </c>
    </row>
    <row r="102" spans="4:4" x14ac:dyDescent="0.2">
      <c r="D102">
        <v>377.90000000000003</v>
      </c>
    </row>
    <row r="103" spans="4:4" x14ac:dyDescent="0.2">
      <c r="D103">
        <v>381.70000000000005</v>
      </c>
    </row>
    <row r="104" spans="4:4" x14ac:dyDescent="0.2">
      <c r="D104">
        <v>385.70000000000005</v>
      </c>
    </row>
    <row r="105" spans="4:4" x14ac:dyDescent="0.2">
      <c r="D105">
        <v>386.8</v>
      </c>
    </row>
    <row r="106" spans="4:4" x14ac:dyDescent="0.2">
      <c r="D106">
        <v>391.90000000000003</v>
      </c>
    </row>
    <row r="107" spans="4:4" x14ac:dyDescent="0.2">
      <c r="D107">
        <v>393.8</v>
      </c>
    </row>
    <row r="108" spans="4:4" x14ac:dyDescent="0.2">
      <c r="D108">
        <v>394.8</v>
      </c>
    </row>
    <row r="109" spans="4:4" x14ac:dyDescent="0.2">
      <c r="D109">
        <v>399.70000000000005</v>
      </c>
    </row>
    <row r="110" spans="4:4" x14ac:dyDescent="0.2">
      <c r="D110">
        <v>395.20000000000005</v>
      </c>
    </row>
    <row r="111" spans="4:4" x14ac:dyDescent="0.2">
      <c r="D111">
        <v>396.1</v>
      </c>
    </row>
    <row r="112" spans="4:4" x14ac:dyDescent="0.2">
      <c r="D112">
        <v>400</v>
      </c>
    </row>
    <row r="113" spans="4:4" x14ac:dyDescent="0.2">
      <c r="D113">
        <v>403.20000000000005</v>
      </c>
    </row>
    <row r="114" spans="4:4" x14ac:dyDescent="0.2">
      <c r="D114">
        <v>407.20000000000005</v>
      </c>
    </row>
    <row r="115" spans="4:4" x14ac:dyDescent="0.2">
      <c r="D115">
        <v>411.70000000000005</v>
      </c>
    </row>
    <row r="116" spans="4:4" x14ac:dyDescent="0.2">
      <c r="D116">
        <v>416.20000000000005</v>
      </c>
    </row>
    <row r="117" spans="4:4" x14ac:dyDescent="0.2">
      <c r="D117">
        <v>419.8</v>
      </c>
    </row>
    <row r="118" spans="4:4" x14ac:dyDescent="0.2">
      <c r="D118">
        <v>422.3</v>
      </c>
    </row>
    <row r="119" spans="4:4" x14ac:dyDescent="0.2">
      <c r="D119">
        <v>424.90000000000003</v>
      </c>
    </row>
    <row r="120" spans="4:4" x14ac:dyDescent="0.2">
      <c r="D120">
        <v>427</v>
      </c>
    </row>
    <row r="121" spans="4:4" x14ac:dyDescent="0.2">
      <c r="D121">
        <v>435.90000000000003</v>
      </c>
    </row>
    <row r="122" spans="4:4" x14ac:dyDescent="0.2">
      <c r="D122">
        <v>427.40000000000003</v>
      </c>
    </row>
    <row r="123" spans="4:4" x14ac:dyDescent="0.2">
      <c r="D123">
        <v>428.8</v>
      </c>
    </row>
    <row r="124" spans="4:4" x14ac:dyDescent="0.2">
      <c r="D124">
        <v>435.3</v>
      </c>
    </row>
    <row r="125" spans="4:4" x14ac:dyDescent="0.2">
      <c r="D125">
        <v>436.90000000000003</v>
      </c>
    </row>
    <row r="126" spans="4:4" x14ac:dyDescent="0.2">
      <c r="D126">
        <v>440.8</v>
      </c>
    </row>
    <row r="127" spans="4:4" x14ac:dyDescent="0.2">
      <c r="D127">
        <v>443.6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REQUEST_TABLE</vt:lpstr>
      <vt:lpstr>Dataserier</vt:lpstr>
      <vt:lpstr>Sheet1</vt:lpstr>
      <vt:lpstr>Sheet2</vt:lpstr>
      <vt:lpstr>Target</vt:lpstr>
      <vt:lpstr>GjeldogRenter</vt:lpstr>
      <vt:lpstr>Balanser</vt:lpstr>
      <vt:lpstr>Extra</vt:lpstr>
      <vt:lpstr>LastOpenedWorkSheet</vt:lpstr>
      <vt:lpstr>LastRefreshed</vt:lpstr>
      <vt:lpstr>StartPosition</vt:lpstr>
      <vt:lpstr>textToday</vt:lpstr>
      <vt:lpstr>VALID_FORMATS</vt:lpstr>
    </vt:vector>
  </TitlesOfParts>
  <Company>Thomson Reuters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Datastream  Request Table Template 5.0</dc:title>
  <dc:creator>A9610251</dc:creator>
  <cp:lastModifiedBy>a9610251</cp:lastModifiedBy>
  <dcterms:created xsi:type="dcterms:W3CDTF">2002-09-25T10:34:09Z</dcterms:created>
  <dcterms:modified xsi:type="dcterms:W3CDTF">2013-08-30T15:04:30Z</dcterms:modified>
</cp:coreProperties>
</file>